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C:\Users\Kaspi\Documents\python\nowyObieg\v_1_0_6\src\inputs\plan_obiegow_taboru\"/>
    </mc:Choice>
  </mc:AlternateContent>
  <xr:revisionPtr revIDLastSave="0" documentId="13_ncr:1_{BB7CB422-8436-4DE4-A824-AB28DC886CD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ot" sheetId="1" r:id="rId1"/>
    <sheet name="wnioski" sheetId="2" r:id="rId2"/>
  </sheets>
  <definedNames>
    <definedName name="_xlnm._FilterDatabase" localSheetId="0" hidden="1">pot!#REF!</definedName>
    <definedName name="_xlnm._FilterDatabase" localSheetId="1" hidden="1">wnioski!$A$1:$AZ$816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L3" i="1"/>
  <c r="M3" i="1"/>
  <c r="N3" i="1"/>
  <c r="O3" i="1"/>
  <c r="P3" i="1"/>
  <c r="Q3" i="1"/>
  <c r="R3" i="1"/>
  <c r="H4" i="1"/>
  <c r="I4" i="1"/>
  <c r="J4" i="1"/>
  <c r="L4" i="1"/>
  <c r="M4" i="1"/>
  <c r="N4" i="1"/>
  <c r="O4" i="1"/>
  <c r="P4" i="1"/>
  <c r="Q4" i="1"/>
  <c r="R4" i="1"/>
  <c r="H5" i="1"/>
  <c r="I5" i="1"/>
  <c r="J5" i="1"/>
  <c r="L5" i="1"/>
  <c r="M5" i="1"/>
  <c r="N5" i="1"/>
  <c r="O5" i="1"/>
  <c r="P5" i="1"/>
  <c r="Q5" i="1"/>
  <c r="R5" i="1"/>
  <c r="H6" i="1"/>
  <c r="I6" i="1"/>
  <c r="J6" i="1"/>
  <c r="L6" i="1"/>
  <c r="M6" i="1"/>
  <c r="N6" i="1"/>
  <c r="O6" i="1"/>
  <c r="P6" i="1"/>
  <c r="Q6" i="1"/>
  <c r="R6" i="1"/>
  <c r="H7" i="1"/>
  <c r="I7" i="1"/>
  <c r="J7" i="1"/>
  <c r="L7" i="1"/>
  <c r="M7" i="1"/>
  <c r="N7" i="1"/>
  <c r="O7" i="1"/>
  <c r="P7" i="1"/>
  <c r="Q7" i="1"/>
  <c r="R7" i="1"/>
  <c r="H8" i="1"/>
  <c r="I8" i="1"/>
  <c r="J8" i="1"/>
  <c r="L8" i="1"/>
  <c r="M8" i="1"/>
  <c r="N8" i="1"/>
  <c r="O8" i="1"/>
  <c r="P8" i="1"/>
  <c r="Q8" i="1"/>
  <c r="R8" i="1"/>
  <c r="H9" i="1"/>
  <c r="I9" i="1"/>
  <c r="J9" i="1"/>
  <c r="L9" i="1"/>
  <c r="M9" i="1"/>
  <c r="N9" i="1"/>
  <c r="O9" i="1"/>
  <c r="P9" i="1"/>
  <c r="Q9" i="1"/>
  <c r="R9" i="1"/>
  <c r="H10" i="1"/>
  <c r="I10" i="1"/>
  <c r="J10" i="1"/>
  <c r="L10" i="1"/>
  <c r="M10" i="1"/>
  <c r="N10" i="1"/>
  <c r="O10" i="1"/>
  <c r="P10" i="1"/>
  <c r="Q10" i="1"/>
  <c r="R10" i="1"/>
  <c r="H11" i="1"/>
  <c r="I11" i="1"/>
  <c r="J11" i="1"/>
  <c r="L11" i="1"/>
  <c r="M11" i="1"/>
  <c r="N11" i="1"/>
  <c r="O11" i="1"/>
  <c r="P11" i="1"/>
  <c r="Q11" i="1"/>
  <c r="R11" i="1"/>
  <c r="H12" i="1"/>
  <c r="I12" i="1"/>
  <c r="J12" i="1"/>
  <c r="L12" i="1"/>
  <c r="M12" i="1"/>
  <c r="N12" i="1"/>
  <c r="O12" i="1"/>
  <c r="P12" i="1"/>
  <c r="Q12" i="1"/>
  <c r="R12" i="1"/>
  <c r="H13" i="1"/>
  <c r="I13" i="1"/>
  <c r="J13" i="1"/>
  <c r="L13" i="1"/>
  <c r="M13" i="1"/>
  <c r="N13" i="1"/>
  <c r="O13" i="1"/>
  <c r="P13" i="1"/>
  <c r="Q13" i="1"/>
  <c r="R13" i="1"/>
  <c r="H14" i="1"/>
  <c r="I14" i="1"/>
  <c r="J14" i="1"/>
  <c r="L14" i="1"/>
  <c r="M14" i="1"/>
  <c r="N14" i="1"/>
  <c r="O14" i="1"/>
  <c r="P14" i="1"/>
  <c r="Q14" i="1"/>
  <c r="R14" i="1"/>
  <c r="H15" i="1"/>
  <c r="I15" i="1"/>
  <c r="J15" i="1"/>
  <c r="L15" i="1"/>
  <c r="M15" i="1"/>
  <c r="N15" i="1"/>
  <c r="O15" i="1"/>
  <c r="P15" i="1"/>
  <c r="Q15" i="1"/>
  <c r="R15" i="1"/>
  <c r="H16" i="1"/>
  <c r="I16" i="1"/>
  <c r="J16" i="1"/>
  <c r="L16" i="1"/>
  <c r="M16" i="1"/>
  <c r="N16" i="1"/>
  <c r="O16" i="1"/>
  <c r="P16" i="1"/>
  <c r="Q16" i="1"/>
  <c r="R16" i="1"/>
  <c r="H17" i="1"/>
  <c r="I17" i="1"/>
  <c r="J17" i="1"/>
  <c r="L17" i="1"/>
  <c r="M17" i="1"/>
  <c r="N17" i="1"/>
  <c r="O17" i="1"/>
  <c r="P17" i="1"/>
  <c r="Q17" i="1"/>
  <c r="R17" i="1"/>
  <c r="H18" i="1"/>
  <c r="I18" i="1"/>
  <c r="J18" i="1"/>
  <c r="L18" i="1"/>
  <c r="M18" i="1"/>
  <c r="N18" i="1"/>
  <c r="O18" i="1"/>
  <c r="P18" i="1"/>
  <c r="Q18" i="1"/>
  <c r="R18" i="1"/>
  <c r="H19" i="1"/>
  <c r="I19" i="1"/>
  <c r="J19" i="1"/>
  <c r="L19" i="1"/>
  <c r="M19" i="1"/>
  <c r="N19" i="1"/>
  <c r="O19" i="1"/>
  <c r="P19" i="1"/>
  <c r="Q19" i="1"/>
  <c r="R19" i="1"/>
  <c r="H20" i="1"/>
  <c r="I20" i="1"/>
  <c r="J20" i="1"/>
  <c r="L20" i="1"/>
  <c r="M20" i="1"/>
  <c r="N20" i="1"/>
  <c r="O20" i="1"/>
  <c r="P20" i="1"/>
  <c r="Q20" i="1"/>
  <c r="R20" i="1"/>
  <c r="H21" i="1"/>
  <c r="I21" i="1"/>
  <c r="J21" i="1"/>
  <c r="L21" i="1"/>
  <c r="M21" i="1"/>
  <c r="N21" i="1"/>
  <c r="O21" i="1"/>
  <c r="P21" i="1"/>
  <c r="Q21" i="1"/>
  <c r="R21" i="1"/>
  <c r="H22" i="1"/>
  <c r="I22" i="1"/>
  <c r="J22" i="1"/>
  <c r="L22" i="1"/>
  <c r="M22" i="1"/>
  <c r="N22" i="1"/>
  <c r="O22" i="1"/>
  <c r="P22" i="1"/>
  <c r="Q22" i="1"/>
  <c r="R22" i="1"/>
  <c r="H23" i="1"/>
  <c r="I23" i="1"/>
  <c r="J23" i="1"/>
  <c r="L23" i="1"/>
  <c r="M23" i="1"/>
  <c r="N23" i="1"/>
  <c r="O23" i="1"/>
  <c r="P23" i="1"/>
  <c r="Q23" i="1"/>
  <c r="R23" i="1"/>
  <c r="H24" i="1"/>
  <c r="I24" i="1"/>
  <c r="J24" i="1"/>
  <c r="L24" i="1"/>
  <c r="M24" i="1"/>
  <c r="N24" i="1"/>
  <c r="O24" i="1"/>
  <c r="P24" i="1"/>
  <c r="Q24" i="1"/>
  <c r="R24" i="1"/>
  <c r="H25" i="1"/>
  <c r="I25" i="1"/>
  <c r="J25" i="1"/>
  <c r="L25" i="1"/>
  <c r="M25" i="1"/>
  <c r="N25" i="1"/>
  <c r="O25" i="1"/>
  <c r="P25" i="1"/>
  <c r="Q25" i="1"/>
  <c r="R25" i="1"/>
  <c r="H26" i="1"/>
  <c r="I26" i="1"/>
  <c r="J26" i="1"/>
  <c r="L26" i="1"/>
  <c r="M26" i="1"/>
  <c r="N26" i="1"/>
  <c r="O26" i="1"/>
  <c r="P26" i="1"/>
  <c r="Q26" i="1"/>
  <c r="R26" i="1"/>
  <c r="H27" i="1"/>
  <c r="I27" i="1"/>
  <c r="J27" i="1"/>
  <c r="L27" i="1"/>
  <c r="M27" i="1"/>
  <c r="N27" i="1"/>
  <c r="O27" i="1"/>
  <c r="P27" i="1"/>
  <c r="Q27" i="1"/>
  <c r="R27" i="1"/>
  <c r="H28" i="1"/>
  <c r="I28" i="1"/>
  <c r="J28" i="1"/>
  <c r="L28" i="1"/>
  <c r="M28" i="1"/>
  <c r="N28" i="1"/>
  <c r="O28" i="1"/>
  <c r="P28" i="1"/>
  <c r="Q28" i="1"/>
  <c r="R28" i="1"/>
  <c r="H29" i="1"/>
  <c r="I29" i="1"/>
  <c r="J29" i="1"/>
  <c r="L29" i="1"/>
  <c r="M29" i="1"/>
  <c r="N29" i="1"/>
  <c r="O29" i="1"/>
  <c r="P29" i="1"/>
  <c r="Q29" i="1"/>
  <c r="R29" i="1"/>
  <c r="H30" i="1"/>
  <c r="I30" i="1"/>
  <c r="J30" i="1"/>
  <c r="L30" i="1"/>
  <c r="M30" i="1"/>
  <c r="N30" i="1"/>
  <c r="O30" i="1"/>
  <c r="P30" i="1"/>
  <c r="Q30" i="1"/>
  <c r="R30" i="1"/>
  <c r="H31" i="1"/>
  <c r="I31" i="1"/>
  <c r="J31" i="1"/>
  <c r="L31" i="1"/>
  <c r="M31" i="1"/>
  <c r="N31" i="1"/>
  <c r="O31" i="1"/>
  <c r="P31" i="1"/>
  <c r="Q31" i="1"/>
  <c r="R31" i="1"/>
  <c r="H32" i="1"/>
  <c r="I32" i="1"/>
  <c r="J32" i="1"/>
  <c r="L32" i="1"/>
  <c r="M32" i="1"/>
  <c r="N32" i="1"/>
  <c r="O32" i="1"/>
  <c r="P32" i="1"/>
  <c r="Q32" i="1"/>
  <c r="R32" i="1"/>
  <c r="H33" i="1"/>
  <c r="I33" i="1"/>
  <c r="J33" i="1"/>
  <c r="L33" i="1"/>
  <c r="M33" i="1"/>
  <c r="N33" i="1"/>
  <c r="O33" i="1"/>
  <c r="P33" i="1"/>
  <c r="Q33" i="1"/>
  <c r="R33" i="1"/>
  <c r="H34" i="1"/>
  <c r="I34" i="1"/>
  <c r="J34" i="1"/>
  <c r="L34" i="1"/>
  <c r="M34" i="1"/>
  <c r="N34" i="1"/>
  <c r="O34" i="1"/>
  <c r="P34" i="1"/>
  <c r="Q34" i="1"/>
  <c r="R34" i="1"/>
  <c r="H35" i="1"/>
  <c r="I35" i="1"/>
  <c r="J35" i="1"/>
  <c r="L35" i="1"/>
  <c r="M35" i="1"/>
  <c r="N35" i="1"/>
  <c r="O35" i="1"/>
  <c r="P35" i="1"/>
  <c r="Q35" i="1"/>
  <c r="R35" i="1"/>
  <c r="H36" i="1"/>
  <c r="I36" i="1"/>
  <c r="J36" i="1"/>
  <c r="L36" i="1"/>
  <c r="M36" i="1"/>
  <c r="N36" i="1"/>
  <c r="O36" i="1"/>
  <c r="P36" i="1"/>
  <c r="Q36" i="1"/>
  <c r="R36" i="1"/>
  <c r="H37" i="1"/>
  <c r="I37" i="1"/>
  <c r="J37" i="1"/>
  <c r="L37" i="1"/>
  <c r="M37" i="1"/>
  <c r="N37" i="1"/>
  <c r="O37" i="1"/>
  <c r="P37" i="1"/>
  <c r="Q37" i="1"/>
  <c r="R37" i="1"/>
  <c r="H38" i="1"/>
  <c r="I38" i="1"/>
  <c r="J38" i="1"/>
  <c r="L38" i="1"/>
  <c r="M38" i="1"/>
  <c r="N38" i="1"/>
  <c r="O38" i="1"/>
  <c r="P38" i="1"/>
  <c r="Q38" i="1"/>
  <c r="R38" i="1"/>
  <c r="H39" i="1"/>
  <c r="I39" i="1"/>
  <c r="J39" i="1"/>
  <c r="L39" i="1"/>
  <c r="M39" i="1"/>
  <c r="N39" i="1"/>
  <c r="O39" i="1"/>
  <c r="P39" i="1"/>
  <c r="Q39" i="1"/>
  <c r="R39" i="1"/>
  <c r="H40" i="1"/>
  <c r="I40" i="1"/>
  <c r="J40" i="1"/>
  <c r="L40" i="1"/>
  <c r="M40" i="1"/>
  <c r="N40" i="1"/>
  <c r="O40" i="1"/>
  <c r="P40" i="1"/>
  <c r="Q40" i="1"/>
  <c r="R40" i="1"/>
  <c r="H41" i="1"/>
  <c r="I41" i="1"/>
  <c r="J41" i="1"/>
  <c r="L41" i="1"/>
  <c r="M41" i="1"/>
  <c r="N41" i="1"/>
  <c r="O41" i="1"/>
  <c r="P41" i="1"/>
  <c r="Q41" i="1"/>
  <c r="R41" i="1"/>
  <c r="H42" i="1"/>
  <c r="I42" i="1"/>
  <c r="J42" i="1"/>
  <c r="L42" i="1"/>
  <c r="M42" i="1"/>
  <c r="N42" i="1"/>
  <c r="O42" i="1"/>
  <c r="P42" i="1"/>
  <c r="Q42" i="1"/>
  <c r="R42" i="1"/>
  <c r="H43" i="1"/>
  <c r="I43" i="1"/>
  <c r="J43" i="1"/>
  <c r="L43" i="1"/>
  <c r="M43" i="1"/>
  <c r="N43" i="1"/>
  <c r="O43" i="1"/>
  <c r="P43" i="1"/>
  <c r="Q43" i="1"/>
  <c r="R43" i="1"/>
  <c r="H44" i="1"/>
  <c r="I44" i="1"/>
  <c r="J44" i="1"/>
  <c r="L44" i="1"/>
  <c r="M44" i="1"/>
  <c r="N44" i="1"/>
  <c r="O44" i="1"/>
  <c r="P44" i="1"/>
  <c r="Q44" i="1"/>
  <c r="R44" i="1"/>
  <c r="H45" i="1"/>
  <c r="I45" i="1"/>
  <c r="J45" i="1"/>
  <c r="L45" i="1"/>
  <c r="M45" i="1"/>
  <c r="N45" i="1"/>
  <c r="O45" i="1"/>
  <c r="P45" i="1"/>
  <c r="Q45" i="1"/>
  <c r="R45" i="1"/>
  <c r="H46" i="1"/>
  <c r="I46" i="1"/>
  <c r="J46" i="1"/>
  <c r="L46" i="1"/>
  <c r="M46" i="1"/>
  <c r="N46" i="1"/>
  <c r="O46" i="1"/>
  <c r="P46" i="1"/>
  <c r="Q46" i="1"/>
  <c r="R46" i="1"/>
  <c r="H47" i="1"/>
  <c r="I47" i="1"/>
  <c r="J47" i="1"/>
  <c r="L47" i="1"/>
  <c r="M47" i="1"/>
  <c r="N47" i="1"/>
  <c r="O47" i="1"/>
  <c r="P47" i="1"/>
  <c r="Q47" i="1"/>
  <c r="R47" i="1"/>
  <c r="H48" i="1"/>
  <c r="I48" i="1"/>
  <c r="J48" i="1"/>
  <c r="L48" i="1"/>
  <c r="M48" i="1"/>
  <c r="N48" i="1"/>
  <c r="O48" i="1"/>
  <c r="P48" i="1"/>
  <c r="Q48" i="1"/>
  <c r="R48" i="1"/>
  <c r="H49" i="1"/>
  <c r="I49" i="1"/>
  <c r="J49" i="1"/>
  <c r="L49" i="1"/>
  <c r="M49" i="1"/>
  <c r="N49" i="1"/>
  <c r="O49" i="1"/>
  <c r="P49" i="1"/>
  <c r="Q49" i="1"/>
  <c r="R49" i="1"/>
  <c r="H50" i="1"/>
  <c r="I50" i="1"/>
  <c r="J50" i="1"/>
  <c r="L50" i="1"/>
  <c r="M50" i="1"/>
  <c r="N50" i="1"/>
  <c r="O50" i="1"/>
  <c r="P50" i="1"/>
  <c r="Q50" i="1"/>
  <c r="R50" i="1"/>
  <c r="H51" i="1"/>
  <c r="I51" i="1"/>
  <c r="J51" i="1"/>
  <c r="L51" i="1"/>
  <c r="M51" i="1"/>
  <c r="N51" i="1"/>
  <c r="O51" i="1"/>
  <c r="P51" i="1"/>
  <c r="Q51" i="1"/>
  <c r="R51" i="1"/>
  <c r="H52" i="1"/>
  <c r="I52" i="1"/>
  <c r="J52" i="1"/>
  <c r="L52" i="1"/>
  <c r="M52" i="1"/>
  <c r="N52" i="1"/>
  <c r="O52" i="1"/>
  <c r="P52" i="1"/>
  <c r="Q52" i="1"/>
  <c r="R52" i="1"/>
  <c r="H53" i="1"/>
  <c r="I53" i="1"/>
  <c r="J53" i="1"/>
  <c r="L53" i="1"/>
  <c r="M53" i="1"/>
  <c r="N53" i="1"/>
  <c r="O53" i="1"/>
  <c r="P53" i="1"/>
  <c r="Q53" i="1"/>
  <c r="R53" i="1"/>
  <c r="H54" i="1"/>
  <c r="I54" i="1"/>
  <c r="J54" i="1"/>
  <c r="L54" i="1"/>
  <c r="M54" i="1"/>
  <c r="N54" i="1"/>
  <c r="O54" i="1"/>
  <c r="P54" i="1"/>
  <c r="Q54" i="1"/>
  <c r="R54" i="1"/>
  <c r="H55" i="1"/>
  <c r="I55" i="1"/>
  <c r="J55" i="1"/>
  <c r="L55" i="1"/>
  <c r="M55" i="1"/>
  <c r="N55" i="1"/>
  <c r="O55" i="1"/>
  <c r="P55" i="1"/>
  <c r="Q55" i="1"/>
  <c r="R55" i="1"/>
  <c r="H56" i="1"/>
  <c r="I56" i="1"/>
  <c r="J56" i="1"/>
  <c r="L56" i="1"/>
  <c r="M56" i="1"/>
  <c r="N56" i="1"/>
  <c r="O56" i="1"/>
  <c r="P56" i="1"/>
  <c r="Q56" i="1"/>
  <c r="R56" i="1"/>
  <c r="H57" i="1"/>
  <c r="I57" i="1"/>
  <c r="J57" i="1"/>
  <c r="L57" i="1"/>
  <c r="M57" i="1"/>
  <c r="N57" i="1"/>
  <c r="O57" i="1"/>
  <c r="P57" i="1"/>
  <c r="Q57" i="1"/>
  <c r="R57" i="1"/>
  <c r="H58" i="1"/>
  <c r="I58" i="1"/>
  <c r="J58" i="1"/>
  <c r="L58" i="1"/>
  <c r="M58" i="1"/>
  <c r="N58" i="1"/>
  <c r="O58" i="1"/>
  <c r="P58" i="1"/>
  <c r="Q58" i="1"/>
  <c r="R58" i="1"/>
  <c r="H59" i="1"/>
  <c r="I59" i="1"/>
  <c r="J59" i="1"/>
  <c r="L59" i="1"/>
  <c r="M59" i="1"/>
  <c r="N59" i="1"/>
  <c r="O59" i="1"/>
  <c r="P59" i="1"/>
  <c r="Q59" i="1"/>
  <c r="R59" i="1"/>
  <c r="H60" i="1"/>
  <c r="I60" i="1"/>
  <c r="J60" i="1"/>
  <c r="L60" i="1"/>
  <c r="M60" i="1"/>
  <c r="N60" i="1"/>
  <c r="O60" i="1"/>
  <c r="P60" i="1"/>
  <c r="Q60" i="1"/>
  <c r="R60" i="1"/>
  <c r="H61" i="1"/>
  <c r="I61" i="1"/>
  <c r="J61" i="1"/>
  <c r="L61" i="1"/>
  <c r="M61" i="1"/>
  <c r="N61" i="1"/>
  <c r="O61" i="1"/>
  <c r="P61" i="1"/>
  <c r="Q61" i="1"/>
  <c r="R61" i="1"/>
  <c r="H62" i="1"/>
  <c r="I62" i="1"/>
  <c r="J62" i="1"/>
  <c r="L62" i="1"/>
  <c r="M62" i="1"/>
  <c r="N62" i="1"/>
  <c r="O62" i="1"/>
  <c r="P62" i="1"/>
  <c r="Q62" i="1"/>
  <c r="R62" i="1"/>
  <c r="H63" i="1"/>
  <c r="I63" i="1"/>
  <c r="J63" i="1"/>
  <c r="L63" i="1"/>
  <c r="M63" i="1"/>
  <c r="N63" i="1"/>
  <c r="O63" i="1"/>
  <c r="P63" i="1"/>
  <c r="Q63" i="1"/>
  <c r="R63" i="1"/>
  <c r="H64" i="1"/>
  <c r="I64" i="1"/>
  <c r="J64" i="1"/>
  <c r="L64" i="1"/>
  <c r="M64" i="1"/>
  <c r="N64" i="1"/>
  <c r="O64" i="1"/>
  <c r="P64" i="1"/>
  <c r="Q64" i="1"/>
  <c r="R64" i="1"/>
  <c r="H65" i="1"/>
  <c r="I65" i="1"/>
  <c r="J65" i="1"/>
  <c r="L65" i="1"/>
  <c r="M65" i="1"/>
  <c r="N65" i="1"/>
  <c r="O65" i="1"/>
  <c r="P65" i="1"/>
  <c r="Q65" i="1"/>
  <c r="R65" i="1"/>
  <c r="H66" i="1"/>
  <c r="I66" i="1"/>
  <c r="J66" i="1"/>
  <c r="L66" i="1"/>
  <c r="M66" i="1"/>
  <c r="N66" i="1"/>
  <c r="O66" i="1"/>
  <c r="P66" i="1"/>
  <c r="Q66" i="1"/>
  <c r="R66" i="1"/>
  <c r="H67" i="1"/>
  <c r="I67" i="1"/>
  <c r="J67" i="1"/>
  <c r="L67" i="1"/>
  <c r="M67" i="1"/>
  <c r="N67" i="1"/>
  <c r="O67" i="1"/>
  <c r="P67" i="1"/>
  <c r="Q67" i="1"/>
  <c r="R67" i="1"/>
  <c r="H68" i="1"/>
  <c r="I68" i="1"/>
  <c r="J68" i="1"/>
  <c r="L68" i="1"/>
  <c r="M68" i="1"/>
  <c r="N68" i="1"/>
  <c r="O68" i="1"/>
  <c r="P68" i="1"/>
  <c r="Q68" i="1"/>
  <c r="R68" i="1"/>
  <c r="H69" i="1"/>
  <c r="I69" i="1"/>
  <c r="J69" i="1"/>
  <c r="L69" i="1"/>
  <c r="M69" i="1"/>
  <c r="N69" i="1"/>
  <c r="O69" i="1"/>
  <c r="P69" i="1"/>
  <c r="Q69" i="1"/>
  <c r="R69" i="1"/>
  <c r="H70" i="1"/>
  <c r="I70" i="1"/>
  <c r="J70" i="1"/>
  <c r="L70" i="1"/>
  <c r="M70" i="1"/>
  <c r="N70" i="1"/>
  <c r="O70" i="1"/>
  <c r="P70" i="1"/>
  <c r="Q70" i="1"/>
  <c r="R70" i="1"/>
  <c r="H71" i="1"/>
  <c r="I71" i="1"/>
  <c r="J71" i="1"/>
  <c r="L71" i="1"/>
  <c r="M71" i="1"/>
  <c r="N71" i="1"/>
  <c r="O71" i="1"/>
  <c r="P71" i="1"/>
  <c r="Q71" i="1"/>
  <c r="R71" i="1"/>
  <c r="H72" i="1"/>
  <c r="I72" i="1"/>
  <c r="J72" i="1"/>
  <c r="L72" i="1"/>
  <c r="M72" i="1"/>
  <c r="N72" i="1"/>
  <c r="O72" i="1"/>
  <c r="P72" i="1"/>
  <c r="Q72" i="1"/>
  <c r="R72" i="1"/>
  <c r="H73" i="1"/>
  <c r="I73" i="1"/>
  <c r="J73" i="1"/>
  <c r="L73" i="1"/>
  <c r="M73" i="1"/>
  <c r="N73" i="1"/>
  <c r="O73" i="1"/>
  <c r="P73" i="1"/>
  <c r="Q73" i="1"/>
  <c r="R73" i="1"/>
  <c r="H74" i="1"/>
  <c r="I74" i="1"/>
  <c r="J74" i="1"/>
  <c r="L74" i="1"/>
  <c r="M74" i="1"/>
  <c r="N74" i="1"/>
  <c r="O74" i="1"/>
  <c r="P74" i="1"/>
  <c r="Q74" i="1"/>
  <c r="R74" i="1"/>
  <c r="H75" i="1"/>
  <c r="I75" i="1"/>
  <c r="J75" i="1"/>
  <c r="L75" i="1"/>
  <c r="M75" i="1"/>
  <c r="N75" i="1"/>
  <c r="O75" i="1"/>
  <c r="P75" i="1"/>
  <c r="Q75" i="1"/>
  <c r="R75" i="1"/>
  <c r="H76" i="1"/>
  <c r="I76" i="1"/>
  <c r="J76" i="1"/>
  <c r="L76" i="1"/>
  <c r="M76" i="1"/>
  <c r="N76" i="1"/>
  <c r="O76" i="1"/>
  <c r="P76" i="1"/>
  <c r="Q76" i="1"/>
  <c r="R76" i="1"/>
  <c r="H77" i="1"/>
  <c r="I77" i="1"/>
  <c r="J77" i="1"/>
  <c r="L77" i="1"/>
  <c r="M77" i="1"/>
  <c r="N77" i="1"/>
  <c r="O77" i="1"/>
  <c r="P77" i="1"/>
  <c r="Q77" i="1"/>
  <c r="R77" i="1"/>
  <c r="H78" i="1"/>
  <c r="I78" i="1"/>
  <c r="J78" i="1"/>
  <c r="L78" i="1"/>
  <c r="M78" i="1"/>
  <c r="N78" i="1"/>
  <c r="O78" i="1"/>
  <c r="P78" i="1"/>
  <c r="Q78" i="1"/>
  <c r="R78" i="1"/>
  <c r="H79" i="1"/>
  <c r="I79" i="1"/>
  <c r="J79" i="1"/>
  <c r="L79" i="1"/>
  <c r="M79" i="1"/>
  <c r="N79" i="1"/>
  <c r="O79" i="1"/>
  <c r="P79" i="1"/>
  <c r="Q79" i="1"/>
  <c r="R79" i="1"/>
  <c r="H80" i="1"/>
  <c r="I80" i="1"/>
  <c r="J80" i="1"/>
  <c r="L80" i="1"/>
  <c r="M80" i="1"/>
  <c r="N80" i="1"/>
  <c r="O80" i="1"/>
  <c r="P80" i="1"/>
  <c r="Q80" i="1"/>
  <c r="R80" i="1"/>
  <c r="H81" i="1"/>
  <c r="I81" i="1"/>
  <c r="J81" i="1"/>
  <c r="L81" i="1"/>
  <c r="M81" i="1"/>
  <c r="N81" i="1"/>
  <c r="O81" i="1"/>
  <c r="P81" i="1"/>
  <c r="Q81" i="1"/>
  <c r="R81" i="1"/>
  <c r="H82" i="1"/>
  <c r="I82" i="1"/>
  <c r="J82" i="1"/>
  <c r="L82" i="1"/>
  <c r="M82" i="1"/>
  <c r="N82" i="1"/>
  <c r="O82" i="1"/>
  <c r="P82" i="1"/>
  <c r="Q82" i="1"/>
  <c r="R82" i="1"/>
  <c r="H83" i="1"/>
  <c r="I83" i="1"/>
  <c r="J83" i="1"/>
  <c r="L83" i="1"/>
  <c r="M83" i="1"/>
  <c r="N83" i="1"/>
  <c r="O83" i="1"/>
  <c r="P83" i="1"/>
  <c r="Q83" i="1"/>
  <c r="R83" i="1"/>
  <c r="H84" i="1"/>
  <c r="I84" i="1"/>
  <c r="J84" i="1"/>
  <c r="L84" i="1"/>
  <c r="M84" i="1"/>
  <c r="N84" i="1"/>
  <c r="O84" i="1"/>
  <c r="P84" i="1"/>
  <c r="Q84" i="1"/>
  <c r="R84" i="1"/>
  <c r="H85" i="1"/>
  <c r="I85" i="1"/>
  <c r="J85" i="1"/>
  <c r="L85" i="1"/>
  <c r="M85" i="1"/>
  <c r="N85" i="1"/>
  <c r="O85" i="1"/>
  <c r="P85" i="1"/>
  <c r="Q85" i="1"/>
  <c r="R85" i="1"/>
  <c r="H86" i="1"/>
  <c r="I86" i="1"/>
  <c r="J86" i="1"/>
  <c r="L86" i="1"/>
  <c r="M86" i="1"/>
  <c r="N86" i="1"/>
  <c r="O86" i="1"/>
  <c r="P86" i="1"/>
  <c r="Q86" i="1"/>
  <c r="R86" i="1"/>
  <c r="H87" i="1"/>
  <c r="I87" i="1"/>
  <c r="J87" i="1"/>
  <c r="L87" i="1"/>
  <c r="M87" i="1"/>
  <c r="N87" i="1"/>
  <c r="O87" i="1"/>
  <c r="P87" i="1"/>
  <c r="Q87" i="1"/>
  <c r="R87" i="1"/>
  <c r="H88" i="1"/>
  <c r="I88" i="1"/>
  <c r="J88" i="1"/>
  <c r="L88" i="1"/>
  <c r="M88" i="1"/>
  <c r="N88" i="1"/>
  <c r="O88" i="1"/>
  <c r="P88" i="1"/>
  <c r="Q88" i="1"/>
  <c r="R88" i="1"/>
  <c r="H89" i="1"/>
  <c r="I89" i="1"/>
  <c r="J89" i="1"/>
  <c r="L89" i="1"/>
  <c r="M89" i="1"/>
  <c r="N89" i="1"/>
  <c r="O89" i="1"/>
  <c r="P89" i="1"/>
  <c r="Q89" i="1"/>
  <c r="R89" i="1"/>
  <c r="H90" i="1"/>
  <c r="I90" i="1"/>
  <c r="J90" i="1"/>
  <c r="L90" i="1"/>
  <c r="M90" i="1"/>
  <c r="N90" i="1"/>
  <c r="O90" i="1"/>
  <c r="P90" i="1"/>
  <c r="Q90" i="1"/>
  <c r="R90" i="1"/>
  <c r="H91" i="1"/>
  <c r="I91" i="1"/>
  <c r="J91" i="1"/>
  <c r="L91" i="1"/>
  <c r="M91" i="1"/>
  <c r="N91" i="1"/>
  <c r="O91" i="1"/>
  <c r="P91" i="1"/>
  <c r="Q91" i="1"/>
  <c r="R91" i="1"/>
  <c r="H92" i="1"/>
  <c r="I92" i="1"/>
  <c r="J92" i="1"/>
  <c r="L92" i="1"/>
  <c r="M92" i="1"/>
  <c r="N92" i="1"/>
  <c r="O92" i="1"/>
  <c r="P92" i="1"/>
  <c r="Q92" i="1"/>
  <c r="R92" i="1"/>
  <c r="H93" i="1"/>
  <c r="I93" i="1"/>
  <c r="J93" i="1"/>
  <c r="L93" i="1"/>
  <c r="M93" i="1"/>
  <c r="N93" i="1"/>
  <c r="O93" i="1"/>
  <c r="P93" i="1"/>
  <c r="Q93" i="1"/>
  <c r="R93" i="1"/>
  <c r="H94" i="1"/>
  <c r="I94" i="1"/>
  <c r="J94" i="1"/>
  <c r="L94" i="1"/>
  <c r="M94" i="1"/>
  <c r="N94" i="1"/>
  <c r="O94" i="1"/>
  <c r="P94" i="1"/>
  <c r="Q94" i="1"/>
  <c r="R94" i="1"/>
  <c r="H95" i="1"/>
  <c r="I95" i="1"/>
  <c r="J95" i="1"/>
  <c r="L95" i="1"/>
  <c r="M95" i="1"/>
  <c r="N95" i="1"/>
  <c r="O95" i="1"/>
  <c r="P95" i="1"/>
  <c r="Q95" i="1"/>
  <c r="R95" i="1"/>
  <c r="H96" i="1"/>
  <c r="I96" i="1"/>
  <c r="J96" i="1"/>
  <c r="L96" i="1"/>
  <c r="M96" i="1"/>
  <c r="N96" i="1"/>
  <c r="O96" i="1"/>
  <c r="P96" i="1"/>
  <c r="Q96" i="1"/>
  <c r="R96" i="1"/>
  <c r="H97" i="1"/>
  <c r="I97" i="1"/>
  <c r="J97" i="1"/>
  <c r="L97" i="1"/>
  <c r="M97" i="1"/>
  <c r="N97" i="1"/>
  <c r="O97" i="1"/>
  <c r="P97" i="1"/>
  <c r="Q97" i="1"/>
  <c r="R97" i="1"/>
  <c r="H98" i="1"/>
  <c r="I98" i="1"/>
  <c r="J98" i="1"/>
  <c r="L98" i="1"/>
  <c r="M98" i="1"/>
  <c r="N98" i="1"/>
  <c r="O98" i="1"/>
  <c r="P98" i="1"/>
  <c r="Q98" i="1"/>
  <c r="R98" i="1"/>
  <c r="H99" i="1"/>
  <c r="I99" i="1"/>
  <c r="J99" i="1"/>
  <c r="L99" i="1"/>
  <c r="M99" i="1"/>
  <c r="N99" i="1"/>
  <c r="O99" i="1"/>
  <c r="P99" i="1"/>
  <c r="Q99" i="1"/>
  <c r="R99" i="1"/>
  <c r="H100" i="1"/>
  <c r="I100" i="1"/>
  <c r="J100" i="1"/>
  <c r="L100" i="1"/>
  <c r="M100" i="1"/>
  <c r="N100" i="1"/>
  <c r="O100" i="1"/>
  <c r="P100" i="1"/>
  <c r="Q100" i="1"/>
  <c r="R100" i="1"/>
  <c r="H101" i="1"/>
  <c r="I101" i="1"/>
  <c r="J101" i="1"/>
  <c r="L101" i="1"/>
  <c r="M101" i="1"/>
  <c r="N101" i="1"/>
  <c r="O101" i="1"/>
  <c r="P101" i="1"/>
  <c r="Q101" i="1"/>
  <c r="R101" i="1"/>
  <c r="H102" i="1"/>
  <c r="I102" i="1"/>
  <c r="J102" i="1"/>
  <c r="L102" i="1"/>
  <c r="M102" i="1"/>
  <c r="N102" i="1"/>
  <c r="O102" i="1"/>
  <c r="P102" i="1"/>
  <c r="Q102" i="1"/>
  <c r="R102" i="1"/>
  <c r="H103" i="1"/>
  <c r="I103" i="1"/>
  <c r="J103" i="1"/>
  <c r="L103" i="1"/>
  <c r="M103" i="1"/>
  <c r="N103" i="1"/>
  <c r="O103" i="1"/>
  <c r="P103" i="1"/>
  <c r="Q103" i="1"/>
  <c r="R103" i="1"/>
  <c r="H104" i="1"/>
  <c r="I104" i="1"/>
  <c r="J104" i="1"/>
  <c r="L104" i="1"/>
  <c r="M104" i="1"/>
  <c r="N104" i="1"/>
  <c r="O104" i="1"/>
  <c r="P104" i="1"/>
  <c r="Q104" i="1"/>
  <c r="R104" i="1"/>
  <c r="H105" i="1"/>
  <c r="I105" i="1"/>
  <c r="J105" i="1"/>
  <c r="L105" i="1"/>
  <c r="M105" i="1"/>
  <c r="N105" i="1"/>
  <c r="O105" i="1"/>
  <c r="P105" i="1"/>
  <c r="Q105" i="1"/>
  <c r="R105" i="1"/>
  <c r="H106" i="1"/>
  <c r="I106" i="1"/>
  <c r="J106" i="1"/>
  <c r="L106" i="1"/>
  <c r="M106" i="1"/>
  <c r="N106" i="1"/>
  <c r="O106" i="1"/>
  <c r="P106" i="1"/>
  <c r="Q106" i="1"/>
  <c r="R106" i="1"/>
  <c r="H107" i="1"/>
  <c r="I107" i="1"/>
  <c r="J107" i="1"/>
  <c r="L107" i="1"/>
  <c r="M107" i="1"/>
  <c r="N107" i="1"/>
  <c r="O107" i="1"/>
  <c r="P107" i="1"/>
  <c r="Q107" i="1"/>
  <c r="R107" i="1"/>
  <c r="H108" i="1"/>
  <c r="I108" i="1"/>
  <c r="J108" i="1"/>
  <c r="L108" i="1"/>
  <c r="M108" i="1"/>
  <c r="N108" i="1"/>
  <c r="O108" i="1"/>
  <c r="P108" i="1"/>
  <c r="Q108" i="1"/>
  <c r="R108" i="1"/>
  <c r="H109" i="1"/>
  <c r="I109" i="1"/>
  <c r="J109" i="1"/>
  <c r="L109" i="1"/>
  <c r="M109" i="1"/>
  <c r="N109" i="1"/>
  <c r="O109" i="1"/>
  <c r="P109" i="1"/>
  <c r="Q109" i="1"/>
  <c r="R109" i="1"/>
  <c r="H110" i="1"/>
  <c r="I110" i="1"/>
  <c r="J110" i="1"/>
  <c r="L110" i="1"/>
  <c r="M110" i="1"/>
  <c r="N110" i="1"/>
  <c r="O110" i="1"/>
  <c r="P110" i="1"/>
  <c r="Q110" i="1"/>
  <c r="R110" i="1"/>
  <c r="H111" i="1"/>
  <c r="I111" i="1"/>
  <c r="J111" i="1"/>
  <c r="L111" i="1"/>
  <c r="M111" i="1"/>
  <c r="N111" i="1"/>
  <c r="O111" i="1"/>
  <c r="P111" i="1"/>
  <c r="Q111" i="1"/>
  <c r="R111" i="1"/>
  <c r="H112" i="1"/>
  <c r="I112" i="1"/>
  <c r="J112" i="1"/>
  <c r="L112" i="1"/>
  <c r="M112" i="1"/>
  <c r="N112" i="1"/>
  <c r="O112" i="1"/>
  <c r="P112" i="1"/>
  <c r="Q112" i="1"/>
  <c r="R112" i="1"/>
  <c r="H113" i="1"/>
  <c r="I113" i="1"/>
  <c r="J113" i="1"/>
  <c r="L113" i="1"/>
  <c r="M113" i="1"/>
  <c r="N113" i="1"/>
  <c r="O113" i="1"/>
  <c r="P113" i="1"/>
  <c r="Q113" i="1"/>
  <c r="R113" i="1"/>
  <c r="H114" i="1"/>
  <c r="I114" i="1"/>
  <c r="J114" i="1"/>
  <c r="L114" i="1"/>
  <c r="M114" i="1"/>
  <c r="N114" i="1"/>
  <c r="O114" i="1"/>
  <c r="P114" i="1"/>
  <c r="Q114" i="1"/>
  <c r="R114" i="1"/>
  <c r="H115" i="1"/>
  <c r="I115" i="1"/>
  <c r="J115" i="1"/>
  <c r="L115" i="1"/>
  <c r="M115" i="1"/>
  <c r="N115" i="1"/>
  <c r="O115" i="1"/>
  <c r="P115" i="1"/>
  <c r="Q115" i="1"/>
  <c r="R115" i="1"/>
  <c r="H116" i="1"/>
  <c r="I116" i="1"/>
  <c r="J116" i="1"/>
  <c r="L116" i="1"/>
  <c r="M116" i="1"/>
  <c r="N116" i="1"/>
  <c r="O116" i="1"/>
  <c r="P116" i="1"/>
  <c r="Q116" i="1"/>
  <c r="R116" i="1"/>
  <c r="H117" i="1"/>
  <c r="I117" i="1"/>
  <c r="J117" i="1"/>
  <c r="L117" i="1"/>
  <c r="M117" i="1"/>
  <c r="N117" i="1"/>
  <c r="O117" i="1"/>
  <c r="P117" i="1"/>
  <c r="Q117" i="1"/>
  <c r="R117" i="1"/>
  <c r="H118" i="1"/>
  <c r="I118" i="1"/>
  <c r="J118" i="1"/>
  <c r="L118" i="1"/>
  <c r="M118" i="1"/>
  <c r="N118" i="1"/>
  <c r="O118" i="1"/>
  <c r="P118" i="1"/>
  <c r="Q118" i="1"/>
  <c r="R118" i="1"/>
  <c r="H119" i="1"/>
  <c r="I119" i="1"/>
  <c r="J119" i="1"/>
  <c r="L119" i="1"/>
  <c r="M119" i="1"/>
  <c r="N119" i="1"/>
  <c r="O119" i="1"/>
  <c r="P119" i="1"/>
  <c r="Q119" i="1"/>
  <c r="R119" i="1"/>
  <c r="H120" i="1"/>
  <c r="I120" i="1"/>
  <c r="J120" i="1"/>
  <c r="L120" i="1"/>
  <c r="M120" i="1"/>
  <c r="N120" i="1"/>
  <c r="O120" i="1"/>
  <c r="P120" i="1"/>
  <c r="Q120" i="1"/>
  <c r="R120" i="1"/>
  <c r="H121" i="1"/>
  <c r="I121" i="1"/>
  <c r="J121" i="1"/>
  <c r="L121" i="1"/>
  <c r="M121" i="1"/>
  <c r="N121" i="1"/>
  <c r="O121" i="1"/>
  <c r="P121" i="1"/>
  <c r="Q121" i="1"/>
  <c r="R121" i="1"/>
  <c r="H122" i="1"/>
  <c r="I122" i="1"/>
  <c r="J122" i="1"/>
  <c r="L122" i="1"/>
  <c r="M122" i="1"/>
  <c r="N122" i="1"/>
  <c r="O122" i="1"/>
  <c r="P122" i="1"/>
  <c r="Q122" i="1"/>
  <c r="R122" i="1"/>
  <c r="H123" i="1"/>
  <c r="I123" i="1"/>
  <c r="J123" i="1"/>
  <c r="L123" i="1"/>
  <c r="M123" i="1"/>
  <c r="N123" i="1"/>
  <c r="O123" i="1"/>
  <c r="P123" i="1"/>
  <c r="Q123" i="1"/>
  <c r="R123" i="1"/>
  <c r="H124" i="1"/>
  <c r="I124" i="1"/>
  <c r="J124" i="1"/>
  <c r="L124" i="1"/>
  <c r="M124" i="1"/>
  <c r="N124" i="1"/>
  <c r="O124" i="1"/>
  <c r="P124" i="1"/>
  <c r="Q124" i="1"/>
  <c r="R124" i="1"/>
  <c r="H125" i="1"/>
  <c r="I125" i="1"/>
  <c r="J125" i="1"/>
  <c r="L125" i="1"/>
  <c r="M125" i="1"/>
  <c r="N125" i="1"/>
  <c r="O125" i="1"/>
  <c r="P125" i="1"/>
  <c r="Q125" i="1"/>
  <c r="R125" i="1"/>
  <c r="H126" i="1"/>
  <c r="I126" i="1"/>
  <c r="J126" i="1"/>
  <c r="L126" i="1"/>
  <c r="M126" i="1"/>
  <c r="N126" i="1"/>
  <c r="O126" i="1"/>
  <c r="P126" i="1"/>
  <c r="Q126" i="1"/>
  <c r="R126" i="1"/>
  <c r="H127" i="1"/>
  <c r="I127" i="1"/>
  <c r="J127" i="1"/>
  <c r="L127" i="1"/>
  <c r="M127" i="1"/>
  <c r="N127" i="1"/>
  <c r="O127" i="1"/>
  <c r="P127" i="1"/>
  <c r="Q127" i="1"/>
  <c r="R127" i="1"/>
  <c r="H128" i="1"/>
  <c r="I128" i="1"/>
  <c r="J128" i="1"/>
  <c r="L128" i="1"/>
  <c r="M128" i="1"/>
  <c r="N128" i="1"/>
  <c r="O128" i="1"/>
  <c r="P128" i="1"/>
  <c r="Q128" i="1"/>
  <c r="R128" i="1"/>
  <c r="H129" i="1"/>
  <c r="I129" i="1"/>
  <c r="J129" i="1"/>
  <c r="L129" i="1"/>
  <c r="M129" i="1"/>
  <c r="N129" i="1"/>
  <c r="O129" i="1"/>
  <c r="P129" i="1"/>
  <c r="Q129" i="1"/>
  <c r="R129" i="1"/>
  <c r="H130" i="1"/>
  <c r="I130" i="1"/>
  <c r="J130" i="1"/>
  <c r="L130" i="1"/>
  <c r="M130" i="1"/>
  <c r="N130" i="1"/>
  <c r="O130" i="1"/>
  <c r="P130" i="1"/>
  <c r="Q130" i="1"/>
  <c r="R130" i="1"/>
  <c r="H131" i="1"/>
  <c r="I131" i="1"/>
  <c r="J131" i="1"/>
  <c r="L131" i="1"/>
  <c r="M131" i="1"/>
  <c r="N131" i="1"/>
  <c r="O131" i="1"/>
  <c r="P131" i="1"/>
  <c r="Q131" i="1"/>
  <c r="R131" i="1"/>
  <c r="H132" i="1"/>
  <c r="I132" i="1"/>
  <c r="J132" i="1"/>
  <c r="L132" i="1"/>
  <c r="M132" i="1"/>
  <c r="N132" i="1"/>
  <c r="O132" i="1"/>
  <c r="P132" i="1"/>
  <c r="Q132" i="1"/>
  <c r="R132" i="1"/>
  <c r="H133" i="1"/>
  <c r="I133" i="1"/>
  <c r="J133" i="1"/>
  <c r="L133" i="1"/>
  <c r="M133" i="1"/>
  <c r="N133" i="1"/>
  <c r="O133" i="1"/>
  <c r="P133" i="1"/>
  <c r="Q133" i="1"/>
  <c r="R133" i="1"/>
  <c r="H134" i="1"/>
  <c r="I134" i="1"/>
  <c r="J134" i="1"/>
  <c r="L134" i="1"/>
  <c r="M134" i="1"/>
  <c r="N134" i="1"/>
  <c r="O134" i="1"/>
  <c r="P134" i="1"/>
  <c r="Q134" i="1"/>
  <c r="R134" i="1"/>
  <c r="H135" i="1"/>
  <c r="I135" i="1"/>
  <c r="J135" i="1"/>
  <c r="L135" i="1"/>
  <c r="M135" i="1"/>
  <c r="N135" i="1"/>
  <c r="O135" i="1"/>
  <c r="P135" i="1"/>
  <c r="Q135" i="1"/>
  <c r="R135" i="1"/>
  <c r="H136" i="1"/>
  <c r="I136" i="1"/>
  <c r="J136" i="1"/>
  <c r="L136" i="1"/>
  <c r="M136" i="1"/>
  <c r="N136" i="1"/>
  <c r="O136" i="1"/>
  <c r="P136" i="1"/>
  <c r="Q136" i="1"/>
  <c r="R136" i="1"/>
  <c r="H137" i="1"/>
  <c r="I137" i="1"/>
  <c r="J137" i="1"/>
  <c r="L137" i="1"/>
  <c r="M137" i="1"/>
  <c r="N137" i="1"/>
  <c r="O137" i="1"/>
  <c r="P137" i="1"/>
  <c r="Q137" i="1"/>
  <c r="R137" i="1"/>
  <c r="H138" i="1"/>
  <c r="I138" i="1"/>
  <c r="J138" i="1"/>
  <c r="L138" i="1"/>
  <c r="M138" i="1"/>
  <c r="N138" i="1"/>
  <c r="O138" i="1"/>
  <c r="P138" i="1"/>
  <c r="Q138" i="1"/>
  <c r="R138" i="1"/>
  <c r="H139" i="1"/>
  <c r="I139" i="1"/>
  <c r="J139" i="1"/>
  <c r="L139" i="1"/>
  <c r="M139" i="1"/>
  <c r="N139" i="1"/>
  <c r="O139" i="1"/>
  <c r="P139" i="1"/>
  <c r="Q139" i="1"/>
  <c r="R139" i="1"/>
  <c r="H140" i="1"/>
  <c r="I140" i="1"/>
  <c r="J140" i="1"/>
  <c r="L140" i="1"/>
  <c r="M140" i="1"/>
  <c r="N140" i="1"/>
  <c r="O140" i="1"/>
  <c r="P140" i="1"/>
  <c r="Q140" i="1"/>
  <c r="R140" i="1"/>
  <c r="H141" i="1"/>
  <c r="I141" i="1"/>
  <c r="J141" i="1"/>
  <c r="L141" i="1"/>
  <c r="M141" i="1"/>
  <c r="N141" i="1"/>
  <c r="O141" i="1"/>
  <c r="P141" i="1"/>
  <c r="Q141" i="1"/>
  <c r="R141" i="1"/>
  <c r="H142" i="1"/>
  <c r="I142" i="1"/>
  <c r="J142" i="1"/>
  <c r="L142" i="1"/>
  <c r="M142" i="1"/>
  <c r="N142" i="1"/>
  <c r="O142" i="1"/>
  <c r="P142" i="1"/>
  <c r="Q142" i="1"/>
  <c r="R142" i="1"/>
  <c r="H143" i="1"/>
  <c r="I143" i="1"/>
  <c r="J143" i="1"/>
  <c r="L143" i="1"/>
  <c r="M143" i="1"/>
  <c r="N143" i="1"/>
  <c r="O143" i="1"/>
  <c r="P143" i="1"/>
  <c r="Q143" i="1"/>
  <c r="R143" i="1"/>
  <c r="H144" i="1"/>
  <c r="I144" i="1"/>
  <c r="J144" i="1"/>
  <c r="L144" i="1"/>
  <c r="M144" i="1"/>
  <c r="N144" i="1"/>
  <c r="O144" i="1"/>
  <c r="P144" i="1"/>
  <c r="Q144" i="1"/>
  <c r="R144" i="1"/>
  <c r="H145" i="1"/>
  <c r="I145" i="1"/>
  <c r="J145" i="1"/>
  <c r="L145" i="1"/>
  <c r="M145" i="1"/>
  <c r="N145" i="1"/>
  <c r="O145" i="1"/>
  <c r="P145" i="1"/>
  <c r="Q145" i="1"/>
  <c r="R145" i="1"/>
  <c r="H146" i="1"/>
  <c r="I146" i="1"/>
  <c r="J146" i="1"/>
  <c r="L146" i="1"/>
  <c r="M146" i="1"/>
  <c r="N146" i="1"/>
  <c r="O146" i="1"/>
  <c r="P146" i="1"/>
  <c r="Q146" i="1"/>
  <c r="R146" i="1"/>
  <c r="H147" i="1"/>
  <c r="I147" i="1"/>
  <c r="J147" i="1"/>
  <c r="L147" i="1"/>
  <c r="M147" i="1"/>
  <c r="N147" i="1"/>
  <c r="O147" i="1"/>
  <c r="P147" i="1"/>
  <c r="Q147" i="1"/>
  <c r="R147" i="1"/>
  <c r="H148" i="1"/>
  <c r="I148" i="1"/>
  <c r="J148" i="1"/>
  <c r="L148" i="1"/>
  <c r="M148" i="1"/>
  <c r="N148" i="1"/>
  <c r="O148" i="1"/>
  <c r="P148" i="1"/>
  <c r="Q148" i="1"/>
  <c r="R148" i="1"/>
  <c r="H149" i="1"/>
  <c r="I149" i="1"/>
  <c r="J149" i="1"/>
  <c r="L149" i="1"/>
  <c r="M149" i="1"/>
  <c r="N149" i="1"/>
  <c r="O149" i="1"/>
  <c r="P149" i="1"/>
  <c r="Q149" i="1"/>
  <c r="R149" i="1"/>
  <c r="H150" i="1"/>
  <c r="I150" i="1"/>
  <c r="J150" i="1"/>
  <c r="L150" i="1"/>
  <c r="M150" i="1"/>
  <c r="N150" i="1"/>
  <c r="O150" i="1"/>
  <c r="P150" i="1"/>
  <c r="Q150" i="1"/>
  <c r="R150" i="1"/>
  <c r="H151" i="1"/>
  <c r="I151" i="1"/>
  <c r="J151" i="1"/>
  <c r="L151" i="1"/>
  <c r="M151" i="1"/>
  <c r="N151" i="1"/>
  <c r="O151" i="1"/>
  <c r="P151" i="1"/>
  <c r="Q151" i="1"/>
  <c r="R151" i="1"/>
  <c r="H152" i="1"/>
  <c r="I152" i="1"/>
  <c r="J152" i="1"/>
  <c r="L152" i="1"/>
  <c r="M152" i="1"/>
  <c r="N152" i="1"/>
  <c r="O152" i="1"/>
  <c r="P152" i="1"/>
  <c r="Q152" i="1"/>
  <c r="R152" i="1"/>
  <c r="H153" i="1"/>
  <c r="I153" i="1"/>
  <c r="J153" i="1"/>
  <c r="L153" i="1"/>
  <c r="M153" i="1"/>
  <c r="N153" i="1"/>
  <c r="O153" i="1"/>
  <c r="P153" i="1"/>
  <c r="Q153" i="1"/>
  <c r="R153" i="1"/>
  <c r="H154" i="1"/>
  <c r="I154" i="1"/>
  <c r="J154" i="1"/>
  <c r="L154" i="1"/>
  <c r="M154" i="1"/>
  <c r="N154" i="1"/>
  <c r="O154" i="1"/>
  <c r="P154" i="1"/>
  <c r="Q154" i="1"/>
  <c r="R154" i="1"/>
  <c r="H155" i="1"/>
  <c r="I155" i="1"/>
  <c r="J155" i="1"/>
  <c r="L155" i="1"/>
  <c r="M155" i="1"/>
  <c r="N155" i="1"/>
  <c r="O155" i="1"/>
  <c r="P155" i="1"/>
  <c r="Q155" i="1"/>
  <c r="R155" i="1"/>
  <c r="H156" i="1"/>
  <c r="I156" i="1"/>
  <c r="J156" i="1"/>
  <c r="L156" i="1"/>
  <c r="M156" i="1"/>
  <c r="N156" i="1"/>
  <c r="O156" i="1"/>
  <c r="P156" i="1"/>
  <c r="Q156" i="1"/>
  <c r="R156" i="1"/>
  <c r="H157" i="1"/>
  <c r="I157" i="1"/>
  <c r="J157" i="1"/>
  <c r="L157" i="1"/>
  <c r="M157" i="1"/>
  <c r="N157" i="1"/>
  <c r="O157" i="1"/>
  <c r="P157" i="1"/>
  <c r="Q157" i="1"/>
  <c r="R157" i="1"/>
  <c r="H158" i="1"/>
  <c r="I158" i="1"/>
  <c r="J158" i="1"/>
  <c r="L158" i="1"/>
  <c r="M158" i="1"/>
  <c r="N158" i="1"/>
  <c r="O158" i="1"/>
  <c r="P158" i="1"/>
  <c r="Q158" i="1"/>
  <c r="R158" i="1"/>
  <c r="H159" i="1"/>
  <c r="I159" i="1"/>
  <c r="J159" i="1"/>
  <c r="L159" i="1"/>
  <c r="M159" i="1"/>
  <c r="N159" i="1"/>
  <c r="O159" i="1"/>
  <c r="P159" i="1"/>
  <c r="Q159" i="1"/>
  <c r="R159" i="1"/>
  <c r="H160" i="1"/>
  <c r="I160" i="1"/>
  <c r="J160" i="1"/>
  <c r="L160" i="1"/>
  <c r="M160" i="1"/>
  <c r="N160" i="1"/>
  <c r="O160" i="1"/>
  <c r="P160" i="1"/>
  <c r="Q160" i="1"/>
  <c r="R160" i="1"/>
  <c r="H161" i="1"/>
  <c r="I161" i="1"/>
  <c r="J161" i="1"/>
  <c r="L161" i="1"/>
  <c r="M161" i="1"/>
  <c r="N161" i="1"/>
  <c r="O161" i="1"/>
  <c r="P161" i="1"/>
  <c r="Q161" i="1"/>
  <c r="R161" i="1"/>
  <c r="H162" i="1"/>
  <c r="I162" i="1"/>
  <c r="J162" i="1"/>
  <c r="L162" i="1"/>
  <c r="M162" i="1"/>
  <c r="N162" i="1"/>
  <c r="O162" i="1"/>
  <c r="P162" i="1"/>
  <c r="Q162" i="1"/>
  <c r="R162" i="1"/>
  <c r="H163" i="1"/>
  <c r="I163" i="1"/>
  <c r="J163" i="1"/>
  <c r="L163" i="1"/>
  <c r="M163" i="1"/>
  <c r="N163" i="1"/>
  <c r="O163" i="1"/>
  <c r="P163" i="1"/>
  <c r="Q163" i="1"/>
  <c r="R163" i="1"/>
  <c r="H164" i="1"/>
  <c r="I164" i="1"/>
  <c r="J164" i="1"/>
  <c r="L164" i="1"/>
  <c r="M164" i="1"/>
  <c r="N164" i="1"/>
  <c r="O164" i="1"/>
  <c r="P164" i="1"/>
  <c r="Q164" i="1"/>
  <c r="R164" i="1"/>
  <c r="H165" i="1"/>
  <c r="I165" i="1"/>
  <c r="J165" i="1"/>
  <c r="L165" i="1"/>
  <c r="M165" i="1"/>
  <c r="N165" i="1"/>
  <c r="O165" i="1"/>
  <c r="P165" i="1"/>
  <c r="Q165" i="1"/>
  <c r="R165" i="1"/>
  <c r="H166" i="1"/>
  <c r="I166" i="1"/>
  <c r="J166" i="1"/>
  <c r="L166" i="1"/>
  <c r="M166" i="1"/>
  <c r="N166" i="1"/>
  <c r="O166" i="1"/>
  <c r="P166" i="1"/>
  <c r="Q166" i="1"/>
  <c r="R166" i="1"/>
  <c r="H167" i="1"/>
  <c r="I167" i="1"/>
  <c r="J167" i="1"/>
  <c r="L167" i="1"/>
  <c r="M167" i="1"/>
  <c r="N167" i="1"/>
  <c r="O167" i="1"/>
  <c r="P167" i="1"/>
  <c r="Q167" i="1"/>
  <c r="R167" i="1"/>
  <c r="H168" i="1"/>
  <c r="I168" i="1"/>
  <c r="J168" i="1"/>
  <c r="L168" i="1"/>
  <c r="M168" i="1"/>
  <c r="N168" i="1"/>
  <c r="O168" i="1"/>
  <c r="P168" i="1"/>
  <c r="Q168" i="1"/>
  <c r="R168" i="1"/>
  <c r="H169" i="1"/>
  <c r="I169" i="1"/>
  <c r="J169" i="1"/>
  <c r="L169" i="1"/>
  <c r="M169" i="1"/>
  <c r="N169" i="1"/>
  <c r="O169" i="1"/>
  <c r="P169" i="1"/>
  <c r="Q169" i="1"/>
  <c r="R169" i="1"/>
  <c r="H170" i="1"/>
  <c r="I170" i="1"/>
  <c r="J170" i="1"/>
  <c r="L170" i="1"/>
  <c r="M170" i="1"/>
  <c r="N170" i="1"/>
  <c r="O170" i="1"/>
  <c r="P170" i="1"/>
  <c r="Q170" i="1"/>
  <c r="R170" i="1"/>
  <c r="H171" i="1"/>
  <c r="I171" i="1"/>
  <c r="J171" i="1"/>
  <c r="L171" i="1"/>
  <c r="M171" i="1"/>
  <c r="N171" i="1"/>
  <c r="O171" i="1"/>
  <c r="P171" i="1"/>
  <c r="Q171" i="1"/>
  <c r="R171" i="1"/>
  <c r="H172" i="1"/>
  <c r="I172" i="1"/>
  <c r="J172" i="1"/>
  <c r="L172" i="1"/>
  <c r="M172" i="1"/>
  <c r="N172" i="1"/>
  <c r="O172" i="1"/>
  <c r="P172" i="1"/>
  <c r="Q172" i="1"/>
  <c r="R172" i="1"/>
  <c r="H173" i="1"/>
  <c r="I173" i="1"/>
  <c r="J173" i="1"/>
  <c r="L173" i="1"/>
  <c r="M173" i="1"/>
  <c r="N173" i="1"/>
  <c r="O173" i="1"/>
  <c r="P173" i="1"/>
  <c r="Q173" i="1"/>
  <c r="R173" i="1"/>
  <c r="H174" i="1"/>
  <c r="I174" i="1"/>
  <c r="J174" i="1"/>
  <c r="L174" i="1"/>
  <c r="M174" i="1"/>
  <c r="N174" i="1"/>
  <c r="O174" i="1"/>
  <c r="P174" i="1"/>
  <c r="Q174" i="1"/>
  <c r="R174" i="1"/>
  <c r="H2" i="1"/>
  <c r="I2" i="1"/>
  <c r="J2" i="1"/>
  <c r="L2" i="1"/>
  <c r="M2" i="1"/>
  <c r="N2" i="1"/>
  <c r="O2" i="1"/>
  <c r="P2" i="1"/>
  <c r="Q2" i="1"/>
  <c r="R2" i="1"/>
</calcChain>
</file>

<file path=xl/sharedStrings.xml><?xml version="1.0" encoding="utf-8"?>
<sst xmlns="http://schemas.openxmlformats.org/spreadsheetml/2006/main" count="31973" uniqueCount="8406">
  <si>
    <t>Nr gr. poc.</t>
  </si>
  <si>
    <t>Nr poc.</t>
  </si>
  <si>
    <t>rel_w_pot</t>
  </si>
  <si>
    <t>nr_obiegu</t>
  </si>
  <si>
    <t>Termin</t>
  </si>
  <si>
    <t>Uwagi</t>
  </si>
  <si>
    <t>dzien_w_obiegu</t>
  </si>
  <si>
    <t>C</t>
  </si>
  <si>
    <t>H</t>
  </si>
  <si>
    <t>D</t>
  </si>
  <si>
    <t>ilość_wniosków</t>
  </si>
  <si>
    <t>pojazd</t>
  </si>
  <si>
    <t>rodzaj pociągu</t>
  </si>
  <si>
    <t>v max</t>
  </si>
  <si>
    <t>numer pociągu</t>
  </si>
  <si>
    <t>międzynarodowy numer pociągu</t>
  </si>
  <si>
    <t>nazwa</t>
  </si>
  <si>
    <t>odjazd</t>
  </si>
  <si>
    <t>stacja początkowa</t>
  </si>
  <si>
    <t>stacja końcowa</t>
  </si>
  <si>
    <t>przyjazd</t>
  </si>
  <si>
    <t>obsługa</t>
  </si>
  <si>
    <t>termin</t>
  </si>
  <si>
    <t>uwagi</t>
  </si>
  <si>
    <t>69604/5</t>
  </si>
  <si>
    <t>Lp</t>
  </si>
  <si>
    <t>Nr wniosku</t>
  </si>
  <si>
    <t>Data wniosku</t>
  </si>
  <si>
    <t>Wprowadził</t>
  </si>
  <si>
    <t>Nr zam.</t>
  </si>
  <si>
    <t>Nr gr. zam.</t>
  </si>
  <si>
    <t>Zastępczy</t>
  </si>
  <si>
    <t>Zależny</t>
  </si>
  <si>
    <t>Rodz. przew.</t>
  </si>
  <si>
    <t>Rodz. RJ</t>
  </si>
  <si>
    <t>Typ zam.</t>
  </si>
  <si>
    <t>Nr międz. poc.</t>
  </si>
  <si>
    <t>Nazwa poc.</t>
  </si>
  <si>
    <t>Rodz. poc.</t>
  </si>
  <si>
    <t>Pojazdy</t>
  </si>
  <si>
    <t>Max brutto</t>
  </si>
  <si>
    <t>Max długość</t>
  </si>
  <si>
    <t>Odległość</t>
  </si>
  <si>
    <t>V techn.</t>
  </si>
  <si>
    <t>V handl.</t>
  </si>
  <si>
    <t>Kursuje</t>
  </si>
  <si>
    <t>Poc. km</t>
  </si>
  <si>
    <t>Rezygnacje</t>
  </si>
  <si>
    <t>Rel. od</t>
  </si>
  <si>
    <t>Odj. RT</t>
  </si>
  <si>
    <t>Rel. do</t>
  </si>
  <si>
    <t>Prz. RT</t>
  </si>
  <si>
    <t>Rel. handl. od</t>
  </si>
  <si>
    <t>Odj. RH</t>
  </si>
  <si>
    <t>Rel. handl. do</t>
  </si>
  <si>
    <t>Prz. RH</t>
  </si>
  <si>
    <t>Rel. międzyn.</t>
  </si>
  <si>
    <t>Godz. wiod.</t>
  </si>
  <si>
    <t>Stacja wiod.</t>
  </si>
  <si>
    <t>Stan zam.</t>
  </si>
  <si>
    <t>Zarządzenie</t>
  </si>
  <si>
    <t>Z dnia</t>
  </si>
  <si>
    <t>Zaakc.</t>
  </si>
  <si>
    <t>Zaakc. cent.</t>
  </si>
  <si>
    <t>Przycz. odrz.</t>
  </si>
  <si>
    <t>Uwagi konstr.</t>
  </si>
  <si>
    <t>Projekt</t>
  </si>
  <si>
    <t>Numer zgody</t>
  </si>
  <si>
    <t>Data zatwierdzenia</t>
  </si>
  <si>
    <t>Zmiany</t>
  </si>
  <si>
    <t>KH</t>
  </si>
  <si>
    <t>UwagiPrzewoznika</t>
  </si>
  <si>
    <t>UwagiDoRozkladu</t>
  </si>
  <si>
    <t>RU</t>
  </si>
  <si>
    <t>RH</t>
  </si>
  <si>
    <t>1</t>
  </si>
  <si>
    <t>02/L/23</t>
  </si>
  <si>
    <t>2022-11-03 13:58:05</t>
  </si>
  <si>
    <t>SRJ000437</t>
  </si>
  <si>
    <t>53897</t>
  </si>
  <si>
    <t>P</t>
  </si>
  <si>
    <t>I</t>
  </si>
  <si>
    <t>66206/7</t>
  </si>
  <si>
    <t>RADUNIA</t>
  </si>
  <si>
    <t>ROM ROJ ROM</t>
  </si>
  <si>
    <t>36WEh</t>
  </si>
  <si>
    <t>152</t>
  </si>
  <si>
    <t>59</t>
  </si>
  <si>
    <t>93.935</t>
  </si>
  <si>
    <t>59.2</t>
  </si>
  <si>
    <t>48.6</t>
  </si>
  <si>
    <t>11.XII.22-10.III w (B);  [kursuje/podstawa: 78/78]</t>
  </si>
  <si>
    <t>7,326.93</t>
  </si>
  <si>
    <t>0</t>
  </si>
  <si>
    <t>Trzebnica</t>
  </si>
  <si>
    <t>06:39</t>
  </si>
  <si>
    <t>Świdnica Miasto</t>
  </si>
  <si>
    <t>08:35</t>
  </si>
  <si>
    <t>06:39 [O]</t>
  </si>
  <si>
    <t>Zarządzone</t>
  </si>
  <si>
    <t>IRJ_2023_53897</t>
  </si>
  <si>
    <t>2022-11-03 14:03:14</t>
  </si>
  <si>
    <t>Połączona relacja zamówień 53887 i 17613</t>
  </si>
  <si>
    <t>Os OsP</t>
  </si>
  <si>
    <t>2</t>
  </si>
  <si>
    <t>100/KD/R/23</t>
  </si>
  <si>
    <t>2022-11-03 13:54:27</t>
  </si>
  <si>
    <t>53896</t>
  </si>
  <si>
    <t>3414</t>
  </si>
  <si>
    <t>SKRJ 18855</t>
  </si>
  <si>
    <t>R</t>
  </si>
  <si>
    <t>Z</t>
  </si>
  <si>
    <t>69902/3</t>
  </si>
  <si>
    <t>33.435</t>
  </si>
  <si>
    <t>50.2</t>
  </si>
  <si>
    <t>44.6</t>
  </si>
  <si>
    <t>12.XII.22-10.III w (A);  [kursuje/podstawa: 65/260]</t>
  </si>
  <si>
    <t>2,173.28</t>
  </si>
  <si>
    <t>05:36</t>
  </si>
  <si>
    <t>Wrocław Główny</t>
  </si>
  <si>
    <t>06:21</t>
  </si>
  <si>
    <t>05:36 [O]</t>
  </si>
  <si>
    <t>ZPRRJ_2023_53896</t>
  </si>
  <si>
    <t>2022-11-03 14:01:20</t>
  </si>
  <si>
    <t>Zmiana parametrów 18855</t>
  </si>
  <si>
    <t>tak</t>
  </si>
  <si>
    <t>2022-11-03 13:54:36</t>
  </si>
  <si>
    <t xml:space="preserve">RP: ROJ/ROJ; LOK1: 36WEh/36WEh; LOK2: brak/brak; LOK3: brak/brak; DP: 59/59; BRUTTO: 152/152, RP: ROM/ROJ; LOK1: 36WEh/36WEh; LOK2: brak/brak; LOK3: brak/brak; DP: 59/59; BRUTTO: 152/152, RP: ROM/ROM; LOK1: 36WEh/36WEh; LOK2: brak/brak; LOK3: brak/brak; DP: 59/59; BRUTTO: 152/152, </t>
  </si>
  <si>
    <t>Os</t>
  </si>
  <si>
    <t>3</t>
  </si>
  <si>
    <t>01/L/23</t>
  </si>
  <si>
    <t>2022-11-03 13:52:15</t>
  </si>
  <si>
    <t>53892</t>
  </si>
  <si>
    <t>66204/5</t>
  </si>
  <si>
    <t>ROM</t>
  </si>
  <si>
    <t>36WEh SA139</t>
  </si>
  <si>
    <t>93.968</t>
  </si>
  <si>
    <t>58.4</t>
  </si>
  <si>
    <t>43.0</t>
  </si>
  <si>
    <t>11.XII.22-11.III ;  [kursuje/podstawa: 91/91]</t>
  </si>
  <si>
    <t>8,551.09</t>
  </si>
  <si>
    <t>20:16</t>
  </si>
  <si>
    <t>22:27</t>
  </si>
  <si>
    <t>20:16 [O]</t>
  </si>
  <si>
    <t>IRJ_2023_53892</t>
  </si>
  <si>
    <t>2022-11-03 13:59:15</t>
  </si>
  <si>
    <t>Połączona relacja zamówień 17619 i 18840</t>
  </si>
  <si>
    <t>4</t>
  </si>
  <si>
    <t>258/KD/R/23</t>
  </si>
  <si>
    <t>2022-11-03 13:39:59</t>
  </si>
  <si>
    <t>SRJ000414</t>
  </si>
  <si>
    <t>53880</t>
  </si>
  <si>
    <t>10294</t>
  </si>
  <si>
    <t>SKRJ 24258</t>
  </si>
  <si>
    <t>ROJ</t>
  </si>
  <si>
    <t>48WEc</t>
  </si>
  <si>
    <t>200</t>
  </si>
  <si>
    <t>91</t>
  </si>
  <si>
    <t>87.412</t>
  </si>
  <si>
    <t>81.3</t>
  </si>
  <si>
    <t>68.1</t>
  </si>
  <si>
    <t>11.XII.22-11.III ;  [kursuje/podstawa: 91/364]</t>
  </si>
  <si>
    <t>7,954.49</t>
  </si>
  <si>
    <t>Lubin</t>
  </si>
  <si>
    <t>06:02</t>
  </si>
  <si>
    <t>07:19</t>
  </si>
  <si>
    <t>06:02 [O]</t>
  </si>
  <si>
    <t>ZPRRJ_2023_53880</t>
  </si>
  <si>
    <t>2022-11-03 13:45:20</t>
  </si>
  <si>
    <t>Zmiana parametrów 24258</t>
  </si>
  <si>
    <t>2022-11-03 13:40:08</t>
  </si>
  <si>
    <t xml:space="preserve">RP: ROJ/ROJ; LOK1: 48WEc/31WE; LOK2: brak/brak; LOK3: brak/brak; DP: 91/74; BRUTTO: 200/178, </t>
  </si>
  <si>
    <t>5</t>
  </si>
  <si>
    <t>462/KD/R/23</t>
  </si>
  <si>
    <t>2022-11-03 13:39:09</t>
  </si>
  <si>
    <t>53879</t>
  </si>
  <si>
    <t>10404</t>
  </si>
  <si>
    <t>SKRJ 37044</t>
  </si>
  <si>
    <t>AZURYT</t>
  </si>
  <si>
    <t>22.299</t>
  </si>
  <si>
    <t>89.2</t>
  </si>
  <si>
    <t>2,029.21</t>
  </si>
  <si>
    <t>Legnica</t>
  </si>
  <si>
    <t>05:23</t>
  </si>
  <si>
    <t>05:38</t>
  </si>
  <si>
    <t>05:23 [O]</t>
  </si>
  <si>
    <t>ZPRRJ_2023_53879</t>
  </si>
  <si>
    <t>2022-11-03 13:45:19</t>
  </si>
  <si>
    <t>Zmiana parametrów 37044</t>
  </si>
  <si>
    <t>2022-11-03 13:39:25</t>
  </si>
  <si>
    <t>OsP</t>
  </si>
  <si>
    <t>6</t>
  </si>
  <si>
    <t>271/KD/R/23</t>
  </si>
  <si>
    <t>2022-11-03 13:38:20</t>
  </si>
  <si>
    <t>53878</t>
  </si>
  <si>
    <t>10399</t>
  </si>
  <si>
    <t>SKRJ 37046</t>
  </si>
  <si>
    <t>74.3</t>
  </si>
  <si>
    <t>66.9</t>
  </si>
  <si>
    <t>22:50</t>
  </si>
  <si>
    <t>23:10</t>
  </si>
  <si>
    <t>22:50 [O]</t>
  </si>
  <si>
    <t>ZPRRJ_2023_53878</t>
  </si>
  <si>
    <t>Zmiana parametrów 37046</t>
  </si>
  <si>
    <t>2022-11-03 13:38:27</t>
  </si>
  <si>
    <t>7</t>
  </si>
  <si>
    <t>477/KD/R/23</t>
  </si>
  <si>
    <t>2022-11-03 13:37:37</t>
  </si>
  <si>
    <t>53877</t>
  </si>
  <si>
    <t>11029</t>
  </si>
  <si>
    <t>SKRJ 24811</t>
  </si>
  <si>
    <t>KD SPRINTER CUPRUM</t>
  </si>
  <si>
    <t>RPJ</t>
  </si>
  <si>
    <t>93.3</t>
  </si>
  <si>
    <t>84.3</t>
  </si>
  <si>
    <t>21:36</t>
  </si>
  <si>
    <t>22:38</t>
  </si>
  <si>
    <t>21:36 [O]</t>
  </si>
  <si>
    <t>ZPRRJ_2023_53877</t>
  </si>
  <si>
    <t>2022-11-03 13:43:26</t>
  </si>
  <si>
    <t>Zmiana parametrów 24811</t>
  </si>
  <si>
    <t>2022-11-03 13:38:01</t>
  </si>
  <si>
    <t xml:space="preserve">RP: RPJ/RPJ; LOK1: 48WEc/31WE; LOK2: brak/brak; LOK3: brak/brak; DP: 91/74; BRUTTO: 200/178, </t>
  </si>
  <si>
    <t>8</t>
  </si>
  <si>
    <t>102/KD/R/23</t>
  </si>
  <si>
    <t>2022-11-03 13:37:23</t>
  </si>
  <si>
    <t>53875</t>
  </si>
  <si>
    <t>3416</t>
  </si>
  <si>
    <t>SKRJ 53848</t>
  </si>
  <si>
    <t>69904/5</t>
  </si>
  <si>
    <t>49.9</t>
  </si>
  <si>
    <t>42.7</t>
  </si>
  <si>
    <t>17.XII.22-11.III (6);  [kursuje/podstawa: 13/52]</t>
  </si>
  <si>
    <t>434.66</t>
  </si>
  <si>
    <t>07:26</t>
  </si>
  <si>
    <t>ZPRRJ_2023_53875</t>
  </si>
  <si>
    <t>Zmiana parametrów 53848</t>
  </si>
  <si>
    <t>2022-11-03 13:37:38</t>
  </si>
  <si>
    <t>9</t>
  </si>
  <si>
    <t>479/KD/R/23</t>
  </si>
  <si>
    <t>2022-11-03 13:35:02</t>
  </si>
  <si>
    <t>53872</t>
  </si>
  <si>
    <t>11075</t>
  </si>
  <si>
    <t>SKRJ 24852</t>
  </si>
  <si>
    <t>26.114</t>
  </si>
  <si>
    <t>55.0</t>
  </si>
  <si>
    <t>50.5</t>
  </si>
  <si>
    <t>11.XII.22-21.I w (C);  [kursuje/podstawa: 14/112]</t>
  </si>
  <si>
    <t>365.60</t>
  </si>
  <si>
    <t>Jelcz-Laskowice</t>
  </si>
  <si>
    <t>12:37</t>
  </si>
  <si>
    <t>13:08</t>
  </si>
  <si>
    <t>12:37 [O]</t>
  </si>
  <si>
    <t>ZPRRJ_2023_53872</t>
  </si>
  <si>
    <t>2022-11-03 13:41:36</t>
  </si>
  <si>
    <t>Zmiana parametrów 24852</t>
  </si>
  <si>
    <t>2022-11-03 13:35:26</t>
  </si>
  <si>
    <t>10</t>
  </si>
  <si>
    <t>2022-11-03 13:35:00</t>
  </si>
  <si>
    <t>53871</t>
  </si>
  <si>
    <t>SKRJ 24853</t>
  </si>
  <si>
    <t>22.I-11.III (6)(7);  [kursuje/podstawa: 14/112]</t>
  </si>
  <si>
    <t>ZPRRJ_2023_53871</t>
  </si>
  <si>
    <t>2022-11-03 13:41:35</t>
  </si>
  <si>
    <t>Zmiana parametrów 24853</t>
  </si>
  <si>
    <t>2022-11-03 13:35:24</t>
  </si>
  <si>
    <t>11</t>
  </si>
  <si>
    <t>251/KD/R/23</t>
  </si>
  <si>
    <t>2022-11-03 13:34:14</t>
  </si>
  <si>
    <t>53870</t>
  </si>
  <si>
    <t>9855</t>
  </si>
  <si>
    <t>SKRJ 27327</t>
  </si>
  <si>
    <t>69719/8</t>
  </si>
  <si>
    <t>26.098</t>
  </si>
  <si>
    <t>54.9</t>
  </si>
  <si>
    <t>365.37</t>
  </si>
  <si>
    <t>11:52</t>
  </si>
  <si>
    <t>12:23</t>
  </si>
  <si>
    <t>11:52 [O]</t>
  </si>
  <si>
    <t>ZPRRJ_2023_53870</t>
  </si>
  <si>
    <t>2022-11-03 13:40:06</t>
  </si>
  <si>
    <t>Zmiana parametrów 27327</t>
  </si>
  <si>
    <t>2022-11-03 13:34:32</t>
  </si>
  <si>
    <t>12</t>
  </si>
  <si>
    <t>2022-11-03 13:34:11</t>
  </si>
  <si>
    <t>53869</t>
  </si>
  <si>
    <t>SKRJ 27326</t>
  </si>
  <si>
    <t>ZPRRJ_2023_53869</t>
  </si>
  <si>
    <t>2022-11-03 13:40:05</t>
  </si>
  <si>
    <t>Zmiana parametrów 27326</t>
  </si>
  <si>
    <t>2022-11-03 13:34:30</t>
  </si>
  <si>
    <t>13</t>
  </si>
  <si>
    <t>448/KD/R/23</t>
  </si>
  <si>
    <t>2022-11-03 13:31:10</t>
  </si>
  <si>
    <t>53863</t>
  </si>
  <si>
    <t>10049</t>
  </si>
  <si>
    <t>SKRJ 24077</t>
  </si>
  <si>
    <t>76716/7</t>
  </si>
  <si>
    <t>BARYCZ</t>
  </si>
  <si>
    <t>94.565</t>
  </si>
  <si>
    <t>78.8</t>
  </si>
  <si>
    <t>70.9</t>
  </si>
  <si>
    <t>11.XII.22-11.III w (C);  [kursuje/podstawa: 28/364]</t>
  </si>
  <si>
    <t>2,647.82</t>
  </si>
  <si>
    <t>Krotoszyn</t>
  </si>
  <si>
    <t>09:41</t>
  </si>
  <si>
    <t>11:01</t>
  </si>
  <si>
    <t>09:41 [O]</t>
  </si>
  <si>
    <t>ZPRRJ_2023_53863</t>
  </si>
  <si>
    <t>2022-11-03 13:37:41</t>
  </si>
  <si>
    <t>Zmiana parametrów 24077</t>
  </si>
  <si>
    <t>2022-11-03 13:31:16</t>
  </si>
  <si>
    <t xml:space="preserve">RP: ROJ/ROJ; LOK1: 48WEc/45WE; LOK2: brak/brak; LOK3: brak/brak; DP: 91/90; BRUTTO: 200/212, </t>
  </si>
  <si>
    <t>14</t>
  </si>
  <si>
    <t>420/KD/R/23</t>
  </si>
  <si>
    <t>2022-11-03 13:29:59</t>
  </si>
  <si>
    <t>53862</t>
  </si>
  <si>
    <t>8719</t>
  </si>
  <si>
    <t>SKRJ 22888</t>
  </si>
  <si>
    <t>67759/8</t>
  </si>
  <si>
    <t>123.857</t>
  </si>
  <si>
    <t>68.5</t>
  </si>
  <si>
    <t>56.3</t>
  </si>
  <si>
    <t>1,734.00</t>
  </si>
  <si>
    <t>06:38</t>
  </si>
  <si>
    <t>08:50</t>
  </si>
  <si>
    <t>06:38 [O]</t>
  </si>
  <si>
    <t>ZPRRJ_2023_53862</t>
  </si>
  <si>
    <t>2022-11-03 13:35:40</t>
  </si>
  <si>
    <t>Zmiana parametrów 22888</t>
  </si>
  <si>
    <t>2022-11-03 13:30:11</t>
  </si>
  <si>
    <t>15</t>
  </si>
  <si>
    <t>2022-11-03 13:29:56</t>
  </si>
  <si>
    <t>53861</t>
  </si>
  <si>
    <t>SKRJ 22889</t>
  </si>
  <si>
    <t>ZPRRJ_2023_53861</t>
  </si>
  <si>
    <t>2022-11-03 13:35:39</t>
  </si>
  <si>
    <t>Zmiana parametrów 22889</t>
  </si>
  <si>
    <t>2022-11-03 13:30:10</t>
  </si>
  <si>
    <t>16</t>
  </si>
  <si>
    <t>427/KD/R/23</t>
  </si>
  <si>
    <t>2022-11-03 13:29:06</t>
  </si>
  <si>
    <t>53860</t>
  </si>
  <si>
    <t>8897</t>
  </si>
  <si>
    <t>SKRJ 23011</t>
  </si>
  <si>
    <t>53.1</t>
  </si>
  <si>
    <t>49.0</t>
  </si>
  <si>
    <t>23.I-10.III w (A);  [kursuje/podstawa: 35/252]</t>
  </si>
  <si>
    <t>913.99</t>
  </si>
  <si>
    <t>09:40</t>
  </si>
  <si>
    <t>10:12</t>
  </si>
  <si>
    <t>09:40 [O]</t>
  </si>
  <si>
    <t>ZPRRJ_2023_53860</t>
  </si>
  <si>
    <t>Zmiana parametrów 23011</t>
  </si>
  <si>
    <t>2022-11-03 13:29:17</t>
  </si>
  <si>
    <t>17</t>
  </si>
  <si>
    <t>2022-11-03 13:29:02</t>
  </si>
  <si>
    <t>53859</t>
  </si>
  <si>
    <t>SKRJ 23010</t>
  </si>
  <si>
    <t>12.XII.22-20.I w (D);  [kursuje/podstawa: 28/252]</t>
  </si>
  <si>
    <t>731.19</t>
  </si>
  <si>
    <t>ZPRRJ_2023_53859</t>
  </si>
  <si>
    <t>Zmiana parametrów 23010</t>
  </si>
  <si>
    <t>2022-11-03 13:29:15</t>
  </si>
  <si>
    <t>18</t>
  </si>
  <si>
    <t>446/KD/R/23</t>
  </si>
  <si>
    <t>2022-11-03 13:27:53</t>
  </si>
  <si>
    <t>53857</t>
  </si>
  <si>
    <t>9889</t>
  </si>
  <si>
    <t>SKRJ 27335</t>
  </si>
  <si>
    <t>69713/2</t>
  </si>
  <si>
    <t>59.849</t>
  </si>
  <si>
    <t>60.4</t>
  </si>
  <si>
    <t>41.8</t>
  </si>
  <si>
    <t>1,675.77</t>
  </si>
  <si>
    <t>Oleśnica</t>
  </si>
  <si>
    <t>08:02</t>
  </si>
  <si>
    <t>09:28</t>
  </si>
  <si>
    <t>08:02 [O]</t>
  </si>
  <si>
    <t>ZPRRJ_2023_53857</t>
  </si>
  <si>
    <t>2022-11-03 13:33:43</t>
  </si>
  <si>
    <t>Zmiana parametrów 27335</t>
  </si>
  <si>
    <t>2022-11-03 13:28:10</t>
  </si>
  <si>
    <t>19</t>
  </si>
  <si>
    <t>2022-11-03 13:27:51</t>
  </si>
  <si>
    <t>53856</t>
  </si>
  <si>
    <t>SKRJ 27334</t>
  </si>
  <si>
    <t>2,094.72</t>
  </si>
  <si>
    <t>ZPRRJ_2023_53856</t>
  </si>
  <si>
    <t>2022-11-03 13:33:41</t>
  </si>
  <si>
    <t>Zmiana parametrów 27334</t>
  </si>
  <si>
    <t>2022-11-03 13:28:09</t>
  </si>
  <si>
    <t>20</t>
  </si>
  <si>
    <t>421/KD/R/23</t>
  </si>
  <si>
    <t>2022-11-03 13:27:04</t>
  </si>
  <si>
    <t>53854</t>
  </si>
  <si>
    <t>8759</t>
  </si>
  <si>
    <t>SKRJ 22893</t>
  </si>
  <si>
    <t>69759/8</t>
  </si>
  <si>
    <t>59.898</t>
  </si>
  <si>
    <t>59.9</t>
  </si>
  <si>
    <t>50.6</t>
  </si>
  <si>
    <t>1,677.14</t>
  </si>
  <si>
    <t>07:49</t>
  </si>
  <si>
    <t>ZPRRJ_2023_53854</t>
  </si>
  <si>
    <t>2022-11-03 13:33:40</t>
  </si>
  <si>
    <t>Zmiana parametrów 22893</t>
  </si>
  <si>
    <t>2022-11-03 13:27:33</t>
  </si>
  <si>
    <t>21</t>
  </si>
  <si>
    <t>2022-11-03 13:27:02</t>
  </si>
  <si>
    <t>53853</t>
  </si>
  <si>
    <t>SKRJ 22894</t>
  </si>
  <si>
    <t>2,096.43</t>
  </si>
  <si>
    <t>ZPRRJ_2023_53853</t>
  </si>
  <si>
    <t>Zmiana parametrów 22894</t>
  </si>
  <si>
    <t>2022-11-03 13:27:24</t>
  </si>
  <si>
    <t>22</t>
  </si>
  <si>
    <t>203/KD/R/23</t>
  </si>
  <si>
    <t>2022-11-03 13:26:00</t>
  </si>
  <si>
    <t>53852</t>
  </si>
  <si>
    <t>7147</t>
  </si>
  <si>
    <t>SKRJ 27084</t>
  </si>
  <si>
    <t>69606/7</t>
  </si>
  <si>
    <t>89.160</t>
  </si>
  <si>
    <t>58.1</t>
  </si>
  <si>
    <t>22.I-11.III ;  [kursuje/podstawa: 49/364]</t>
  </si>
  <si>
    <t>4,368.84</t>
  </si>
  <si>
    <t>Rawicz</t>
  </si>
  <si>
    <t>04:45</t>
  </si>
  <si>
    <t>06:17</t>
  </si>
  <si>
    <t>04:45 [O]</t>
  </si>
  <si>
    <t>ZPRRJ_2023_53852</t>
  </si>
  <si>
    <t>2022-11-03 13:31:42</t>
  </si>
  <si>
    <t>Zmiana parametrów 27084</t>
  </si>
  <si>
    <t>2022-11-03 13:26:13</t>
  </si>
  <si>
    <t>23</t>
  </si>
  <si>
    <t>2022-11-03 13:25:57</t>
  </si>
  <si>
    <t>53851</t>
  </si>
  <si>
    <t>SKRJ 27085</t>
  </si>
  <si>
    <t>11.XII.22-21.I ;  [kursuje/podstawa: 42/364]</t>
  </si>
  <si>
    <t>3,744.72</t>
  </si>
  <si>
    <t>ZPRRJ_2023_53851</t>
  </si>
  <si>
    <t>Zmiana parametrów 27085</t>
  </si>
  <si>
    <t>2022-11-03 13:26:12</t>
  </si>
  <si>
    <t>24</t>
  </si>
  <si>
    <t>250/KD/R/23</t>
  </si>
  <si>
    <t>2022-11-03 13:21:14</t>
  </si>
  <si>
    <t>53843</t>
  </si>
  <si>
    <t>9061</t>
  </si>
  <si>
    <t>SKRJ 23089</t>
  </si>
  <si>
    <t>63.062</t>
  </si>
  <si>
    <t>82.3</t>
  </si>
  <si>
    <t>70.1</t>
  </si>
  <si>
    <t>5,738.64</t>
  </si>
  <si>
    <t>23:00</t>
  </si>
  <si>
    <t>23:54</t>
  </si>
  <si>
    <t>23:00 [O]</t>
  </si>
  <si>
    <t>ZPRRJ_2023_53843</t>
  </si>
  <si>
    <t>2022-11-03 13:27:42</t>
  </si>
  <si>
    <t>Zmiana parametrów 23089</t>
  </si>
  <si>
    <t>2022-11-03 13:21:32</t>
  </si>
  <si>
    <t>25</t>
  </si>
  <si>
    <t>413/KD/R/23</t>
  </si>
  <si>
    <t>2022-11-03 13:20:02</t>
  </si>
  <si>
    <t>53841</t>
  </si>
  <si>
    <t>6394</t>
  </si>
  <si>
    <t>SKRJ 20821</t>
  </si>
  <si>
    <t>SKORA</t>
  </si>
  <si>
    <t>162.608</t>
  </si>
  <si>
    <t>89.5</t>
  </si>
  <si>
    <t>79.3</t>
  </si>
  <si>
    <t>14,797.33</t>
  </si>
  <si>
    <t>Zgorzelec</t>
  </si>
  <si>
    <t>18:36</t>
  </si>
  <si>
    <t>20:39</t>
  </si>
  <si>
    <t>18:36 [O]</t>
  </si>
  <si>
    <t>ZPRRJ_2023_53841</t>
  </si>
  <si>
    <t>2022-11-03 13:25:47</t>
  </si>
  <si>
    <t>Zmiana parametrów 20821</t>
  </si>
  <si>
    <t>2022-11-03 13:20:24</t>
  </si>
  <si>
    <t>26</t>
  </si>
  <si>
    <t>391/KD/R/23</t>
  </si>
  <si>
    <t>2022-11-03 13:18:07</t>
  </si>
  <si>
    <t>53838</t>
  </si>
  <si>
    <t>5719</t>
  </si>
  <si>
    <t>SKRJ 20335</t>
  </si>
  <si>
    <t>87.5</t>
  </si>
  <si>
    <t>75.6</t>
  </si>
  <si>
    <t>11.XII.22-21.XII.22 codziennie oprócz (4); 22.XII.22-11.III ;  [kursuje/podstawa: 90/364]</t>
  </si>
  <si>
    <t>14,634.72</t>
  </si>
  <si>
    <t>14:46</t>
  </si>
  <si>
    <t>16:55</t>
  </si>
  <si>
    <t>14:46 [O]</t>
  </si>
  <si>
    <t>ZPRRJ_2023_53838</t>
  </si>
  <si>
    <t>2022-11-03 13:23:40</t>
  </si>
  <si>
    <t>Zmiana parametrów 20335</t>
  </si>
  <si>
    <t>2022-11-03 13:18:22</t>
  </si>
  <si>
    <t>27</t>
  </si>
  <si>
    <t>2022-11-03 13:18:05</t>
  </si>
  <si>
    <t>53837</t>
  </si>
  <si>
    <t>SKRJ 50510</t>
  </si>
  <si>
    <t>15.XII.22;  [kursuje/podstawa: 1/364]</t>
  </si>
  <si>
    <t>162.61</t>
  </si>
  <si>
    <t>ZPRRJ_2023_53837</t>
  </si>
  <si>
    <t>2022-11-03 13:23:39</t>
  </si>
  <si>
    <t>Zmiana parametrów 50510</t>
  </si>
  <si>
    <t>2022-11-03 13:18:21</t>
  </si>
  <si>
    <t>28</t>
  </si>
  <si>
    <t>419/KD/R/23</t>
  </si>
  <si>
    <t>2022-11-03 13:05:30</t>
  </si>
  <si>
    <t>53824</t>
  </si>
  <si>
    <t>8678</t>
  </si>
  <si>
    <t>SKRJ 22867</t>
  </si>
  <si>
    <t>55.8</t>
  </si>
  <si>
    <t>44.8</t>
  </si>
  <si>
    <t>23.I-10.III w (A);  [kursuje/podstawa: 35/364]</t>
  </si>
  <si>
    <t>06:11</t>
  </si>
  <si>
    <t>ZPRRJ_2023_53824</t>
  </si>
  <si>
    <t>2022-11-03 13:11:13</t>
  </si>
  <si>
    <t>Zmiana parametrów 22867</t>
  </si>
  <si>
    <t>2022-11-03 13:05:42</t>
  </si>
  <si>
    <t xml:space="preserve">RP: ROJ/ROJ; LOK1: 48WEc/36WEa; LOK2: brak/brak; LOK3: brak/brak; DP: 91/58; BRUTTO: 200/128, </t>
  </si>
  <si>
    <t>29</t>
  </si>
  <si>
    <t>2022-11-03 13:05:28</t>
  </si>
  <si>
    <t>53823</t>
  </si>
  <si>
    <t>SKRJ 22866</t>
  </si>
  <si>
    <t>55.2</t>
  </si>
  <si>
    <t>12.XII.22-20.I w (D);  [kursuje/podstawa: 28/364]</t>
  </si>
  <si>
    <t>ZPRRJ_2023_53823</t>
  </si>
  <si>
    <t>Zmiana parametrów 22866</t>
  </si>
  <si>
    <t>2022-11-03 13:05:41</t>
  </si>
  <si>
    <t>30</t>
  </si>
  <si>
    <t>331/KD/R/23</t>
  </si>
  <si>
    <t>2022-11-03 13:04:17</t>
  </si>
  <si>
    <t>53821</t>
  </si>
  <si>
    <t>17679</t>
  </si>
  <si>
    <t>12718</t>
  </si>
  <si>
    <t>SKRJ 33440</t>
  </si>
  <si>
    <t>KLR</t>
  </si>
  <si>
    <t>36WEa</t>
  </si>
  <si>
    <t>128</t>
  </si>
  <si>
    <t>58</t>
  </si>
  <si>
    <t>80.104</t>
  </si>
  <si>
    <t>69.7</t>
  </si>
  <si>
    <t>61.6</t>
  </si>
  <si>
    <t>16.XII.22-25.XII.22 (5)(6) oraz w święta; 30.XII.22-7.I (4)(5)(6); 13.I-11.III (5)(6);  [kursuje/podstawa: 28/364]</t>
  </si>
  <si>
    <t>2,242.91</t>
  </si>
  <si>
    <t>23:18</t>
  </si>
  <si>
    <t>Wałbrzych Główny</t>
  </si>
  <si>
    <t>[1] 00:36</t>
  </si>
  <si>
    <t>23:18 [O]</t>
  </si>
  <si>
    <t>ZPKPLRRJ_2023_53821</t>
  </si>
  <si>
    <t>2022-11-03 13:11:12</t>
  </si>
  <si>
    <t>Zmiana parametrów 33440</t>
  </si>
  <si>
    <t>2022-11-03 13:04:26</t>
  </si>
  <si>
    <t xml:space="preserve">RP: ROJ/ROJ; LOK1: 36WEa/31WE; LOK2: brak/brak; LOK3: brak/brak; DP: 58/74; BRUTTO: 128/178, </t>
  </si>
  <si>
    <t>31</t>
  </si>
  <si>
    <t>524/KD/R/23</t>
  </si>
  <si>
    <t>2022-11-03 13:02:51</t>
  </si>
  <si>
    <t>53818</t>
  </si>
  <si>
    <t>12738</t>
  </si>
  <si>
    <t>SKRJ 25792</t>
  </si>
  <si>
    <t>21.557</t>
  </si>
  <si>
    <t>60.2</t>
  </si>
  <si>
    <t>53.9</t>
  </si>
  <si>
    <t>16.XII.22-30.XII.22 (5); 5.I; 13.I-10.III (5);  [kursuje/podstawa: 13/252]</t>
  </si>
  <si>
    <t>280.24</t>
  </si>
  <si>
    <t>Kąty Wrocławskie</t>
  </si>
  <si>
    <t>22:39</t>
  </si>
  <si>
    <t>23:03</t>
  </si>
  <si>
    <t>22:39 [O]</t>
  </si>
  <si>
    <t>ZPRRJ_2023_53818</t>
  </si>
  <si>
    <t>2022-11-03 13:09:24</t>
  </si>
  <si>
    <t>Zmiana parametrów 25792</t>
  </si>
  <si>
    <t>2022-11-03 13:02:58</t>
  </si>
  <si>
    <t xml:space="preserve">RP: ROJ/ROM; LOK1: 36WEa/SA139; LOK2: brak/brak; LOK3: brak/brak; DP: 58/44; BRUTTO: 128/104, </t>
  </si>
  <si>
    <t>32</t>
  </si>
  <si>
    <t>330/KD/R/23</t>
  </si>
  <si>
    <t>2022-11-03 13:01:40</t>
  </si>
  <si>
    <t>53817</t>
  </si>
  <si>
    <t>12717</t>
  </si>
  <si>
    <t>SKRJ 25786</t>
  </si>
  <si>
    <t>63.1</t>
  </si>
  <si>
    <t>56.2</t>
  </si>
  <si>
    <t>22:04</t>
  </si>
  <si>
    <t>22:04 [O]</t>
  </si>
  <si>
    <t>ZPRRJ_2023_53817</t>
  </si>
  <si>
    <t>2022-11-03 13:07:42</t>
  </si>
  <si>
    <t>Zmiana parametrów 25786</t>
  </si>
  <si>
    <t>2022-11-03 13:01:59</t>
  </si>
  <si>
    <t>33</t>
  </si>
  <si>
    <t>48/PT/KD/23</t>
  </si>
  <si>
    <t>2022-11-03 12:59:55</t>
  </si>
  <si>
    <t>53816</t>
  </si>
  <si>
    <t>18131</t>
  </si>
  <si>
    <t>15240</t>
  </si>
  <si>
    <t>SKRJ 35043</t>
  </si>
  <si>
    <t>KLI</t>
  </si>
  <si>
    <t>KD SPRINTER ANTRACYT</t>
  </si>
  <si>
    <t>76.3</t>
  </si>
  <si>
    <t>70.7</t>
  </si>
  <si>
    <t>12.XII.22-10.III w (D);  [kursuje/podstawa: 63/364]</t>
  </si>
  <si>
    <t>5,046.55</t>
  </si>
  <si>
    <t>19:02</t>
  </si>
  <si>
    <t>20:10</t>
  </si>
  <si>
    <t>19:02 [O]</t>
  </si>
  <si>
    <t>ZPKPLIRJ_2023_53816</t>
  </si>
  <si>
    <t>2022-11-03 13:06:43</t>
  </si>
  <si>
    <t>Zmiana parametrów 35043</t>
  </si>
  <si>
    <t>2022-11-03 13:00:06</t>
  </si>
  <si>
    <t xml:space="preserve">RP: RPJ/RPJ; LOK1: 36WEa/31WE; LOK2: brak/brak; LOK3: brak/brak; DP: 58/74; BRUTTO: 128/178, </t>
  </si>
  <si>
    <t>34</t>
  </si>
  <si>
    <t>262/KD/R/23</t>
  </si>
  <si>
    <t>2022-11-03 12:58:56</t>
  </si>
  <si>
    <t>53814</t>
  </si>
  <si>
    <t>10322</t>
  </si>
  <si>
    <t>SKRJ 24278</t>
  </si>
  <si>
    <t>BORNIT</t>
  </si>
  <si>
    <t>125.927</t>
  </si>
  <si>
    <t>84.0</t>
  </si>
  <si>
    <t>72.0</t>
  </si>
  <si>
    <t>7,933.40</t>
  </si>
  <si>
    <t>Głogów</t>
  </si>
  <si>
    <t>10:30</t>
  </si>
  <si>
    <t>12:15</t>
  </si>
  <si>
    <t>10:30 [O]</t>
  </si>
  <si>
    <t>ZPRRJ_2023_53814</t>
  </si>
  <si>
    <t>2022-11-03 13:05:01</t>
  </si>
  <si>
    <t>Zmiana parametrów 24278</t>
  </si>
  <si>
    <t>2022-11-03 12:59:06</t>
  </si>
  <si>
    <t>35</t>
  </si>
  <si>
    <t>465/KD/R/23</t>
  </si>
  <si>
    <t>2022-11-03 12:58:11</t>
  </si>
  <si>
    <t>53812</t>
  </si>
  <si>
    <t>10837</t>
  </si>
  <si>
    <t>SKRJ 24682</t>
  </si>
  <si>
    <t>KD SPRINTER TADEUSZ ZASTAWNIK</t>
  </si>
  <si>
    <t>87.9</t>
  </si>
  <si>
    <t>79.5</t>
  </si>
  <si>
    <t>08:30</t>
  </si>
  <si>
    <t>10:05</t>
  </si>
  <si>
    <t>08:30 [O]</t>
  </si>
  <si>
    <t>ZPRRJ_2023_53812</t>
  </si>
  <si>
    <t>2022-11-03 13:04:44</t>
  </si>
  <si>
    <t>Zmiana parametrów 24682</t>
  </si>
  <si>
    <t>2022-11-03 12:58:31</t>
  </si>
  <si>
    <t>36</t>
  </si>
  <si>
    <t>432/KD/R/23</t>
  </si>
  <si>
    <t>2022-11-03 12:56:55</t>
  </si>
  <si>
    <t>53811</t>
  </si>
  <si>
    <t>9209</t>
  </si>
  <si>
    <t>SKRJ 23255</t>
  </si>
  <si>
    <t>52.2</t>
  </si>
  <si>
    <t>47.5</t>
  </si>
  <si>
    <t>17:38</t>
  </si>
  <si>
    <t>18:11</t>
  </si>
  <si>
    <t>17:38 [O]</t>
  </si>
  <si>
    <t>ZPRRJ_2023_53811</t>
  </si>
  <si>
    <t>2022-11-03 13:04:43</t>
  </si>
  <si>
    <t>Zmiana parametrów 23255</t>
  </si>
  <si>
    <t>2022-11-03 12:57:13</t>
  </si>
  <si>
    <t>37</t>
  </si>
  <si>
    <t>2022-11-03 12:56:52</t>
  </si>
  <si>
    <t>53810</t>
  </si>
  <si>
    <t>SKRJ 23256</t>
  </si>
  <si>
    <t>ZPRRJ_2023_53810</t>
  </si>
  <si>
    <t>Zmiana parametrów 23256</t>
  </si>
  <si>
    <t>2022-11-03 12:57:11</t>
  </si>
  <si>
    <t>38</t>
  </si>
  <si>
    <t>236/KD/R/23</t>
  </si>
  <si>
    <t>2022-11-03 12:54:48</t>
  </si>
  <si>
    <t>53804</t>
  </si>
  <si>
    <t>8746</t>
  </si>
  <si>
    <t>SKRJ 8746</t>
  </si>
  <si>
    <t>95.409</t>
  </si>
  <si>
    <t>67.7</t>
  </si>
  <si>
    <t>57.8</t>
  </si>
  <si>
    <t>2,671.45</t>
  </si>
  <si>
    <t>Kłodzko Miasto</t>
  </si>
  <si>
    <t>10:55</t>
  </si>
  <si>
    <t>12:34</t>
  </si>
  <si>
    <t>10:55 [O]</t>
  </si>
  <si>
    <t>ZPRRJ_2023_53804</t>
  </si>
  <si>
    <t>2022-11-03 13:01:28</t>
  </si>
  <si>
    <t>Zmiana parametrów 8746</t>
  </si>
  <si>
    <t>2022-11-03 12:55:02</t>
  </si>
  <si>
    <t xml:space="preserve">RP: ROJ/ROJ; LOK1: 36WEa/EN57AL; LOK2: brak/brak; LOK3: brak/brak; DP: 58/65; BRUTTO: 128/170, </t>
  </si>
  <si>
    <t>39</t>
  </si>
  <si>
    <t>13/KD/I/23</t>
  </si>
  <si>
    <t>2022-11-03 12:53:53</t>
  </si>
  <si>
    <t>53795</t>
  </si>
  <si>
    <t>14104</t>
  </si>
  <si>
    <t>SKRJ 14104</t>
  </si>
  <si>
    <t>PWJ</t>
  </si>
  <si>
    <t>107</t>
  </si>
  <si>
    <t>1.928</t>
  </si>
  <si>
    <t>38.6</t>
  </si>
  <si>
    <t>11.XII.22-11.III w (C);  [kursuje/podstawa: 28/112]</t>
  </si>
  <si>
    <t>53.98</t>
  </si>
  <si>
    <t>Kłodzko Główne</t>
  </si>
  <si>
    <t>10:40</t>
  </si>
  <si>
    <t>10:43</t>
  </si>
  <si>
    <t>10:40 [O]</t>
  </si>
  <si>
    <t>ZPRRJ_2023_53795</t>
  </si>
  <si>
    <t>2022-11-03 12:59:41</t>
  </si>
  <si>
    <t>Zmiana parametrów 14104</t>
  </si>
  <si>
    <t>2022-11-03 12:54:11</t>
  </si>
  <si>
    <t xml:space="preserve">RP: PWJ/PWJ; LOK1: 36WEa/EN57AL; LOK2: brak/brak; LOK3: brak/brak; DP: 58/65; BRUTTO: 107/132, </t>
  </si>
  <si>
    <t>po pociąg 69672</t>
  </si>
  <si>
    <t>40</t>
  </si>
  <si>
    <t>492/KD/R/23</t>
  </si>
  <si>
    <t>2022-11-03 12:52:55</t>
  </si>
  <si>
    <t>53791</t>
  </si>
  <si>
    <t>17661</t>
  </si>
  <si>
    <t>12635</t>
  </si>
  <si>
    <t>SKRJ 33413</t>
  </si>
  <si>
    <t>60.8</t>
  </si>
  <si>
    <t>03:46</t>
  </si>
  <si>
    <t>05:05</t>
  </si>
  <si>
    <t>03:46 [O]</t>
  </si>
  <si>
    <t>ZPKPLRRJ_2023_53791</t>
  </si>
  <si>
    <t>2022-11-03 13:02:09</t>
  </si>
  <si>
    <t>Zmiana parametrów 33413</t>
  </si>
  <si>
    <t>2022-11-03 12:53:12</t>
  </si>
  <si>
    <t>41</t>
  </si>
  <si>
    <t>523/KD/R/23</t>
  </si>
  <si>
    <t>2022-11-03 12:51:48</t>
  </si>
  <si>
    <t>53788</t>
  </si>
  <si>
    <t>17684</t>
  </si>
  <si>
    <t>12737</t>
  </si>
  <si>
    <t>SKRJ 33452</t>
  </si>
  <si>
    <t>45WE</t>
  </si>
  <si>
    <t>212</t>
  </si>
  <si>
    <t>90</t>
  </si>
  <si>
    <t>158.923</t>
  </si>
  <si>
    <t>59.4</t>
  </si>
  <si>
    <t>49.2</t>
  </si>
  <si>
    <t>11.XII.22-26.II ;  [kursuje/podstawa: 78/364]</t>
  </si>
  <si>
    <t>12,395.99</t>
  </si>
  <si>
    <t>Szklarska Poręba Górna</t>
  </si>
  <si>
    <t>18:41</t>
  </si>
  <si>
    <t>21:55</t>
  </si>
  <si>
    <t>18:41 [O]</t>
  </si>
  <si>
    <t>ZPKPLRRJ_2023_53788</t>
  </si>
  <si>
    <t>2022-11-03 13:01:30</t>
  </si>
  <si>
    <t>Zmiana parametrów 33452</t>
  </si>
  <si>
    <t>2022-11-03 12:52:00</t>
  </si>
  <si>
    <t xml:space="preserve">RP: ROJ/ROJ; LOK1: 45WE/36WEh; LOK2: brak/brak; LOK3: brak/brak; DP: 90/59; BRUTTO: 212/152, RP: ROJ/ROM; LOK1: 45WE/36WEh; LOK2: brak/brak; LOK3: brak/brak; DP: 90/59; BRUTTO: 212/152, </t>
  </si>
  <si>
    <t>42</t>
  </si>
  <si>
    <t>2022-11-03 12:51:45</t>
  </si>
  <si>
    <t>53787</t>
  </si>
  <si>
    <t>SKRJ 33451</t>
  </si>
  <si>
    <t>27.II-11.III ;  [kursuje/podstawa: 13/364]</t>
  </si>
  <si>
    <t>2,066.00</t>
  </si>
  <si>
    <t>ZPKPLRRJ_2023_53787</t>
  </si>
  <si>
    <t>2022-11-03 12:58:57</t>
  </si>
  <si>
    <t>Zmiana parametrów 33451</t>
  </si>
  <si>
    <t>2022-11-03 12:51:58</t>
  </si>
  <si>
    <t xml:space="preserve">RP: ROJ/ROJ; LOK1: 45WE/36WEh; LOK2: brak/brak; LOK3: brak/brak; DP: 90/59; BRUTTO: 212/152, </t>
  </si>
  <si>
    <t>43</t>
  </si>
  <si>
    <t>263/KD/R/23</t>
  </si>
  <si>
    <t>2022-11-03 12:48:34</t>
  </si>
  <si>
    <t>53774</t>
  </si>
  <si>
    <t>10331</t>
  </si>
  <si>
    <t>SKRJ 24279</t>
  </si>
  <si>
    <t>80.3</t>
  </si>
  <si>
    <t>12:35</t>
  </si>
  <si>
    <t>14:26</t>
  </si>
  <si>
    <t>12:35 [O]</t>
  </si>
  <si>
    <t>ZPRRJ_2023_53774</t>
  </si>
  <si>
    <t>2022-11-03 12:55:20</t>
  </si>
  <si>
    <t>Zmiana parametrów 24279</t>
  </si>
  <si>
    <t>2022-11-03 12:48:45</t>
  </si>
  <si>
    <t xml:space="preserve">RP: ROJ/ROJ; LOK1: 45WE/31WE; LOK2: brak/brak; LOK3: brak/brak; DP: 90/74; BRUTTO: 212/178, </t>
  </si>
  <si>
    <t>44</t>
  </si>
  <si>
    <t>466/KD/R/23</t>
  </si>
  <si>
    <t>2022-11-03 12:47:36</t>
  </si>
  <si>
    <t>53770</t>
  </si>
  <si>
    <t>10842</t>
  </si>
  <si>
    <t>SKRJ 24683</t>
  </si>
  <si>
    <t>81.7</t>
  </si>
  <si>
    <t>70.6</t>
  </si>
  <si>
    <t>10:35</t>
  </si>
  <si>
    <t>12:22</t>
  </si>
  <si>
    <t>10:35 [O]</t>
  </si>
  <si>
    <t>ZPRRJ_2023_53770</t>
  </si>
  <si>
    <t>2022-11-03 12:55:19</t>
  </si>
  <si>
    <t>Zmiana parametrów 24683</t>
  </si>
  <si>
    <t>2022-11-03 12:47:50</t>
  </si>
  <si>
    <t>45</t>
  </si>
  <si>
    <t>501/KD/R/23</t>
  </si>
  <si>
    <t>2022-11-03 12:46:41</t>
  </si>
  <si>
    <t>53768</t>
  </si>
  <si>
    <t>12667</t>
  </si>
  <si>
    <t>SKRJ 25749</t>
  </si>
  <si>
    <t>66.3</t>
  </si>
  <si>
    <t>58.8</t>
  </si>
  <si>
    <t>12.XII.22-10.III w (D);  [kursuje/podstawa: 63/252]</t>
  </si>
  <si>
    <t>1,358.09</t>
  </si>
  <si>
    <t>08:59</t>
  </si>
  <si>
    <t>09:21</t>
  </si>
  <si>
    <t>08:59 [O]</t>
  </si>
  <si>
    <t>ZPRRJ_2023_53768</t>
  </si>
  <si>
    <t>Zmiana parametrów 25749</t>
  </si>
  <si>
    <t>2022-11-03 12:47:03</t>
  </si>
  <si>
    <t>46</t>
  </si>
  <si>
    <t>304/KD/R/23</t>
  </si>
  <si>
    <t>2022-11-03 12:45:41</t>
  </si>
  <si>
    <t>53765</t>
  </si>
  <si>
    <t>12653</t>
  </si>
  <si>
    <t>SKRJ 25744</t>
  </si>
  <si>
    <t>08:25</t>
  </si>
  <si>
    <t>08:47</t>
  </si>
  <si>
    <t>08:25 [O]</t>
  </si>
  <si>
    <t>ZPRRJ_2023_53765</t>
  </si>
  <si>
    <t>2022-11-03 12:55:18</t>
  </si>
  <si>
    <t>Zmiana parametrów 25744</t>
  </si>
  <si>
    <t>2022-11-03 12:45:58</t>
  </si>
  <si>
    <t>47</t>
  </si>
  <si>
    <t>493/KD/R/23</t>
  </si>
  <si>
    <t>2022-11-03 12:44:45</t>
  </si>
  <si>
    <t>53762</t>
  </si>
  <si>
    <t>12641</t>
  </si>
  <si>
    <t>SKRJ 29235</t>
  </si>
  <si>
    <t>127.000</t>
  </si>
  <si>
    <t>69.9</t>
  </si>
  <si>
    <t>60.5</t>
  </si>
  <si>
    <t>4.III, 5.III; 11.III;  [kursuje/podstawa: 3/364]</t>
  </si>
  <si>
    <t>381.00</t>
  </si>
  <si>
    <t>Jelenia Góra</t>
  </si>
  <si>
    <t>03:56</t>
  </si>
  <si>
    <t>03:56 [O]</t>
  </si>
  <si>
    <t>ZPRRJ_2023_53762</t>
  </si>
  <si>
    <t>2022-11-03 12:50:34</t>
  </si>
  <si>
    <t>Zmiana parametrów 29235</t>
  </si>
  <si>
    <t>2022-11-03 12:45:00</t>
  </si>
  <si>
    <t xml:space="preserve">RP: ROJ/ROJ; LOK1: 45WE/36WEa; LOK2: brak/brak; LOK3: brak/brak; DP: 90/58; BRUTTO: 212/128, </t>
  </si>
  <si>
    <t>48</t>
  </si>
  <si>
    <t>2022-11-03 12:44:43</t>
  </si>
  <si>
    <t>53761</t>
  </si>
  <si>
    <t>SKRJ 29236</t>
  </si>
  <si>
    <t>11.XII.22-26.II w (C);  [kursuje/podstawa: 25/364]</t>
  </si>
  <si>
    <t>3,175.00</t>
  </si>
  <si>
    <t>ZPRRJ_2023_53761</t>
  </si>
  <si>
    <t>Zmiana parametrów 29236</t>
  </si>
  <si>
    <t>2022-11-03 12:44:57</t>
  </si>
  <si>
    <t>49</t>
  </si>
  <si>
    <t>502/KD/R/23</t>
  </si>
  <si>
    <t>2022-11-03 12:43:10</t>
  </si>
  <si>
    <t>53734</t>
  </si>
  <si>
    <t>12671</t>
  </si>
  <si>
    <t>SKRJ 52780</t>
  </si>
  <si>
    <t>60.9</t>
  </si>
  <si>
    <t>49.4</t>
  </si>
  <si>
    <t>06:25</t>
  </si>
  <si>
    <t>09:38</t>
  </si>
  <si>
    <t>06:25 [O]</t>
  </si>
  <si>
    <t>ZPRRJ_2023_53734</t>
  </si>
  <si>
    <t>2022-11-03 12:50:33</t>
  </si>
  <si>
    <t>Zmiana parametrów 52780</t>
  </si>
  <si>
    <t>2022-11-03 12:43:22</t>
  </si>
  <si>
    <t>50</t>
  </si>
  <si>
    <t>2022-11-03 12:43:08</t>
  </si>
  <si>
    <t>53733</t>
  </si>
  <si>
    <t>SKRJ 52779</t>
  </si>
  <si>
    <t>ZPRRJ_2023_53733</t>
  </si>
  <si>
    <t>2022-11-03 12:50:32</t>
  </si>
  <si>
    <t>Zmiana parametrów 52779</t>
  </si>
  <si>
    <t>2022-11-03 12:43:20</t>
  </si>
  <si>
    <t>51</t>
  </si>
  <si>
    <t>01/PT/KD/23</t>
  </si>
  <si>
    <t>2022-11-03 12:42:07</t>
  </si>
  <si>
    <t>53721</t>
  </si>
  <si>
    <t>14124</t>
  </si>
  <si>
    <t>SKRJ 15861</t>
  </si>
  <si>
    <t>31.923</t>
  </si>
  <si>
    <t>38.3</t>
  </si>
  <si>
    <t>2,489.99</t>
  </si>
  <si>
    <t>06:13</t>
  </si>
  <si>
    <t>ZPIRJ_2023_53721</t>
  </si>
  <si>
    <t>2022-11-03 12:47:48</t>
  </si>
  <si>
    <t>Zmiana parametrów 15861</t>
  </si>
  <si>
    <t>2022-11-03 12:42:42</t>
  </si>
  <si>
    <t>52</t>
  </si>
  <si>
    <t>53719</t>
  </si>
  <si>
    <t>SKRJ 42485</t>
  </si>
  <si>
    <t>27.II;  [kursuje/podstawa: 1/364]</t>
  </si>
  <si>
    <t>31.92</t>
  </si>
  <si>
    <t>ZPIRJ_2023_53719</t>
  </si>
  <si>
    <t>2022-11-03 12:47:47</t>
  </si>
  <si>
    <t>Zmiana parametrów 42485</t>
  </si>
  <si>
    <t>2022-11-03 12:42:38</t>
  </si>
  <si>
    <t>53</t>
  </si>
  <si>
    <t>2022-11-03 12:42:05</t>
  </si>
  <si>
    <t>53718</t>
  </si>
  <si>
    <t>SKRJ 41685</t>
  </si>
  <si>
    <t>28.II-11.III ;  [kursuje/podstawa: 12/364]</t>
  </si>
  <si>
    <t>383.08</t>
  </si>
  <si>
    <t>ZPIRJ_2023_53718</t>
  </si>
  <si>
    <t>Zmiana parametrów 41685</t>
  </si>
  <si>
    <t>2022-11-03 12:42:36</t>
  </si>
  <si>
    <t>54</t>
  </si>
  <si>
    <t>508/KD/R/23</t>
  </si>
  <si>
    <t>2022-11-03 12:40:55</t>
  </si>
  <si>
    <t>53712</t>
  </si>
  <si>
    <t>12690</t>
  </si>
  <si>
    <t>SKRJ 25776</t>
  </si>
  <si>
    <t>15:14</t>
  </si>
  <si>
    <t>15:37</t>
  </si>
  <si>
    <t>15:14 [O]</t>
  </si>
  <si>
    <t>ZPRRJ_2023_53712</t>
  </si>
  <si>
    <t>2022-11-03 12:47:49</t>
  </si>
  <si>
    <t>Zmiana parametrów 25776</t>
  </si>
  <si>
    <t>2022-11-03 12:41:13</t>
  </si>
  <si>
    <t>55</t>
  </si>
  <si>
    <t>314/KD/R/23</t>
  </si>
  <si>
    <t>2022-11-03 12:40:06</t>
  </si>
  <si>
    <t>53711</t>
  </si>
  <si>
    <t>12684</t>
  </si>
  <si>
    <t>SKRJ 25769</t>
  </si>
  <si>
    <t>14:34</t>
  </si>
  <si>
    <t>14:56</t>
  </si>
  <si>
    <t>14:34 [O]</t>
  </si>
  <si>
    <t>ZPRRJ_2023_53711</t>
  </si>
  <si>
    <t>2022-11-03 12:45:37</t>
  </si>
  <si>
    <t>Zmiana parametrów 25769</t>
  </si>
  <si>
    <t>2022-11-03 12:40:24</t>
  </si>
  <si>
    <t>56</t>
  </si>
  <si>
    <t>401/KD/R/23</t>
  </si>
  <si>
    <t>2022-11-03 12:39:14</t>
  </si>
  <si>
    <t>53709</t>
  </si>
  <si>
    <t>6039</t>
  </si>
  <si>
    <t>SKRJ 20595</t>
  </si>
  <si>
    <t>88.6</t>
  </si>
  <si>
    <t>73.4</t>
  </si>
  <si>
    <t>04:42</t>
  </si>
  <si>
    <t>06:55</t>
  </si>
  <si>
    <t>04:42 [O]</t>
  </si>
  <si>
    <t>ZPRRJ_2023_53709</t>
  </si>
  <si>
    <t>Zmiana parametrów 20595</t>
  </si>
  <si>
    <t>2022-11-03 12:39:36</t>
  </si>
  <si>
    <t>57</t>
  </si>
  <si>
    <t>399/KD/R/23</t>
  </si>
  <si>
    <t>2022-11-03 12:38:08</t>
  </si>
  <si>
    <t>53708</t>
  </si>
  <si>
    <t>5936</t>
  </si>
  <si>
    <t>SKRJ 20502</t>
  </si>
  <si>
    <t>76.2</t>
  </si>
  <si>
    <t>11.XII.22-8.I w (B); 13.I-22.I (5)(7); 23.I-27.I; 29.I; 3.II-10.III (5)(7);  [kursuje/podstawa: 46/312]</t>
  </si>
  <si>
    <t>7,479.97</t>
  </si>
  <si>
    <t>21:57</t>
  </si>
  <si>
    <t>[1] 00:05</t>
  </si>
  <si>
    <t>21:57 [O]</t>
  </si>
  <si>
    <t>ZPRRJ_2023_53708</t>
  </si>
  <si>
    <t>2022-11-03 12:45:32</t>
  </si>
  <si>
    <t>Zmiana parametrów 20502</t>
  </si>
  <si>
    <t>2022-11-03 12:38:41</t>
  </si>
  <si>
    <t>2022-11-03 12:38:07</t>
  </si>
  <si>
    <t>53707</t>
  </si>
  <si>
    <t>SKRJ 20503</t>
  </si>
  <si>
    <t>8.II, 9.II;  [kursuje/podstawa: 2/312]</t>
  </si>
  <si>
    <t>325.22</t>
  </si>
  <si>
    <t>ZPRRJ_2023_53707</t>
  </si>
  <si>
    <t>2022-11-03 12:45:31</t>
  </si>
  <si>
    <t>Zmiana parametrów 20503</t>
  </si>
  <si>
    <t>2022-11-03 12:38:37</t>
  </si>
  <si>
    <t>53706</t>
  </si>
  <si>
    <t>SKRJ 20504</t>
  </si>
  <si>
    <t>6.II, 7.II;  [kursuje/podstawa: 2/312]</t>
  </si>
  <si>
    <t>ZPRRJ_2023_53706</t>
  </si>
  <si>
    <t>Zmiana parametrów 20504</t>
  </si>
  <si>
    <t>2022-11-03 12:38:32</t>
  </si>
  <si>
    <t>60</t>
  </si>
  <si>
    <t>2022-11-03 12:38:06</t>
  </si>
  <si>
    <t>53705</t>
  </si>
  <si>
    <t>SKRJ 20505</t>
  </si>
  <si>
    <t>15.II, 16.II;  [kursuje/podstawa: 2/312]</t>
  </si>
  <si>
    <t>ZPRRJ_2023_53705</t>
  </si>
  <si>
    <t>2022-11-03 12:45:30</t>
  </si>
  <si>
    <t>Zmiana parametrów 20505</t>
  </si>
  <si>
    <t>2022-11-03 12:38:30</t>
  </si>
  <si>
    <t>61</t>
  </si>
  <si>
    <t>53704</t>
  </si>
  <si>
    <t>SKRJ 20506</t>
  </si>
  <si>
    <t>13.II, 14.II;  [kursuje/podstawa: 2/312]</t>
  </si>
  <si>
    <t>ZPRRJ_2023_53704</t>
  </si>
  <si>
    <t>2022-11-03 12:45:38</t>
  </si>
  <si>
    <t>Zmiana parametrów 20506</t>
  </si>
  <si>
    <t>2022-11-03 12:38:29</t>
  </si>
  <si>
    <t>62</t>
  </si>
  <si>
    <t>2022-11-03 12:38:05</t>
  </si>
  <si>
    <t>53703</t>
  </si>
  <si>
    <t>SKRJ 20507</t>
  </si>
  <si>
    <t>22.II, 23.II;  [kursuje/podstawa: 2/312]</t>
  </si>
  <si>
    <t>ZPRRJ_2023_53703</t>
  </si>
  <si>
    <t>2022-11-03 12:43:31</t>
  </si>
  <si>
    <t>Zmiana parametrów 20507</t>
  </si>
  <si>
    <t>2022-11-03 12:38:27</t>
  </si>
  <si>
    <t>63</t>
  </si>
  <si>
    <t>2022-11-03 12:38:03</t>
  </si>
  <si>
    <t>53702</t>
  </si>
  <si>
    <t>SKRJ 20508</t>
  </si>
  <si>
    <t>20.II, 21.II;  [kursuje/podstawa: 2/312]</t>
  </si>
  <si>
    <t>ZPRRJ_2023_53702</t>
  </si>
  <si>
    <t>Zmiana parametrów 20508</t>
  </si>
  <si>
    <t>2022-11-03 12:38:26</t>
  </si>
  <si>
    <t>64</t>
  </si>
  <si>
    <t>2022-11-03 12:38:02</t>
  </si>
  <si>
    <t>53701</t>
  </si>
  <si>
    <t>SKRJ 20509</t>
  </si>
  <si>
    <t>16.I-19.I; 27.II-2.III;  [kursuje/podstawa: 8/312]</t>
  </si>
  <si>
    <t>1,300.86</t>
  </si>
  <si>
    <t>ZPRRJ_2023_53701</t>
  </si>
  <si>
    <t>2022-11-03 12:43:30</t>
  </si>
  <si>
    <t>Zmiana parametrów 20509</t>
  </si>
  <si>
    <t>2022-11-03 12:38:24</t>
  </si>
  <si>
    <t>65</t>
  </si>
  <si>
    <t>2022-11-03 12:38:00</t>
  </si>
  <si>
    <t>53700</t>
  </si>
  <si>
    <t>SKRJ 20510</t>
  </si>
  <si>
    <t>9.I-12.I; 30.I-2.II; 6.III-9.III;  [kursuje/podstawa: 12/312]</t>
  </si>
  <si>
    <t>1,951.30</t>
  </si>
  <si>
    <t>ZPRRJ_2023_53700</t>
  </si>
  <si>
    <t>Zmiana parametrów 20510</t>
  </si>
  <si>
    <t>2022-11-03 12:38:23</t>
  </si>
  <si>
    <t>66</t>
  </si>
  <si>
    <t>2022-11-03 12:37:57</t>
  </si>
  <si>
    <t>53699</t>
  </si>
  <si>
    <t>5956</t>
  </si>
  <si>
    <t>SKRJ 20535</t>
  </si>
  <si>
    <t>88.3</t>
  </si>
  <si>
    <t>76.8</t>
  </si>
  <si>
    <t>2,113.90</t>
  </si>
  <si>
    <t>[1] 00:04</t>
  </si>
  <si>
    <t>ZPRRJ_2023_53699</t>
  </si>
  <si>
    <t>2022-11-03 12:43:29</t>
  </si>
  <si>
    <t>Zmiana parametrów 20535</t>
  </si>
  <si>
    <t>2022-11-03 12:38:17</t>
  </si>
  <si>
    <t>67</t>
  </si>
  <si>
    <t>522/KD/R/23</t>
  </si>
  <si>
    <t>2022-11-03 12:36:37</t>
  </si>
  <si>
    <t>53698</t>
  </si>
  <si>
    <t>12736</t>
  </si>
  <si>
    <t>SKRJ 25791</t>
  </si>
  <si>
    <t>21:08</t>
  </si>
  <si>
    <t>21:30</t>
  </si>
  <si>
    <t>21:08 [O]</t>
  </si>
  <si>
    <t>ZPRRJ_2023_53698</t>
  </si>
  <si>
    <t>Zmiana parametrów 25791</t>
  </si>
  <si>
    <t>2022-11-03 12:36:53</t>
  </si>
  <si>
    <t>68</t>
  </si>
  <si>
    <t>328/KD/R/23</t>
  </si>
  <si>
    <t>2022-11-03 12:35:51</t>
  </si>
  <si>
    <t>53693</t>
  </si>
  <si>
    <t>12713</t>
  </si>
  <si>
    <t>SKRJ 25785</t>
  </si>
  <si>
    <t>20:27</t>
  </si>
  <si>
    <t>20:49</t>
  </si>
  <si>
    <t>20:27 [O]</t>
  </si>
  <si>
    <t>ZPRRJ_2023_53693</t>
  </si>
  <si>
    <t>2022-11-03 12:41:25</t>
  </si>
  <si>
    <t>Zmiana parametrów 25785</t>
  </si>
  <si>
    <t>2022-11-03 12:35:57</t>
  </si>
  <si>
    <t>69</t>
  </si>
  <si>
    <t>2022-11-03 12:34:55</t>
  </si>
  <si>
    <t>53691</t>
  </si>
  <si>
    <t>3,525.96</t>
  </si>
  <si>
    <t>ZPRRJ_2023_53691</t>
  </si>
  <si>
    <t>2022-11-03 12:35:09</t>
  </si>
  <si>
    <t>70</t>
  </si>
  <si>
    <t>2022-11-03 12:34:06</t>
  </si>
  <si>
    <t>53688</t>
  </si>
  <si>
    <t>ZPRRJ_2023_53688</t>
  </si>
  <si>
    <t>2022-11-03 12:39:25</t>
  </si>
  <si>
    <t>2022-11-03 12:34:23</t>
  </si>
  <si>
    <t xml:space="preserve">RP: RPJ/RPJ; LOK1: 45WE/31WE; LOK2: brak/brak; LOK3: brak/brak; DP: 90/74; BRUTTO: 212/178, </t>
  </si>
  <si>
    <t>71</t>
  </si>
  <si>
    <t>336/KD/R/23</t>
  </si>
  <si>
    <t>2022-11-03 12:32:52</t>
  </si>
  <si>
    <t>53687</t>
  </si>
  <si>
    <t>12744</t>
  </si>
  <si>
    <t>SKRJ 25796</t>
  </si>
  <si>
    <t>65.113</t>
  </si>
  <si>
    <t>75.9</t>
  </si>
  <si>
    <t>67.4</t>
  </si>
  <si>
    <t>4,102.12</t>
  </si>
  <si>
    <t>14:37</t>
  </si>
  <si>
    <t>15:35</t>
  </si>
  <si>
    <t>14:37 [O]</t>
  </si>
  <si>
    <t>ZPRRJ_2023_53687</t>
  </si>
  <si>
    <t>2022-11-03 12:39:24</t>
  </si>
  <si>
    <t>Zmiana parametrów 25796</t>
  </si>
  <si>
    <t>2022-11-03 12:33:07</t>
  </si>
  <si>
    <t xml:space="preserve">RP: ROJ/ROM; LOK1: 45WE/SA134; LOK2: brak/brak; LOK3: brak/brak; DP: 90/42; BRUTTO: 212/97, </t>
  </si>
  <si>
    <t>72</t>
  </si>
  <si>
    <t>334/KD/R/23</t>
  </si>
  <si>
    <t>2022-11-03 12:31:35</t>
  </si>
  <si>
    <t>53682</t>
  </si>
  <si>
    <t>12741</t>
  </si>
  <si>
    <t>SKRJ 25793</t>
  </si>
  <si>
    <t>HENRYK POBOŻNY</t>
  </si>
  <si>
    <t>83.1</t>
  </si>
  <si>
    <t>76.6</t>
  </si>
  <si>
    <t>07:24</t>
  </si>
  <si>
    <t>08:15</t>
  </si>
  <si>
    <t>07:24 [O]</t>
  </si>
  <si>
    <t>ZPRRJ_2023_53682</t>
  </si>
  <si>
    <t>2022-11-03 12:37:44</t>
  </si>
  <si>
    <t>Zmiana parametrów 25793</t>
  </si>
  <si>
    <t>2022-11-03 12:31:52</t>
  </si>
  <si>
    <t>73</t>
  </si>
  <si>
    <t>525/KD/R/23</t>
  </si>
  <si>
    <t>2022-11-03 12:29:21</t>
  </si>
  <si>
    <t>53679</t>
  </si>
  <si>
    <t>12739</t>
  </si>
  <si>
    <t>SKRJ 37217</t>
  </si>
  <si>
    <t>41.2</t>
  </si>
  <si>
    <t>36.8</t>
  </si>
  <si>
    <t>20:51</t>
  </si>
  <si>
    <t>21:43</t>
  </si>
  <si>
    <t>20:51 [O]</t>
  </si>
  <si>
    <t>ZPRRJ_2023_53679</t>
  </si>
  <si>
    <t>Zmiana parametrów 37217</t>
  </si>
  <si>
    <t>2022-11-03 12:29:38</t>
  </si>
  <si>
    <t>74</t>
  </si>
  <si>
    <t>2022-11-03 12:29:18</t>
  </si>
  <si>
    <t>53678</t>
  </si>
  <si>
    <t>SKRJ 37218</t>
  </si>
  <si>
    <t>415.00</t>
  </si>
  <si>
    <t>ZPRRJ_2023_53678</t>
  </si>
  <si>
    <t>2022-11-03 12:35:50</t>
  </si>
  <si>
    <t>Zmiana parametrów 37218</t>
  </si>
  <si>
    <t>2022-11-03 12:29:34</t>
  </si>
  <si>
    <t>75</t>
  </si>
  <si>
    <t>322/KD/R/23</t>
  </si>
  <si>
    <t>2022-11-03 12:28:24</t>
  </si>
  <si>
    <t>53674</t>
  </si>
  <si>
    <t>12700</t>
  </si>
  <si>
    <t>SKRJ 29482</t>
  </si>
  <si>
    <t>KD SPRINTER KSIĄŻ</t>
  </si>
  <si>
    <t>63.6</t>
  </si>
  <si>
    <t>57.1</t>
  </si>
  <si>
    <t>17:20</t>
  </si>
  <si>
    <t>20:07</t>
  </si>
  <si>
    <t>17:20 [O]</t>
  </si>
  <si>
    <t>ZPRRJ_2023_53674</t>
  </si>
  <si>
    <t>2022-11-03 12:35:48</t>
  </si>
  <si>
    <t>Zmiana parametrów 29482</t>
  </si>
  <si>
    <t>2022-11-03 12:28:38</t>
  </si>
  <si>
    <t>76</t>
  </si>
  <si>
    <t>2022-11-03 12:28:21</t>
  </si>
  <si>
    <t>53673</t>
  </si>
  <si>
    <t>SKRJ 29483</t>
  </si>
  <si>
    <t>ZPRRJ_2023_53673</t>
  </si>
  <si>
    <t>2022-11-03 12:35:47</t>
  </si>
  <si>
    <t>Zmiana parametrów 29483</t>
  </si>
  <si>
    <t>2022-11-03 12:28:35</t>
  </si>
  <si>
    <t>77</t>
  </si>
  <si>
    <t>409/KD/R/23</t>
  </si>
  <si>
    <t>2022-11-03 12:27:20</t>
  </si>
  <si>
    <t>53671</t>
  </si>
  <si>
    <t>6260</t>
  </si>
  <si>
    <t>SKRJ 20750</t>
  </si>
  <si>
    <t>10,244.30</t>
  </si>
  <si>
    <t>16:33</t>
  </si>
  <si>
    <t>14:26 [O]</t>
  </si>
  <si>
    <t>ZPRRJ_2023_53671</t>
  </si>
  <si>
    <t>2022-11-03 12:33:36</t>
  </si>
  <si>
    <t>Zmiana parametrów 20750</t>
  </si>
  <si>
    <t>2022-11-03 12:27:31</t>
  </si>
  <si>
    <t>78</t>
  </si>
  <si>
    <t>387/KD/R/23</t>
  </si>
  <si>
    <t>2022-11-03 12:26:22</t>
  </si>
  <si>
    <t>53669</t>
  </si>
  <si>
    <t>5563</t>
  </si>
  <si>
    <t>SKRJ 20295</t>
  </si>
  <si>
    <t>KD SPRINTER NYSA</t>
  </si>
  <si>
    <t>111.5</t>
  </si>
  <si>
    <t>102.7</t>
  </si>
  <si>
    <t>11:08</t>
  </si>
  <si>
    <t>12:43</t>
  </si>
  <si>
    <t>11:08 [O]</t>
  </si>
  <si>
    <t>ZPRRJ_2023_53669</t>
  </si>
  <si>
    <t>2022-11-03 12:33:35</t>
  </si>
  <si>
    <t>Zmiana parametrów 20295</t>
  </si>
  <si>
    <t>2022-11-03 12:26:37</t>
  </si>
  <si>
    <t>79</t>
  </si>
  <si>
    <t>2022-11-03 12:25:21</t>
  </si>
  <si>
    <t>53668</t>
  </si>
  <si>
    <t>ZPRRJ_2023_53668</t>
  </si>
  <si>
    <t>2022-11-03 12:31:22</t>
  </si>
  <si>
    <t>2022-11-03 12:25:40</t>
  </si>
  <si>
    <t>80</t>
  </si>
  <si>
    <t>2022-11-03 12:24:16</t>
  </si>
  <si>
    <t>53664</t>
  </si>
  <si>
    <t>ZPRRJ_2023_53664</t>
  </si>
  <si>
    <t>2022-11-03 12:29:54</t>
  </si>
  <si>
    <t>2022-11-03 12:24:26</t>
  </si>
  <si>
    <t>81</t>
  </si>
  <si>
    <t>34/PT/KD/23</t>
  </si>
  <si>
    <t>2022-11-03 10:44:34</t>
  </si>
  <si>
    <t>53544</t>
  </si>
  <si>
    <t>15219</t>
  </si>
  <si>
    <t>SKRJ 26842</t>
  </si>
  <si>
    <t>69426/7</t>
  </si>
  <si>
    <t>SA135</t>
  </si>
  <si>
    <t>62.024</t>
  </si>
  <si>
    <t>47.6</t>
  </si>
  <si>
    <t>38.0</t>
  </si>
  <si>
    <t>12.XII.22-18.XII.22;  [kursuje/podstawa: 7/364]</t>
  </si>
  <si>
    <t>434.17</t>
  </si>
  <si>
    <t>364</t>
  </si>
  <si>
    <t>14:29</t>
  </si>
  <si>
    <t>Wałbrzych Miasto</t>
  </si>
  <si>
    <t>16:07</t>
  </si>
  <si>
    <t>14:29 [O]</t>
  </si>
  <si>
    <t>ZPIRJ_2023_53544</t>
  </si>
  <si>
    <t>2022-11-03 10:51:26</t>
  </si>
  <si>
    <t>Zwrot IRJ do poprawienia</t>
  </si>
  <si>
    <t>2022-11-03 10:44:49</t>
  </si>
  <si>
    <t xml:space="preserve">Os </t>
  </si>
  <si>
    <t>82</t>
  </si>
  <si>
    <t>2022-11-03 10:44:10</t>
  </si>
  <si>
    <t>53542</t>
  </si>
  <si>
    <t>SKRJ 26841</t>
  </si>
  <si>
    <t>11.XII.22; 11.III;  [kursuje/podstawa: 2/364]</t>
  </si>
  <si>
    <t>124.05</t>
  </si>
  <si>
    <t>ZPIRJ_2023_53542</t>
  </si>
  <si>
    <t>2022-11-03 10:44:27</t>
  </si>
  <si>
    <t>83</t>
  </si>
  <si>
    <t>2022-11-03 10:43:54</t>
  </si>
  <si>
    <t>53541</t>
  </si>
  <si>
    <t>SKRJ 26840</t>
  </si>
  <si>
    <t>19.XII.22-16.I ;  [kursuje/podstawa: 29/364]</t>
  </si>
  <si>
    <t>1,798.70</t>
  </si>
  <si>
    <t>ZPIRJ_2023_53541</t>
  </si>
  <si>
    <t>2022-11-03 10:49:20</t>
  </si>
  <si>
    <t>2022-11-03 10:44:13</t>
  </si>
  <si>
    <t>84</t>
  </si>
  <si>
    <t>2022-11-03 10:43:09</t>
  </si>
  <si>
    <t>53540</t>
  </si>
  <si>
    <t>SKRJ 26839</t>
  </si>
  <si>
    <t>17.I-10.III ;  [kursuje/podstawa: 53/364]</t>
  </si>
  <si>
    <t>3,287.27</t>
  </si>
  <si>
    <t>ZPIRJ_2023_53540</t>
  </si>
  <si>
    <t>2022-11-03 10:43:22</t>
  </si>
  <si>
    <t>85</t>
  </si>
  <si>
    <t>49/PT/KD/23</t>
  </si>
  <si>
    <t>2022-11-03 09:59:54</t>
  </si>
  <si>
    <t>53449</t>
  </si>
  <si>
    <t>24.204</t>
  </si>
  <si>
    <t>34.2</t>
  </si>
  <si>
    <t>33.0</t>
  </si>
  <si>
    <t>2,202.56</t>
  </si>
  <si>
    <t>Duszniki-Zdrój</t>
  </si>
  <si>
    <t>13:40</t>
  </si>
  <si>
    <t>14:24</t>
  </si>
  <si>
    <t>13:40 [O]</t>
  </si>
  <si>
    <t>IRJ_2023_53449</t>
  </si>
  <si>
    <t>2022-11-03 11:29:19</t>
  </si>
  <si>
    <t>Tabakiernik Patrycjusz dnia 2022-11-03</t>
  </si>
  <si>
    <t>2022-11-03 10:55:07</t>
  </si>
  <si>
    <t>86</t>
  </si>
  <si>
    <t>2022-11-03 09:40:33</t>
  </si>
  <si>
    <t>53312</t>
  </si>
  <si>
    <t>69943/2</t>
  </si>
  <si>
    <t>ROJ ROM</t>
  </si>
  <si>
    <t>33.468</t>
  </si>
  <si>
    <t>39.4</t>
  </si>
  <si>
    <t>26.XII.22; 6.I;  [kursuje/podstawa: 2/2]</t>
  </si>
  <si>
    <t>66.94</t>
  </si>
  <si>
    <t>05:40</t>
  </si>
  <si>
    <t>06:31</t>
  </si>
  <si>
    <t>05:40 [O]</t>
  </si>
  <si>
    <t>IRJ_2023_53312</t>
  </si>
  <si>
    <t>2022-11-03 10:11:37</t>
  </si>
  <si>
    <t>2022-11-03 10:05:18</t>
  </si>
  <si>
    <t>trasować w planie 69943.</t>
  </si>
  <si>
    <t>87</t>
  </si>
  <si>
    <t>227/KD/R/23</t>
  </si>
  <si>
    <t>2022-11-02 15:06:04</t>
  </si>
  <si>
    <t>53164</t>
  </si>
  <si>
    <t>8579</t>
  </si>
  <si>
    <t>SKRJ 36603</t>
  </si>
  <si>
    <t>31WE</t>
  </si>
  <si>
    <t>178</t>
  </si>
  <si>
    <t>95.406</t>
  </si>
  <si>
    <t>68.6</t>
  </si>
  <si>
    <t>60.3</t>
  </si>
  <si>
    <t>2,671.37</t>
  </si>
  <si>
    <t>04:26</t>
  </si>
  <si>
    <t>06:01</t>
  </si>
  <si>
    <t>04:26 [O]</t>
  </si>
  <si>
    <t>ZPRRJ_2023_53164</t>
  </si>
  <si>
    <t>2022-11-02 15:11:36</t>
  </si>
  <si>
    <t>Zmiana parametrów 36603</t>
  </si>
  <si>
    <t>2022-11-02 15:06:17</t>
  </si>
  <si>
    <t xml:space="preserve">RP: ROJ/ROJ; LOK1: 31WE/45WE; LOK2: brak/brak; LOK3: brak/brak; DP: 74/90; BRUTTO: 178/212, </t>
  </si>
  <si>
    <t>88</t>
  </si>
  <si>
    <t>239/KD/R/23</t>
  </si>
  <si>
    <t>2022-11-02 15:04:58</t>
  </si>
  <si>
    <t>53162</t>
  </si>
  <si>
    <t>8861</t>
  </si>
  <si>
    <t>SKRJ 40350</t>
  </si>
  <si>
    <t>6282</t>
  </si>
  <si>
    <t>WILCZKA</t>
  </si>
  <si>
    <t>RMJ</t>
  </si>
  <si>
    <t>138.495</t>
  </si>
  <si>
    <t>68.4</t>
  </si>
  <si>
    <t>53.3</t>
  </si>
  <si>
    <t>12.XII.22-14.XII.22;  [kursuje/podstawa: 3/364]</t>
  </si>
  <si>
    <t>415.49</t>
  </si>
  <si>
    <t>Lichkov</t>
  </si>
  <si>
    <t>11:43</t>
  </si>
  <si>
    <t>14:19</t>
  </si>
  <si>
    <t>11:43 [O]</t>
  </si>
  <si>
    <t>ZPRRJ_2023_53162</t>
  </si>
  <si>
    <t>2022-11-02 15:11:35</t>
  </si>
  <si>
    <t>Zmiana parametrów 40350</t>
  </si>
  <si>
    <t>2022-11-02 15:05:12</t>
  </si>
  <si>
    <t xml:space="preserve">RP: RMJ/RMJ; LOK1: 31WE/45WE; LOK2: brak/brak; LOK3: brak/brak; DP: 74/90; BRUTTO: 178/212, </t>
  </si>
  <si>
    <t>89</t>
  </si>
  <si>
    <t>2022-11-02 15:04:57</t>
  </si>
  <si>
    <t>53161</t>
  </si>
  <si>
    <t>SKRJ 40351</t>
  </si>
  <si>
    <t>15.XII.22, 16.XII.22;  [kursuje/podstawa: 2/364]</t>
  </si>
  <si>
    <t>276.99</t>
  </si>
  <si>
    <t>ZPRRJ_2023_53161</t>
  </si>
  <si>
    <t>Zmiana parametrów 40351</t>
  </si>
  <si>
    <t>2022-11-02 15:05:08</t>
  </si>
  <si>
    <t>2022-11-02 15:04:55</t>
  </si>
  <si>
    <t>53160</t>
  </si>
  <si>
    <t>SKRJ 8861</t>
  </si>
  <si>
    <t>19.XII.22-10.III w (D);  [kursuje/podstawa: 58/364]</t>
  </si>
  <si>
    <t>8,032.71</t>
  </si>
  <si>
    <t>ZPRRJ_2023_53160</t>
  </si>
  <si>
    <t>Zmiana parametrów 8861</t>
  </si>
  <si>
    <t>2022-11-02 15:05:07</t>
  </si>
  <si>
    <t>205/KD/R/23</t>
  </si>
  <si>
    <t>2022-11-02 15:03:40</t>
  </si>
  <si>
    <t>53154</t>
  </si>
  <si>
    <t>16938</t>
  </si>
  <si>
    <t>7229</t>
  </si>
  <si>
    <t>SKRJ 31455</t>
  </si>
  <si>
    <t>69610/1</t>
  </si>
  <si>
    <t>6283</t>
  </si>
  <si>
    <t>201.560</t>
  </si>
  <si>
    <t>70.5</t>
  </si>
  <si>
    <t>59.6</t>
  </si>
  <si>
    <t>12,698.28</t>
  </si>
  <si>
    <t>07:12</t>
  </si>
  <si>
    <t>07:12 [O]</t>
  </si>
  <si>
    <t>ZPKPLRRJ_2023_53154</t>
  </si>
  <si>
    <t>2022-11-02 15:09:16</t>
  </si>
  <si>
    <t>Zmiana parametrów 31455</t>
  </si>
  <si>
    <t>2022-11-02 15:03:46</t>
  </si>
  <si>
    <t>92</t>
  </si>
  <si>
    <t>226A/KD/R/23</t>
  </si>
  <si>
    <t>2022-11-02 15:02:50</t>
  </si>
  <si>
    <t>53146</t>
  </si>
  <si>
    <t>8571</t>
  </si>
  <si>
    <t>SKRJ 22733</t>
  </si>
  <si>
    <t>69652/3</t>
  </si>
  <si>
    <t>158.468</t>
  </si>
  <si>
    <t>72.9</t>
  </si>
  <si>
    <t>61.7</t>
  </si>
  <si>
    <t>9,983.48</t>
  </si>
  <si>
    <t>07:00</t>
  </si>
  <si>
    <t>ZPRRJ_2023_53146</t>
  </si>
  <si>
    <t>Zmiana parametrów 22733</t>
  </si>
  <si>
    <t>2022-11-02 15:03:05</t>
  </si>
  <si>
    <t>93</t>
  </si>
  <si>
    <t>08/KD/I/23</t>
  </si>
  <si>
    <t>2022-11-02 15:01:56</t>
  </si>
  <si>
    <t>53145</t>
  </si>
  <si>
    <t>14099</t>
  </si>
  <si>
    <t>SKRJ 14099</t>
  </si>
  <si>
    <t>145</t>
  </si>
  <si>
    <t>175.45</t>
  </si>
  <si>
    <t>04:10</t>
  </si>
  <si>
    <t>04:13</t>
  </si>
  <si>
    <t>04:10 [O]</t>
  </si>
  <si>
    <t>ZPRRJ_2023_53145</t>
  </si>
  <si>
    <t>2022-11-02 15:07:52</t>
  </si>
  <si>
    <t>Zmiana parametrów 14099</t>
  </si>
  <si>
    <t>2022-11-02 15:02:06</t>
  </si>
  <si>
    <t xml:space="preserve">RP: PWJ/PWJ; LOK1: 31WE/45WE; LOK2: brak/brak; LOK3: brak/brak; DP: 74/90; BRUTTO: 145/170, </t>
  </si>
  <si>
    <t>po pociąg 69602 oraz 69654.</t>
  </si>
  <si>
    <t>94</t>
  </si>
  <si>
    <t>249/KD/R/23</t>
  </si>
  <si>
    <t>2022-11-02 15:00:50</t>
  </si>
  <si>
    <t>53144</t>
  </si>
  <si>
    <t>9057</t>
  </si>
  <si>
    <t>SKRJ 9057</t>
  </si>
  <si>
    <t>6290</t>
  </si>
  <si>
    <t>45.017</t>
  </si>
  <si>
    <t>62.1</t>
  </si>
  <si>
    <t>54.0</t>
  </si>
  <si>
    <t>4,096.55</t>
  </si>
  <si>
    <t>20:43</t>
  </si>
  <si>
    <t>21:33</t>
  </si>
  <si>
    <t>20:43 [O]</t>
  </si>
  <si>
    <t>ZPRRJ_2023_53144</t>
  </si>
  <si>
    <t>Zmiana parametrów 9057</t>
  </si>
  <si>
    <t>2022-11-02 15:01:13</t>
  </si>
  <si>
    <t>95</t>
  </si>
  <si>
    <t>216/KD/R/23</t>
  </si>
  <si>
    <t>2022-11-02 14:59:55</t>
  </si>
  <si>
    <t>53143</t>
  </si>
  <si>
    <t>17032</t>
  </si>
  <si>
    <t>7781</t>
  </si>
  <si>
    <t>SKRJ 31562</t>
  </si>
  <si>
    <t>69632/3</t>
  </si>
  <si>
    <t>6291</t>
  </si>
  <si>
    <t>201.557</t>
  </si>
  <si>
    <t>69.1</t>
  </si>
  <si>
    <t>57.3</t>
  </si>
  <si>
    <t>12,698.09</t>
  </si>
  <si>
    <t>15:52</t>
  </si>
  <si>
    <t>19:23</t>
  </si>
  <si>
    <t>15:52 [O]</t>
  </si>
  <si>
    <t>ZPKPLRRJ_2023_53143</t>
  </si>
  <si>
    <t>2022-11-02 15:05:31</t>
  </si>
  <si>
    <t>Zmiana parametrów 31562</t>
  </si>
  <si>
    <t>2022-11-02 15:00:12</t>
  </si>
  <si>
    <t>96</t>
  </si>
  <si>
    <t>238/KD/R/23</t>
  </si>
  <si>
    <t>2022-11-02 14:58:38</t>
  </si>
  <si>
    <t>53142</t>
  </si>
  <si>
    <t>8854</t>
  </si>
  <si>
    <t>SKRJ 22974</t>
  </si>
  <si>
    <t>80.5</t>
  </si>
  <si>
    <t>68.8</t>
  </si>
  <si>
    <t>3,972.91</t>
  </si>
  <si>
    <t>14:12</t>
  </si>
  <si>
    <t>15:07</t>
  </si>
  <si>
    <t>14:12 [O]</t>
  </si>
  <si>
    <t>ZPRRJ_2023_53142</t>
  </si>
  <si>
    <t>2022-11-02 15:05:26</t>
  </si>
  <si>
    <t>Zmiana parametrów 22974</t>
  </si>
  <si>
    <t>2022-11-02 14:58:43</t>
  </si>
  <si>
    <t>97</t>
  </si>
  <si>
    <t>217/KD/R/23</t>
  </si>
  <si>
    <t>2022-11-02 14:56:19</t>
  </si>
  <si>
    <t>53141</t>
  </si>
  <si>
    <t>17036</t>
  </si>
  <si>
    <t>7794</t>
  </si>
  <si>
    <t>SKRJ 17036</t>
  </si>
  <si>
    <t>66.0</t>
  </si>
  <si>
    <t>54.7</t>
  </si>
  <si>
    <t>3,877.86</t>
  </si>
  <si>
    <t>16:51</t>
  </si>
  <si>
    <t>16:51 [O]</t>
  </si>
  <si>
    <t>ZPKPLRRJ_2023_53141</t>
  </si>
  <si>
    <t>2022-11-02 15:01:45</t>
  </si>
  <si>
    <t>Zmiana parametrów 17036</t>
  </si>
  <si>
    <t>2022-11-02 14:56:27</t>
  </si>
  <si>
    <t>98</t>
  </si>
  <si>
    <t>406/KD/R/23</t>
  </si>
  <si>
    <t>2022-11-02 14:54:26</t>
  </si>
  <si>
    <t>53140</t>
  </si>
  <si>
    <t>6161</t>
  </si>
  <si>
    <t>SKRJ 20665</t>
  </si>
  <si>
    <t>69513/2</t>
  </si>
  <si>
    <t>157.877</t>
  </si>
  <si>
    <t>79.6</t>
  </si>
  <si>
    <t>62.7</t>
  </si>
  <si>
    <t>14,366.81</t>
  </si>
  <si>
    <t>Lubań Śląski</t>
  </si>
  <si>
    <t>09:10</t>
  </si>
  <si>
    <t>11:41</t>
  </si>
  <si>
    <t>09:10 [O]</t>
  </si>
  <si>
    <t>ZPRRJ_2023_53140</t>
  </si>
  <si>
    <t>Zmiana parametrów 20665</t>
  </si>
  <si>
    <t>2022-11-02 14:54:41</t>
  </si>
  <si>
    <t xml:space="preserve">RP: ROJ/ROJ; LOK1: 31WE/36WEa; LOK2: brak/brak; LOK3: brak/brak; DP: 74/58; BRUTTO: 178/128, </t>
  </si>
  <si>
    <t>99</t>
  </si>
  <si>
    <t>526/KD/R/23</t>
  </si>
  <si>
    <t>2022-11-02 14:53:17</t>
  </si>
  <si>
    <t>53139</t>
  </si>
  <si>
    <t>12740</t>
  </si>
  <si>
    <t>SKRJ 37140</t>
  </si>
  <si>
    <t>21.801</t>
  </si>
  <si>
    <t>48.4</t>
  </si>
  <si>
    <t>46.7</t>
  </si>
  <si>
    <t>1,983.89</t>
  </si>
  <si>
    <t>Węgliniec</t>
  </si>
  <si>
    <t>08:20</t>
  </si>
  <si>
    <t>08:48</t>
  </si>
  <si>
    <t>08:20 [O]</t>
  </si>
  <si>
    <t>ZPRRJ_2023_53139</t>
  </si>
  <si>
    <t>2022-11-02 14:59:22</t>
  </si>
  <si>
    <t>Zmiana parametrów 37140</t>
  </si>
  <si>
    <t>2022-11-02 14:53:27</t>
  </si>
  <si>
    <t>100</t>
  </si>
  <si>
    <t>332/KD/R/23</t>
  </si>
  <si>
    <t>2022-11-02 14:52:30</t>
  </si>
  <si>
    <t>53138</t>
  </si>
  <si>
    <t>12721</t>
  </si>
  <si>
    <t>SKRJ 37139</t>
  </si>
  <si>
    <t>07:40</t>
  </si>
  <si>
    <t>08:08</t>
  </si>
  <si>
    <t>07:40 [O]</t>
  </si>
  <si>
    <t>ZPRRJ_2023_53138</t>
  </si>
  <si>
    <t>2022-11-02 14:59:21</t>
  </si>
  <si>
    <t>Zmiana parametrów 37139</t>
  </si>
  <si>
    <t>2022-11-02 14:52:45</t>
  </si>
  <si>
    <t>101</t>
  </si>
  <si>
    <t>383/KD/R/23</t>
  </si>
  <si>
    <t>2022-11-02 14:51:26</t>
  </si>
  <si>
    <t>53137</t>
  </si>
  <si>
    <t>5428</t>
  </si>
  <si>
    <t>SKRJ 20051</t>
  </si>
  <si>
    <t>69553/2</t>
  </si>
  <si>
    <t>79.9</t>
  </si>
  <si>
    <t>04:34</t>
  </si>
  <si>
    <t>07:14</t>
  </si>
  <si>
    <t>04:34 [O]</t>
  </si>
  <si>
    <t>ZPRRJ_2023_53137</t>
  </si>
  <si>
    <t>2022-11-02 14:57:26</t>
  </si>
  <si>
    <t>Zmiana parametrów 20051</t>
  </si>
  <si>
    <t>2022-11-02 14:51:37</t>
  </si>
  <si>
    <t>102</t>
  </si>
  <si>
    <t>272/KD/R/23</t>
  </si>
  <si>
    <t>2022-11-02 14:50:31</t>
  </si>
  <si>
    <t>53136</t>
  </si>
  <si>
    <t>10407</t>
  </si>
  <si>
    <t>SKRJ 24354</t>
  </si>
  <si>
    <t>ODRA</t>
  </si>
  <si>
    <t>88.4</t>
  </si>
  <si>
    <t>80.4</t>
  </si>
  <si>
    <t>11.XII.22-30.I ; 6.II-11.III ;  [kursuje/podstawa: 85/364]</t>
  </si>
  <si>
    <t>10,703.80</t>
  </si>
  <si>
    <t>22:33</t>
  </si>
  <si>
    <t>[1] 00:07</t>
  </si>
  <si>
    <t>22:33 [O]</t>
  </si>
  <si>
    <t>ZPRRJ_2023_53136</t>
  </si>
  <si>
    <t>2022-11-02 14:57:25</t>
  </si>
  <si>
    <t>Zmiana parametrów 24354</t>
  </si>
  <si>
    <t>2022-11-02 14:50:42</t>
  </si>
  <si>
    <t>103</t>
  </si>
  <si>
    <t>2022-11-02 14:50:30</t>
  </si>
  <si>
    <t>53135</t>
  </si>
  <si>
    <t>SKRJ 37846</t>
  </si>
  <si>
    <t>31.I-2.II;  [kursuje/podstawa: 3/364]</t>
  </si>
  <si>
    <t>377.78</t>
  </si>
  <si>
    <t>ZPRRJ_2023_53135</t>
  </si>
  <si>
    <t>2022-11-02 14:57:27</t>
  </si>
  <si>
    <t>Zmiana parametrów 37846</t>
  </si>
  <si>
    <t>2022-11-02 14:50:43</t>
  </si>
  <si>
    <t>104</t>
  </si>
  <si>
    <t>2022-11-02 14:50:27</t>
  </si>
  <si>
    <t>53134</t>
  </si>
  <si>
    <t>SKRJ 37847</t>
  </si>
  <si>
    <t>3.II-5.II;  [kursuje/podstawa: 3/364]</t>
  </si>
  <si>
    <t>ZPRRJ_2023_53134</t>
  </si>
  <si>
    <t>Zmiana parametrów 37847</t>
  </si>
  <si>
    <t>2022-11-02 14:50:41</t>
  </si>
  <si>
    <t>105</t>
  </si>
  <si>
    <t>475/KD/R/23</t>
  </si>
  <si>
    <t>2022-11-02 14:49:27</t>
  </si>
  <si>
    <t>53132</t>
  </si>
  <si>
    <t>10973</t>
  </si>
  <si>
    <t>SKRJ 24734</t>
  </si>
  <si>
    <t>60.814</t>
  </si>
  <si>
    <t>77.6</t>
  </si>
  <si>
    <t>67.6</t>
  </si>
  <si>
    <t>18.XII.22-11.III ;  [kursuje/podstawa: 84/364]</t>
  </si>
  <si>
    <t>5,108.38</t>
  </si>
  <si>
    <t>20:57</t>
  </si>
  <si>
    <t>21:51</t>
  </si>
  <si>
    <t>20:57 [O]</t>
  </si>
  <si>
    <t>ZPRRJ_2023_53132</t>
  </si>
  <si>
    <t>2022-11-02 14:55:38</t>
  </si>
  <si>
    <t>Zmiana parametrów 24734</t>
  </si>
  <si>
    <t>2022-11-02 14:49:42</t>
  </si>
  <si>
    <t>106</t>
  </si>
  <si>
    <t>2022-11-02 14:49:25</t>
  </si>
  <si>
    <t>53131</t>
  </si>
  <si>
    <t>SKRJ 38048</t>
  </si>
  <si>
    <t>11.XII.22-17.XII.22;  [kursuje/podstawa: 7/364]</t>
  </si>
  <si>
    <t>425.70</t>
  </si>
  <si>
    <t>ZPRRJ_2023_53131</t>
  </si>
  <si>
    <t>2022-11-02 14:55:37</t>
  </si>
  <si>
    <t>Zmiana parametrów 38048</t>
  </si>
  <si>
    <t>2022-11-02 14:49:41</t>
  </si>
  <si>
    <t>268/KD/R/23</t>
  </si>
  <si>
    <t>2022-11-02 14:47:53</t>
  </si>
  <si>
    <t>53130</t>
  </si>
  <si>
    <t>10363</t>
  </si>
  <si>
    <t>SKRJ 37045</t>
  </si>
  <si>
    <t>90.4</t>
  </si>
  <si>
    <t>20:30</t>
  </si>
  <si>
    <t>20:45</t>
  </si>
  <si>
    <t>20:30 [O]</t>
  </si>
  <si>
    <t>ZPRRJ_2023_53130</t>
  </si>
  <si>
    <t>Zmiana parametrów 37045</t>
  </si>
  <si>
    <t>2022-11-02 14:48:05</t>
  </si>
  <si>
    <t xml:space="preserve">RP: RPJ/RPJ; LOK1: 31WE/36WEa; LOK2: brak/brak; LOK3: brak/brak; DP: 74/58; BRUTTO: 178/128, </t>
  </si>
  <si>
    <t>108</t>
  </si>
  <si>
    <t>474/KD/R/23</t>
  </si>
  <si>
    <t>2022-11-02 14:45:49</t>
  </si>
  <si>
    <t>53129</t>
  </si>
  <si>
    <t>10969</t>
  </si>
  <si>
    <t>SKRJ 24733</t>
  </si>
  <si>
    <t>82.6</t>
  </si>
  <si>
    <t>18:45</t>
  </si>
  <si>
    <t>19:59</t>
  </si>
  <si>
    <t>18:45 [O]</t>
  </si>
  <si>
    <t>ZPRRJ_2023_53129</t>
  </si>
  <si>
    <t>2022-11-02 14:51:18</t>
  </si>
  <si>
    <t>Zmiana parametrów 24733</t>
  </si>
  <si>
    <t>2022-11-02 14:45:53</t>
  </si>
  <si>
    <t>109</t>
  </si>
  <si>
    <t>245/KD/R/23</t>
  </si>
  <si>
    <t>2022-11-02 14:45:02</t>
  </si>
  <si>
    <t>53128</t>
  </si>
  <si>
    <t>8941</t>
  </si>
  <si>
    <t>SKRJ 8941</t>
  </si>
  <si>
    <t>6286</t>
  </si>
  <si>
    <t>138.498</t>
  </si>
  <si>
    <t>67.8</t>
  </si>
  <si>
    <t>56.5</t>
  </si>
  <si>
    <t>12,603.32</t>
  </si>
  <si>
    <t>16:08</t>
  </si>
  <si>
    <t>18:35</t>
  </si>
  <si>
    <t>16:08 [O]</t>
  </si>
  <si>
    <t>ZPRRJ_2023_53128</t>
  </si>
  <si>
    <t>2022-11-02 14:51:17</t>
  </si>
  <si>
    <t>Zmiana parametrów 8941</t>
  </si>
  <si>
    <t>2022-11-02 14:45:18</t>
  </si>
  <si>
    <t xml:space="preserve">RP: RMJ/RMJ; LOK1: 31WE/36WEa; LOK2: brak/brak; LOK3: brak/brak; DP: 74/58; BRUTTO: 178/128, </t>
  </si>
  <si>
    <t>110</t>
  </si>
  <si>
    <t>210/KD/R/23</t>
  </si>
  <si>
    <t>2022-11-02 14:44:03</t>
  </si>
  <si>
    <t>53126</t>
  </si>
  <si>
    <t>17007</t>
  </si>
  <si>
    <t>7713</t>
  </si>
  <si>
    <t>SKRJ 17007</t>
  </si>
  <si>
    <t>6287</t>
  </si>
  <si>
    <t>12,603.05</t>
  </si>
  <si>
    <t>12:51</t>
  </si>
  <si>
    <t>15:23</t>
  </si>
  <si>
    <t>12:51 [O]</t>
  </si>
  <si>
    <t>ZPKPLRRJ_2023_53126</t>
  </si>
  <si>
    <t>2022-11-02 14:49:30</t>
  </si>
  <si>
    <t>Zmiana parametrów 17007</t>
  </si>
  <si>
    <t>2022-11-02 14:44:14</t>
  </si>
  <si>
    <t>111</t>
  </si>
  <si>
    <t>505/KD/R/23</t>
  </si>
  <si>
    <t>2022-11-02 14:42:41</t>
  </si>
  <si>
    <t>53125</t>
  </si>
  <si>
    <t>12681</t>
  </si>
  <si>
    <t>SKRJ 52776</t>
  </si>
  <si>
    <t>58.9</t>
  </si>
  <si>
    <t>51.3</t>
  </si>
  <si>
    <t>08:36</t>
  </si>
  <si>
    <t>11:42</t>
  </si>
  <si>
    <t>08:36 [O]</t>
  </si>
  <si>
    <t>ZPRRJ_2023_53125</t>
  </si>
  <si>
    <t>Zmiana parametrów 52776</t>
  </si>
  <si>
    <t>2022-11-02 14:42:50</t>
  </si>
  <si>
    <t xml:space="preserve">RP: ROJ/ROJ; LOK1: 31WE/36WEh; LOK2: brak/brak; LOK3: brak/brak; DP: 74/59; BRUTTO: 178/152, </t>
  </si>
  <si>
    <t>112</t>
  </si>
  <si>
    <t>2022-11-02 14:42:39</t>
  </si>
  <si>
    <t>53124</t>
  </si>
  <si>
    <t>SKRJ 52777</t>
  </si>
  <si>
    <t>ZPRRJ_2023_53124</t>
  </si>
  <si>
    <t>2022-11-02 14:49:29</t>
  </si>
  <si>
    <t>Zmiana parametrów 52777</t>
  </si>
  <si>
    <t>2022-11-02 14:42:49</t>
  </si>
  <si>
    <t>113</t>
  </si>
  <si>
    <t>295/KD/R/23</t>
  </si>
  <si>
    <t>2022-11-02 14:41:45</t>
  </si>
  <si>
    <t>53123</t>
  </si>
  <si>
    <t>12626</t>
  </si>
  <si>
    <t>SKRJ 52767</t>
  </si>
  <si>
    <t>04:50</t>
  </si>
  <si>
    <t>08:07</t>
  </si>
  <si>
    <t>04:50 [O]</t>
  </si>
  <si>
    <t>ZPRRJ_2023_53123</t>
  </si>
  <si>
    <t>2022-11-02 14:47:18</t>
  </si>
  <si>
    <t>Zmiana parametrów 52767</t>
  </si>
  <si>
    <t>2022-11-02 14:41:56</t>
  </si>
  <si>
    <t>114</t>
  </si>
  <si>
    <t>2022-11-02 14:41:43</t>
  </si>
  <si>
    <t>53122</t>
  </si>
  <si>
    <t>SKRJ 52768</t>
  </si>
  <si>
    <t>ZPRRJ_2023_53122</t>
  </si>
  <si>
    <t>Zmiana parametrów 52768</t>
  </si>
  <si>
    <t>2022-11-02 14:41:55</t>
  </si>
  <si>
    <t>115</t>
  </si>
  <si>
    <t>256/KD/R/23</t>
  </si>
  <si>
    <t>2022-11-02 14:39:43</t>
  </si>
  <si>
    <t>53120</t>
  </si>
  <si>
    <t>9910</t>
  </si>
  <si>
    <t>SKRJ 23970</t>
  </si>
  <si>
    <t>04:02</t>
  </si>
  <si>
    <t>05:00</t>
  </si>
  <si>
    <t>04:02 [O]</t>
  </si>
  <si>
    <t>ZPRRJ_2023_53120</t>
  </si>
  <si>
    <t>2022-11-02 14:45:16</t>
  </si>
  <si>
    <t>Zmiana parametrów 23970</t>
  </si>
  <si>
    <t>2022-11-02 14:40:01</t>
  </si>
  <si>
    <t xml:space="preserve">RP: ROJ/ROM; LOK1: 31WE/SA139; LOK2: brak/brak; LOK3: brak/brak; DP: 74/44; BRUTTO: 178/104, </t>
  </si>
  <si>
    <t>116</t>
  </si>
  <si>
    <t>2022-11-02 14:38:16</t>
  </si>
  <si>
    <t>53117</t>
  </si>
  <si>
    <t>1,823.16</t>
  </si>
  <si>
    <t>ZPRRJ_2023_53117</t>
  </si>
  <si>
    <t>2022-11-02 14:43:40</t>
  </si>
  <si>
    <t>2022-11-02 14:38:26</t>
  </si>
  <si>
    <t xml:space="preserve">RP: ROJ/ROM; LOK1: 31WE/SA134; LOK2: brak/brak; LOK3: brak/brak; DP: 74/42; BRUTTO: 178/97, </t>
  </si>
  <si>
    <t>117</t>
  </si>
  <si>
    <t>07/P/23</t>
  </si>
  <si>
    <t>2022-11-02 14:36:48</t>
  </si>
  <si>
    <t>53115</t>
  </si>
  <si>
    <t>52836</t>
  </si>
  <si>
    <t>12743</t>
  </si>
  <si>
    <t>SKRJ 52836</t>
  </si>
  <si>
    <t>73.9</t>
  </si>
  <si>
    <t>66.2</t>
  </si>
  <si>
    <t>06:32</t>
  </si>
  <si>
    <t>07:31</t>
  </si>
  <si>
    <t>06:32 [O]</t>
  </si>
  <si>
    <t>ZPRRJ_2023_53115</t>
  </si>
  <si>
    <t>2022-11-02 14:43:39</t>
  </si>
  <si>
    <t>Zmiana parametrów 52836</t>
  </si>
  <si>
    <t>2022-11-02 14:36:56</t>
  </si>
  <si>
    <t>118</t>
  </si>
  <si>
    <t>2022-11-02 14:34:49</t>
  </si>
  <si>
    <t>53110</t>
  </si>
  <si>
    <t>6,010.77</t>
  </si>
  <si>
    <t>ZPRRJ_2023_53110</t>
  </si>
  <si>
    <t>2022-11-02 14:41:22</t>
  </si>
  <si>
    <t>2022-11-02 14:35:07</t>
  </si>
  <si>
    <t xml:space="preserve">RP: ROJ/ROJ; LOK1: 31WE/EN57AL; LOK2: brak/brak; LOK3: brak/brak; DP: 74/65; BRUTTO: 178/170, </t>
  </si>
  <si>
    <t>119</t>
  </si>
  <si>
    <t>24/P/23</t>
  </si>
  <si>
    <t>2022-11-02 14:04:01</t>
  </si>
  <si>
    <t>53023</t>
  </si>
  <si>
    <t>4023</t>
  </si>
  <si>
    <t>SKRJ 16317</t>
  </si>
  <si>
    <t>60249/8</t>
  </si>
  <si>
    <t>SA139</t>
  </si>
  <si>
    <t>84.532</t>
  </si>
  <si>
    <t>70.4</t>
  </si>
  <si>
    <t>7,692.41</t>
  </si>
  <si>
    <t>Bielawa Zachodnia</t>
  </si>
  <si>
    <t>10:58</t>
  </si>
  <si>
    <t>09:28 [O]</t>
  </si>
  <si>
    <t>Opracowana trasa</t>
  </si>
  <si>
    <t>Zmiana parametrów 16317 - dodanie/zdjęcie/aktualizacja postojów</t>
  </si>
  <si>
    <t>2022-09-29 10:41:24</t>
  </si>
  <si>
    <t>obiekt Mościsko Dzierżoniowskie [MPO]: czas postoju z 0.5 na 0; obiekt Mościsko Dzierżoniowskie [MPO]: postój PH z 1 na 0; obiekt Krzyżowa [PO]: czas postoju z 0.5 na 0; obiekt Krzyżowa [PO]: postój PH z 1 na 0</t>
  </si>
  <si>
    <t>120</t>
  </si>
  <si>
    <t>23/P/23</t>
  </si>
  <si>
    <t>2022-11-02 13:59:41</t>
  </si>
  <si>
    <t>53019</t>
  </si>
  <si>
    <t>15234</t>
  </si>
  <si>
    <t>SKRJ 43357</t>
  </si>
  <si>
    <t>89.927</t>
  </si>
  <si>
    <t>66.1</t>
  </si>
  <si>
    <t>5,665.40</t>
  </si>
  <si>
    <t>Żary</t>
  </si>
  <si>
    <t>19:40</t>
  </si>
  <si>
    <t>21:06</t>
  </si>
  <si>
    <t>19:40 [O]</t>
  </si>
  <si>
    <t>ZPIRJ_2023_53019</t>
  </si>
  <si>
    <t>2022-11-03 10:08:17</t>
  </si>
  <si>
    <t>Zmiana parametrów 43357 - dodanie/zdjęcie/aktualizacja postojów</t>
  </si>
  <si>
    <t>2022-11-03 09:58:55</t>
  </si>
  <si>
    <t>obiekt Jezierzany [PO]: czas postoju z 0 na 0.3; obiekt Jezierzany [PO]: postój PH z 0 na 1</t>
  </si>
  <si>
    <t>121</t>
  </si>
  <si>
    <t>22/P/23</t>
  </si>
  <si>
    <t>2022-11-02 13:58:22</t>
  </si>
  <si>
    <t>53018</t>
  </si>
  <si>
    <t>3361</t>
  </si>
  <si>
    <t>SKRJ 18818</t>
  </si>
  <si>
    <t>5629</t>
  </si>
  <si>
    <t>KD SPRINTER TELEMANN</t>
  </si>
  <si>
    <t>MMM</t>
  </si>
  <si>
    <t>189.795</t>
  </si>
  <si>
    <t>69.0</t>
  </si>
  <si>
    <t>5,314.26</t>
  </si>
  <si>
    <t>Forst Lausitz</t>
  </si>
  <si>
    <t>18:34</t>
  </si>
  <si>
    <t>21:19</t>
  </si>
  <si>
    <t>FORST LAUSITZ - WROCŁAW GŁÓWNY</t>
  </si>
  <si>
    <t>18:34 [O]</t>
  </si>
  <si>
    <t>ZPRRJ_2023_53018</t>
  </si>
  <si>
    <t>2022-11-03 10:08:16</t>
  </si>
  <si>
    <t>Zmiana parametrów 18818 - dodanie/zdjęcie/aktualizacja postojów</t>
  </si>
  <si>
    <t>2022-11-03 10:01:54</t>
  </si>
  <si>
    <t>122</t>
  </si>
  <si>
    <t>21/P/23</t>
  </si>
  <si>
    <t>2022-11-02 13:57:06</t>
  </si>
  <si>
    <t>53017</t>
  </si>
  <si>
    <t>12701</t>
  </si>
  <si>
    <t>SKRJ 37191</t>
  </si>
  <si>
    <t>108.732</t>
  </si>
  <si>
    <t>64.0</t>
  </si>
  <si>
    <t>12.XII.22-25.XII.22 (1)(2)(3)(4)(6) oraz w święta; 27.XII.22-4.I (1)(2)(3)(4)(6); 6.I, 7.I; 9.I-12.I; 14.I-11.III (1)(2)(3)(4)(6);  [kursuje/podstawa: 65/256]</t>
  </si>
  <si>
    <t>7,067.58</t>
  </si>
  <si>
    <t>Tuplice</t>
  </si>
  <si>
    <t>16:28</t>
  </si>
  <si>
    <t>18:10</t>
  </si>
  <si>
    <t>16:28 [O]</t>
  </si>
  <si>
    <t>ZPRRJ_2023_53017</t>
  </si>
  <si>
    <t>2022-11-03 10:01:29</t>
  </si>
  <si>
    <t>Zmiana parametrów 37191 - dodanie/zdjęcie/aktualizacja postojów</t>
  </si>
  <si>
    <t>2022-11-03 09:56:10</t>
  </si>
  <si>
    <t>123</t>
  </si>
  <si>
    <t>20/P/23</t>
  </si>
  <si>
    <t>2022-11-02 13:56:14</t>
  </si>
  <si>
    <t>53016</t>
  </si>
  <si>
    <t>4700</t>
  </si>
  <si>
    <t>SKRJ 19514</t>
  </si>
  <si>
    <t>KD SPRINTER KEPLER</t>
  </si>
  <si>
    <t>RPM</t>
  </si>
  <si>
    <t>173.845</t>
  </si>
  <si>
    <t>71.4</t>
  </si>
  <si>
    <t>11.XII.22-23.XII.22 (5)(7); 26.XII.22; 30.XII.22; 1.I; 5.I; 8.I; 13.I-10.III (5)(7);  [kursuje/podstawa: 26/107]</t>
  </si>
  <si>
    <t>4,519.97</t>
  </si>
  <si>
    <t>18:54</t>
  </si>
  <si>
    <t>Zmiana parametrów 19514 - dodanie/zdjęcie/aktualizacja postojów</t>
  </si>
  <si>
    <t>2022-10-12 11:59:29</t>
  </si>
  <si>
    <t>124</t>
  </si>
  <si>
    <t>19/P/23</t>
  </si>
  <si>
    <t>2022-11-02 13:51:17</t>
  </si>
  <si>
    <t>53002</t>
  </si>
  <si>
    <t>15233</t>
  </si>
  <si>
    <t>SKRJ 37189</t>
  </si>
  <si>
    <t>66.6</t>
  </si>
  <si>
    <t>55.6</t>
  </si>
  <si>
    <t>8,183.36</t>
  </si>
  <si>
    <t>14:27</t>
  </si>
  <si>
    <t>16:04</t>
  </si>
  <si>
    <t>14:27 [O]</t>
  </si>
  <si>
    <t>ZPIRJ_2023_53002</t>
  </si>
  <si>
    <t>2022-11-03 10:08:14</t>
  </si>
  <si>
    <t>Zmiana parametrów 37189 - dodanie/zdjęcie/aktualizacja postojów</t>
  </si>
  <si>
    <t>2022-11-03 10:00:02</t>
  </si>
  <si>
    <t>125</t>
  </si>
  <si>
    <t>18/P/23</t>
  </si>
  <si>
    <t>2022-11-02 13:50:17</t>
  </si>
  <si>
    <t>53001</t>
  </si>
  <si>
    <t>15232</t>
  </si>
  <si>
    <t>SKRJ 37187</t>
  </si>
  <si>
    <t>87.252</t>
  </si>
  <si>
    <t>67.0</t>
  </si>
  <si>
    <t>63.8</t>
  </si>
  <si>
    <t>7,939.93</t>
  </si>
  <si>
    <t>11:05</t>
  </si>
  <si>
    <t>12:27</t>
  </si>
  <si>
    <t>11:05 [O]</t>
  </si>
  <si>
    <t>ZPIRJ_2023_53001</t>
  </si>
  <si>
    <t>2022-11-03 09:59:17</t>
  </si>
  <si>
    <t>Zmiana parametrów 37187 - dodanie/zdjęcie/aktualizacja postojów</t>
  </si>
  <si>
    <t>2022-11-03 09:54:08</t>
  </si>
  <si>
    <t>126</t>
  </si>
  <si>
    <t>17/P/23</t>
  </si>
  <si>
    <t>2022-11-02 13:49:11</t>
  </si>
  <si>
    <t>53000</t>
  </si>
  <si>
    <t>3359</t>
  </si>
  <si>
    <t>SKRJ 18817</t>
  </si>
  <si>
    <t>5843</t>
  </si>
  <si>
    <t>KD SPRINTER WITELON</t>
  </si>
  <si>
    <t>08:45</t>
  </si>
  <si>
    <t>11:36</t>
  </si>
  <si>
    <t>08:45 [O]</t>
  </si>
  <si>
    <t>Zmiana parametrów 18817 - dodanie/zdjęcie/aktualizacja postojów</t>
  </si>
  <si>
    <t>2022-10-25 13:40:07</t>
  </si>
  <si>
    <t>obiekt Studzianka [PO]: czas postoju z 0.5 na 0; obiekt Studzianka [PO]: postój PH z 1 na 0; obiekt Jezierzany [PO]: czas postoju z 0 na 0.3; obiekt Jezierzany [PO]: postój PH z 0 na 1</t>
  </si>
  <si>
    <t>127</t>
  </si>
  <si>
    <t>16/PT/KD/23</t>
  </si>
  <si>
    <t>2022-11-02 13:46:48</t>
  </si>
  <si>
    <t>52998</t>
  </si>
  <si>
    <t>4694</t>
  </si>
  <si>
    <t>SKRJ 19513</t>
  </si>
  <si>
    <t>KD SPRINTER BÓBR</t>
  </si>
  <si>
    <t>77.2</t>
  </si>
  <si>
    <t>15,819.90</t>
  </si>
  <si>
    <t>05:16</t>
  </si>
  <si>
    <t>07:48</t>
  </si>
  <si>
    <t>05:16 [O]</t>
  </si>
  <si>
    <t>ZPRRJ_2023_52998</t>
  </si>
  <si>
    <t>2022-11-03 09:55:57</t>
  </si>
  <si>
    <t>Zmiana parametrów 19513 - dodanie/zdjęcie/aktualizacja postojów</t>
  </si>
  <si>
    <t>2022-11-03 09:49:10</t>
  </si>
  <si>
    <t>15/P/23</t>
  </si>
  <si>
    <t>2022-11-02 13:33:49</t>
  </si>
  <si>
    <t>52991</t>
  </si>
  <si>
    <t>5035</t>
  </si>
  <si>
    <t>SKRJ 44838</t>
  </si>
  <si>
    <t>65.6</t>
  </si>
  <si>
    <t>12.XII.22-25.XII.22 (1)(2)(3)(4)(6) oraz w święta; 27.XII.22-4.I (1)(2)(3)(4)(6); 6.I, 7.I; 9.I-12.I; 14.I-9.III (1)(2)(3)(4)(6);  [kursuje/podstawa: 64/257]</t>
  </si>
  <si>
    <t>6,958.85</t>
  </si>
  <si>
    <t>20:59</t>
  </si>
  <si>
    <t>20:59 [O]</t>
  </si>
  <si>
    <t>ZPRRJ_2023_52991</t>
  </si>
  <si>
    <t>2022-11-03 08:49:27</t>
  </si>
  <si>
    <t>Zmiana parametrów 44838 - dodanie/zdjęcie/aktualizacja postojów</t>
  </si>
  <si>
    <t>2022-11-03 08:43:39</t>
  </si>
  <si>
    <t>129</t>
  </si>
  <si>
    <t>14/P/23</t>
  </si>
  <si>
    <t>2022-11-02 13:32:40</t>
  </si>
  <si>
    <t>52988</t>
  </si>
  <si>
    <t>3264</t>
  </si>
  <si>
    <t>SKRJ 18755</t>
  </si>
  <si>
    <t>5628</t>
  </si>
  <si>
    <t>76.1</t>
  </si>
  <si>
    <t>15:25</t>
  </si>
  <si>
    <t>18:13</t>
  </si>
  <si>
    <t>WROCŁAW GŁÓWNY - FORST LAUSITZ</t>
  </si>
  <si>
    <t>15:25 [O]</t>
  </si>
  <si>
    <t>ZPRRJ_2023_52988</t>
  </si>
  <si>
    <t>2022-11-03 08:51:21</t>
  </si>
  <si>
    <t>Zmiana parametrów 18755 - dodanie/zdjęcie/aktualizacja postojów</t>
  </si>
  <si>
    <t>2022-11-03 08:46:20</t>
  </si>
  <si>
    <t>130</t>
  </si>
  <si>
    <t>13/P/23</t>
  </si>
  <si>
    <t>2022-11-02 13:31:39</t>
  </si>
  <si>
    <t>52987</t>
  </si>
  <si>
    <t>15230</t>
  </si>
  <si>
    <t>SKRJ 37190</t>
  </si>
  <si>
    <t>69.6</t>
  </si>
  <si>
    <t>5,496.88</t>
  </si>
  <si>
    <t>16:11</t>
  </si>
  <si>
    <t>17:36</t>
  </si>
  <si>
    <t>16:11 [O]</t>
  </si>
  <si>
    <t>ZPIRJ_2023_52987</t>
  </si>
  <si>
    <t>Zmiana parametrów 37190 - dodanie/zdjęcie/aktualizacja postojów</t>
  </si>
  <si>
    <t>2022-11-03 08:42:43</t>
  </si>
  <si>
    <t>131</t>
  </si>
  <si>
    <t>12/P/23</t>
  </si>
  <si>
    <t>2022-11-02 13:30:43</t>
  </si>
  <si>
    <t>52984</t>
  </si>
  <si>
    <t>5031</t>
  </si>
  <si>
    <t>SKRJ 19764</t>
  </si>
  <si>
    <t>78.0</t>
  </si>
  <si>
    <t>13:37</t>
  </si>
  <si>
    <t>16:00</t>
  </si>
  <si>
    <t>13:37 [O]</t>
  </si>
  <si>
    <t>ZPRRJ_2023_52984</t>
  </si>
  <si>
    <t>Zmiana parametrów 19764 - dodanie/zdjęcie/aktualizacja postojów</t>
  </si>
  <si>
    <t>2022-11-03 08:45:06</t>
  </si>
  <si>
    <t>obiekt Jezierzany [PO]: czas postoju z 0 na 0.3; obiekt Jezierzany [PO]: postój PH z 0 na 1; obiekt Jezierzany [PO]: czas postoju z 0 na 0.3; obiekt Jezierzany [PO]: postój PH z 0 na 1</t>
  </si>
  <si>
    <t>132</t>
  </si>
  <si>
    <t>10/P/23</t>
  </si>
  <si>
    <t>2022-11-02 12:43:04</t>
  </si>
  <si>
    <t>52881</t>
  </si>
  <si>
    <t>15229</t>
  </si>
  <si>
    <t>SKRJ 37188</t>
  </si>
  <si>
    <t>68.2</t>
  </si>
  <si>
    <t>64.6</t>
  </si>
  <si>
    <t>12:44</t>
  </si>
  <si>
    <t>14:07</t>
  </si>
  <si>
    <t>12:44 [O]</t>
  </si>
  <si>
    <t>ZPIRJ_2023_52881</t>
  </si>
  <si>
    <t>2022-11-03 08:45:30</t>
  </si>
  <si>
    <t>Zmiana parametrów 37188 - dodanie/zdjęcie/aktualizacja postojów</t>
  </si>
  <si>
    <t>2022-11-03 08:40:22</t>
  </si>
  <si>
    <t>133</t>
  </si>
  <si>
    <t>09/P/23</t>
  </si>
  <si>
    <t>2022-11-02 12:40:08</t>
  </si>
  <si>
    <t>52879</t>
  </si>
  <si>
    <t>43169</t>
  </si>
  <si>
    <t>SKRJ 43169</t>
  </si>
  <si>
    <t>57.4</t>
  </si>
  <si>
    <t>2,517.96</t>
  </si>
  <si>
    <t>08:55</t>
  </si>
  <si>
    <t>10:29</t>
  </si>
  <si>
    <t>08:55 [O]</t>
  </si>
  <si>
    <t>ZPIRJ_2023_52879</t>
  </si>
  <si>
    <t>2022-11-03 08:25:17</t>
  </si>
  <si>
    <t>Zmiana parametrów 43169 - dodanie/zdjęcie/aktualizacja postojów</t>
  </si>
  <si>
    <t>2022-11-03 08:18:39</t>
  </si>
  <si>
    <t>obiekt Studzianka [PO]: czas postoju z 0.3 na 0; obiekt Studzianka [PO]: postój PH z 1 na 0</t>
  </si>
  <si>
    <t>134</t>
  </si>
  <si>
    <t>08/P/23</t>
  </si>
  <si>
    <t>2022-11-02 12:38:24</t>
  </si>
  <si>
    <t>52878</t>
  </si>
  <si>
    <t>15226</t>
  </si>
  <si>
    <t>SKRJ 37186</t>
  </si>
  <si>
    <t>69.4</t>
  </si>
  <si>
    <t>66.7</t>
  </si>
  <si>
    <t>09:17</t>
  </si>
  <si>
    <t>09:17 [O]</t>
  </si>
  <si>
    <t>ZPIRJ_2023_52878</t>
  </si>
  <si>
    <t>2022-11-03 08:41:12</t>
  </si>
  <si>
    <t>Zmiana parametrów 37186 - dodanie/zdjęcie/aktualizacja postojów</t>
  </si>
  <si>
    <t>2022-11-03 08:34:26</t>
  </si>
  <si>
    <t>obiekt Jezierzany [PO]: czas postoju z 0 na 0.3; obiekt Jezierzany [PO]: postój PH z 0 na 1; obiekt Studzianka [PO]: czas postoju z 0.3 na 0; obiekt Studzianka [PO]: postój PH z 1 na 0</t>
  </si>
  <si>
    <t>135</t>
  </si>
  <si>
    <t>2022-11-02 12:28:11</t>
  </si>
  <si>
    <t>52876</t>
  </si>
  <si>
    <t>15225</t>
  </si>
  <si>
    <t>SKRJ 36926</t>
  </si>
  <si>
    <t>111.500</t>
  </si>
  <si>
    <t>57.7</t>
  </si>
  <si>
    <t>16.XII.22-10.III w (D);  [kursuje/podstawa: 59/252]</t>
  </si>
  <si>
    <t>6,578.50</t>
  </si>
  <si>
    <t>Jawor</t>
  </si>
  <si>
    <t>07:34</t>
  </si>
  <si>
    <t>05:38 [O]</t>
  </si>
  <si>
    <t>ZPIRJ_2023_52876</t>
  </si>
  <si>
    <t>2022-11-03 09:11:13</t>
  </si>
  <si>
    <t>Zmiana parametrów 36926 - dodanie/zdjęcie/aktualizacja postojów</t>
  </si>
  <si>
    <t>2022-11-03 09:05:17</t>
  </si>
  <si>
    <t>obiekt Jezierzany [PO]: czas postoju z 0 na 0.3; obiekt Jezierzany [PO]: postój PH z 0 na 1; obiekt Jezierzany [PO]: czas postoju z 0 na 0.3; obiekt Jezierzany [PO]: postój PH z 0 na 1; obiekt Studzianka [PO]: czas postoju z 0.3 na 0; obiekt Studzianka [PO]: postój PH z 1 na 0; obiekt Studzianka [PO]: czas postoju z 0.3 na 0; obiekt Studzianka [PO]: postój PH z 1 na 0</t>
  </si>
  <si>
    <t>136</t>
  </si>
  <si>
    <t>52875</t>
  </si>
  <si>
    <t>SKRJ 26856</t>
  </si>
  <si>
    <t>62.4</t>
  </si>
  <si>
    <t>12.XII.22-15.XII.22;  [kursuje/podstawa: 4/252]</t>
  </si>
  <si>
    <t>446.00</t>
  </si>
  <si>
    <t>ZPIRJ_2023_52875</t>
  </si>
  <si>
    <t>Zmiana parametrów 26856 - dodanie/zdjęcie/aktualizacja postojów</t>
  </si>
  <si>
    <t>2022-11-03 11:23:35</t>
  </si>
  <si>
    <t>137</t>
  </si>
  <si>
    <t>311/KD/R/23</t>
  </si>
  <si>
    <t>2022-11-02 12:09:26</t>
  </si>
  <si>
    <t>52837</t>
  </si>
  <si>
    <t>17673</t>
  </si>
  <si>
    <t>12674</t>
  </si>
  <si>
    <t>SKRJ 33432</t>
  </si>
  <si>
    <t>KD SPRINTER CHEŁMIEC</t>
  </si>
  <si>
    <t>36WEa 36WEa</t>
  </si>
  <si>
    <t>256</t>
  </si>
  <si>
    <t>70.998</t>
  </si>
  <si>
    <t>4,472.87</t>
  </si>
  <si>
    <t>14:36</t>
  </si>
  <si>
    <t>ZPKPLRRJ_2023_52837</t>
  </si>
  <si>
    <t>2022-11-02 12:15:34</t>
  </si>
  <si>
    <t>Zmiana parametrów 33432</t>
  </si>
  <si>
    <t>2022-11-02 12:09:46</t>
  </si>
  <si>
    <t xml:space="preserve">RP: RPJ/RPJ; LOK1: 36WEa/36WEa; LOK2: 36WEa/brak; LOK3: brak/brak; DP: 116/58; BRUTTO: 256/128, </t>
  </si>
  <si>
    <t>138</t>
  </si>
  <si>
    <t>06/P/23</t>
  </si>
  <si>
    <t>2022-11-02 12:03:41</t>
  </si>
  <si>
    <t>52831</t>
  </si>
  <si>
    <t>8625</t>
  </si>
  <si>
    <t>SKRJ 22785</t>
  </si>
  <si>
    <t>69656/7</t>
  </si>
  <si>
    <t>193.009</t>
  </si>
  <si>
    <t>57.6</t>
  </si>
  <si>
    <t>12,159.57</t>
  </si>
  <si>
    <t>Międzylesie</t>
  </si>
  <si>
    <t>04:53</t>
  </si>
  <si>
    <t>08:14</t>
  </si>
  <si>
    <t>04:53 [O]</t>
  </si>
  <si>
    <t>Zmiana parametrów 22785 - dodanie/zdjęcie/aktualizacja postojów</t>
  </si>
  <si>
    <t>2022-10-27 11:49:20</t>
  </si>
  <si>
    <t>obiekt Suszka [PO]: czas postoju z 0.5 na 0; obiekt Suszka [PO]: postój PH z 1 na 0; obiekt Suszka [PO]: czas postoju z 0.5 na 0; obiekt Suszka [PO]: postój PH z 1 na 0</t>
  </si>
  <si>
    <t>139</t>
  </si>
  <si>
    <t>05/P/23</t>
  </si>
  <si>
    <t>2022-11-02 12:03:10</t>
  </si>
  <si>
    <t>52829</t>
  </si>
  <si>
    <t>8620</t>
  </si>
  <si>
    <t>SKRJ 36984</t>
  </si>
  <si>
    <t>129.947</t>
  </si>
  <si>
    <t>66.4</t>
  </si>
  <si>
    <t>3,638.52</t>
  </si>
  <si>
    <t>07:11</t>
  </si>
  <si>
    <t>ZPRRJ_2023_52829</t>
  </si>
  <si>
    <t>2022-11-03 07:41:10</t>
  </si>
  <si>
    <t>Zmiana parametrów 36984 - dodanie/zdjęcie/aktualizacja postojów</t>
  </si>
  <si>
    <t>2022-11-03 07:34:39</t>
  </si>
  <si>
    <t>140</t>
  </si>
  <si>
    <t>306A/KD/R/23</t>
  </si>
  <si>
    <t>2022-11-02 11:40:15</t>
  </si>
  <si>
    <t>52802</t>
  </si>
  <si>
    <t>17669</t>
  </si>
  <si>
    <t>12658</t>
  </si>
  <si>
    <t>SKRJ 52747</t>
  </si>
  <si>
    <t>49.6</t>
  </si>
  <si>
    <t>11:00</t>
  </si>
  <si>
    <t>11:00 [O]</t>
  </si>
  <si>
    <t>ZPKPLRRJ_2023_52802</t>
  </si>
  <si>
    <t>2022-11-02 11:48:33</t>
  </si>
  <si>
    <t>Zmiana parametrów 52747</t>
  </si>
  <si>
    <t>2022-11-02 11:40:39</t>
  </si>
  <si>
    <t xml:space="preserve">RP: ROJ/ROJ; LOK1: 45WE/45WE; LOK2: brak/45WE; LOK3: brak/brak; DP: 90/180; BRUTTO: 212/424, </t>
  </si>
  <si>
    <t>141</t>
  </si>
  <si>
    <t>306/KD/R/23</t>
  </si>
  <si>
    <t>2022-11-02 11:37:16</t>
  </si>
  <si>
    <t>52801</t>
  </si>
  <si>
    <t>SKRJ 52748</t>
  </si>
  <si>
    <t>57.0</t>
  </si>
  <si>
    <t>49.7</t>
  </si>
  <si>
    <t>ZPKPLRRJ_2023_52801</t>
  </si>
  <si>
    <t>2022-11-02 11:43:56</t>
  </si>
  <si>
    <t>Zmiana parametrów 52748</t>
  </si>
  <si>
    <t>2022-11-02 11:37:40</t>
  </si>
  <si>
    <t>142</t>
  </si>
  <si>
    <t>513/KD/R/23</t>
  </si>
  <si>
    <t>2022-11-02 11:34:53</t>
  </si>
  <si>
    <t>52798</t>
  </si>
  <si>
    <t>12720</t>
  </si>
  <si>
    <t>SKRJ 52764</t>
  </si>
  <si>
    <t>18:08</t>
  </si>
  <si>
    <t>18:32</t>
  </si>
  <si>
    <t>18:08 [O]</t>
  </si>
  <si>
    <t>ZPRRJ_2023_52798</t>
  </si>
  <si>
    <t>2022-11-02 11:41:30</t>
  </si>
  <si>
    <t>Zmiana parametrów 52764</t>
  </si>
  <si>
    <t>2022-11-02 11:35:01</t>
  </si>
  <si>
    <t xml:space="preserve">RP: ROJ/ROJ; LOK1: 36WEa/36WEa; LOK2: brak/36WEa; LOK3: brak/brak; DP: 58/116; BRUTTO: 128/256, </t>
  </si>
  <si>
    <t>143</t>
  </si>
  <si>
    <t>321/KD/R/23</t>
  </si>
  <si>
    <t>2022-11-02 11:31:32</t>
  </si>
  <si>
    <t>52794</t>
  </si>
  <si>
    <t>12699</t>
  </si>
  <si>
    <t>SKRJ 52765</t>
  </si>
  <si>
    <t>64.7</t>
  </si>
  <si>
    <t>27.II-10.III w (A);  [kursuje/podstawa: 10/252]</t>
  </si>
  <si>
    <t>215.57</t>
  </si>
  <si>
    <t>17:33</t>
  </si>
  <si>
    <t>17:56</t>
  </si>
  <si>
    <t>17:33 [O]</t>
  </si>
  <si>
    <t>ZPRRJ_2023_52794</t>
  </si>
  <si>
    <t>2022-11-02 11:37:43</t>
  </si>
  <si>
    <t>Zmiana parametrów 52765</t>
  </si>
  <si>
    <t>2022-11-02 11:32:09</t>
  </si>
  <si>
    <t>144</t>
  </si>
  <si>
    <t>2022-11-02 11:31:28</t>
  </si>
  <si>
    <t>52793</t>
  </si>
  <si>
    <t>SKRJ 52766</t>
  </si>
  <si>
    <t>12.XII.22-24.II w (D);  [kursuje/podstawa: 53/252]</t>
  </si>
  <si>
    <t>1,142.52</t>
  </si>
  <si>
    <t>ZPRRJ_2023_52793</t>
  </si>
  <si>
    <t>2022-11-02 11:37:42</t>
  </si>
  <si>
    <t>Zmiana parametrów 52766</t>
  </si>
  <si>
    <t>2022-11-02 11:32:07</t>
  </si>
  <si>
    <t>512/KD/R/23</t>
  </si>
  <si>
    <t>2022-11-02 11:12:04</t>
  </si>
  <si>
    <t>52774</t>
  </si>
  <si>
    <t>17680</t>
  </si>
  <si>
    <t>12719</t>
  </si>
  <si>
    <t>SKRJ 52756</t>
  </si>
  <si>
    <t>47.4</t>
  </si>
  <si>
    <t>14:35</t>
  </si>
  <si>
    <t>14:35 [O]</t>
  </si>
  <si>
    <t>ZPKPLRRJ_2023_52774</t>
  </si>
  <si>
    <t>2022-11-02 11:20:47</t>
  </si>
  <si>
    <t>Zmiana parametrów 52756</t>
  </si>
  <si>
    <t>2022-11-02 11:12:29</t>
  </si>
  <si>
    <t>146</t>
  </si>
  <si>
    <t>2022-11-02 11:12:01</t>
  </si>
  <si>
    <t>52773</t>
  </si>
  <si>
    <t>SKRJ 52757</t>
  </si>
  <si>
    <t>ZPKPLRRJ_2023_52773</t>
  </si>
  <si>
    <t>Zmiana parametrów 52757</t>
  </si>
  <si>
    <t>2022-11-02 11:12:25</t>
  </si>
  <si>
    <t>147</t>
  </si>
  <si>
    <t>23/PT/KD/23</t>
  </si>
  <si>
    <t>2022-11-02 09:56:43</t>
  </si>
  <si>
    <t>52705</t>
  </si>
  <si>
    <t>15205</t>
  </si>
  <si>
    <t>SKRJ 26819</t>
  </si>
  <si>
    <t>69353/2</t>
  </si>
  <si>
    <t>DKA</t>
  </si>
  <si>
    <t>35.162</t>
  </si>
  <si>
    <t>36.4</t>
  </si>
  <si>
    <t>2,215.21</t>
  </si>
  <si>
    <t>05:11</t>
  </si>
  <si>
    <t>06:09</t>
  </si>
  <si>
    <t>05:11 [O]</t>
  </si>
  <si>
    <t>ZPIRJ_2023_52705</t>
  </si>
  <si>
    <t>2022-11-02 10:03:10</t>
  </si>
  <si>
    <t>Zmiana parametrów 26819</t>
  </si>
  <si>
    <t>2022-11-02 09:57:15</t>
  </si>
  <si>
    <t xml:space="preserve">RP: ROJ/ROJ; LOK1: 48WEc/48WEc; LOK2: brak/brak; LOK3: brak/brak; DP: 91/91; BRUTTO: 200/200, </t>
  </si>
  <si>
    <t>148</t>
  </si>
  <si>
    <t>24/PT/KD/23</t>
  </si>
  <si>
    <t>2022-11-02 09:54:40</t>
  </si>
  <si>
    <t>52699</t>
  </si>
  <si>
    <t>15206</t>
  </si>
  <si>
    <t>SKRJ 26820</t>
  </si>
  <si>
    <t>69357/6</t>
  </si>
  <si>
    <t>38.4</t>
  </si>
  <si>
    <t>07:39</t>
  </si>
  <si>
    <t>08:34</t>
  </si>
  <si>
    <t>07:39 [O]</t>
  </si>
  <si>
    <t>ZPIRJ_2023_52699</t>
  </si>
  <si>
    <t>2022-11-02 10:01:21</t>
  </si>
  <si>
    <t>Zmiana parametrów 26820</t>
  </si>
  <si>
    <t>2022-11-02 09:55:05</t>
  </si>
  <si>
    <t>149</t>
  </si>
  <si>
    <t>254/KD/R/23</t>
  </si>
  <si>
    <t>2022-11-02 09:47:30</t>
  </si>
  <si>
    <t>52691</t>
  </si>
  <si>
    <t>9874</t>
  </si>
  <si>
    <t>SKRJ 52557</t>
  </si>
  <si>
    <t>IGLICA</t>
  </si>
  <si>
    <t>100.9</t>
  </si>
  <si>
    <t>87.4</t>
  </si>
  <si>
    <t>14:53</t>
  </si>
  <si>
    <t>15:53</t>
  </si>
  <si>
    <t>14:53 [O]</t>
  </si>
  <si>
    <t>ZPRRJ_2023_52691</t>
  </si>
  <si>
    <t>2022-11-02 09:53:35</t>
  </si>
  <si>
    <t>Zmiana parametrów 52557</t>
  </si>
  <si>
    <t>2022-11-02 09:48:06</t>
  </si>
  <si>
    <t xml:space="preserve">RP: RPJ/RPJ; LOK1: 31WE/31WE; LOK2: brak/brak; LOK3: brak/brak; DP: 74/74; BRUTTO: 178/178, </t>
  </si>
  <si>
    <t>150</t>
  </si>
  <si>
    <t>25/PT/KD/23</t>
  </si>
  <si>
    <t>2022-11-02 09:44:58</t>
  </si>
  <si>
    <t>52689</t>
  </si>
  <si>
    <t>15207</t>
  </si>
  <si>
    <t>SKRJ 26821</t>
  </si>
  <si>
    <t>69361/0</t>
  </si>
  <si>
    <t>42.2</t>
  </si>
  <si>
    <t>09:56</t>
  </si>
  <si>
    <t>10:46</t>
  </si>
  <si>
    <t>09:56 [O]</t>
  </si>
  <si>
    <t>ZPIRJ_2023_52689</t>
  </si>
  <si>
    <t>2022-11-02 09:51:41</t>
  </si>
  <si>
    <t>Zmiana parametrów 26821</t>
  </si>
  <si>
    <t>2022-11-02 09:45:36</t>
  </si>
  <si>
    <t>151</t>
  </si>
  <si>
    <t>26/PT/KD/23</t>
  </si>
  <si>
    <t>2022-11-02 09:42:44</t>
  </si>
  <si>
    <t>52685</t>
  </si>
  <si>
    <t>15208</t>
  </si>
  <si>
    <t>SKRJ 26822</t>
  </si>
  <si>
    <t>69365/4</t>
  </si>
  <si>
    <t>12:29</t>
  </si>
  <si>
    <t>13:24</t>
  </si>
  <si>
    <t>12:29 [O]</t>
  </si>
  <si>
    <t>ZPIRJ_2023_52685</t>
  </si>
  <si>
    <t>2022-11-02 09:49:44</t>
  </si>
  <si>
    <t>Zmiana parametrów 26822</t>
  </si>
  <si>
    <t>2022-11-02 09:43:04</t>
  </si>
  <si>
    <t>47/PT/KD/23</t>
  </si>
  <si>
    <t>2022-11-02 09:41:10</t>
  </si>
  <si>
    <t>52682</t>
  </si>
  <si>
    <t>41298</t>
  </si>
  <si>
    <t>SKRJ 50530</t>
  </si>
  <si>
    <t>69367/6</t>
  </si>
  <si>
    <t>51.5</t>
  </si>
  <si>
    <t>43.1</t>
  </si>
  <si>
    <t>984.54</t>
  </si>
  <si>
    <t>14:06</t>
  </si>
  <si>
    <t>14:55</t>
  </si>
  <si>
    <t>14:06 [O]</t>
  </si>
  <si>
    <t>ZPIRJ_2023_52682</t>
  </si>
  <si>
    <t>2022-11-02 09:48:02</t>
  </si>
  <si>
    <t>Zmiana parametrów 50530</t>
  </si>
  <si>
    <t>2022-11-02 09:41:50</t>
  </si>
  <si>
    <t xml:space="preserve">RP: ROJ/ROJ; LOK1: 36WEa/36WEa; LOK2: brak/brak; LOK3: brak/brak; DP: 58/58; BRUTTO: 128/128, </t>
  </si>
  <si>
    <t>Uzupełnienie terminu.</t>
  </si>
  <si>
    <t>153</t>
  </si>
  <si>
    <t>32/PT/KD/23</t>
  </si>
  <si>
    <t>2022-11-02 09:39:58</t>
  </si>
  <si>
    <t>52681</t>
  </si>
  <si>
    <t>15217</t>
  </si>
  <si>
    <t>SKRJ 26833</t>
  </si>
  <si>
    <t>69369/8</t>
  </si>
  <si>
    <t>50.8</t>
  </si>
  <si>
    <t>39.1</t>
  </si>
  <si>
    <t>15:17</t>
  </si>
  <si>
    <t>15:17 [O]</t>
  </si>
  <si>
    <t>ZPIRJ_2023_52681</t>
  </si>
  <si>
    <t>2022-11-02 09:45:31</t>
  </si>
  <si>
    <t>Zmiana parametrów 26833</t>
  </si>
  <si>
    <t>2022-11-02 09:40:25</t>
  </si>
  <si>
    <t>154</t>
  </si>
  <si>
    <t>28/PT/KD/23</t>
  </si>
  <si>
    <t>2022-11-02 09:32:44</t>
  </si>
  <si>
    <t>52652</t>
  </si>
  <si>
    <t>15210</t>
  </si>
  <si>
    <t>SKRJ 26824</t>
  </si>
  <si>
    <t>69371/0</t>
  </si>
  <si>
    <t>16:27</t>
  </si>
  <si>
    <t>17:25</t>
  </si>
  <si>
    <t>16:27 [O]</t>
  </si>
  <si>
    <t>ZPIRJ_2023_52652</t>
  </si>
  <si>
    <t>2022-11-02 09:39:37</t>
  </si>
  <si>
    <t>Zmiana parametrów 26824</t>
  </si>
  <si>
    <t>2022-11-02 09:33:45</t>
  </si>
  <si>
    <t>155</t>
  </si>
  <si>
    <t>29/PT/KD/23</t>
  </si>
  <si>
    <t>2022-11-02 09:30:00</t>
  </si>
  <si>
    <t>52649</t>
  </si>
  <si>
    <t>15211</t>
  </si>
  <si>
    <t>SKRJ 26825</t>
  </si>
  <si>
    <t>69375/4</t>
  </si>
  <si>
    <t>37.0</t>
  </si>
  <si>
    <t>18:37</t>
  </si>
  <si>
    <t>19:34</t>
  </si>
  <si>
    <t>18:37 [O]</t>
  </si>
  <si>
    <t>ZPIRJ_2023_52649</t>
  </si>
  <si>
    <t>2022-11-02 09:36:00</t>
  </si>
  <si>
    <t>Zmiana parametrów 26825</t>
  </si>
  <si>
    <t>2022-11-02 09:30:18</t>
  </si>
  <si>
    <t>156</t>
  </si>
  <si>
    <t>30/PT/KD/23</t>
  </si>
  <si>
    <t>2022-11-02 09:26:46</t>
  </si>
  <si>
    <t>52647</t>
  </si>
  <si>
    <t>15212</t>
  </si>
  <si>
    <t>SKRJ 26826</t>
  </si>
  <si>
    <t>69379/8</t>
  </si>
  <si>
    <t>21:00</t>
  </si>
  <si>
    <t>21:49</t>
  </si>
  <si>
    <t>21:00 [O]</t>
  </si>
  <si>
    <t>ZPIRJ_2023_52647</t>
  </si>
  <si>
    <t>2022-11-02 09:33:51</t>
  </si>
  <si>
    <t>Zmiana parametrów 26826</t>
  </si>
  <si>
    <t>2022-11-02 09:26:51</t>
  </si>
  <si>
    <t>157</t>
  </si>
  <si>
    <t>20/PT/KD/23</t>
  </si>
  <si>
    <t>2022-11-02 08:46:59</t>
  </si>
  <si>
    <t>52611</t>
  </si>
  <si>
    <t>15202</t>
  </si>
  <si>
    <t>SKRJ 26816</t>
  </si>
  <si>
    <t>69327/6</t>
  </si>
  <si>
    <t>35.195</t>
  </si>
  <si>
    <t>2,217.29</t>
  </si>
  <si>
    <t>19:56</t>
  </si>
  <si>
    <t>19:56 [O]</t>
  </si>
  <si>
    <t>ZPIRJ_2023_52611</t>
  </si>
  <si>
    <t>2022-11-02 08:53:57</t>
  </si>
  <si>
    <t>Zmiana parametrów 26816</t>
  </si>
  <si>
    <t>2022-11-02 08:47:22</t>
  </si>
  <si>
    <t>158</t>
  </si>
  <si>
    <t>19/PT/KD/23</t>
  </si>
  <si>
    <t>2022-11-02 08:44:59</t>
  </si>
  <si>
    <t>52604</t>
  </si>
  <si>
    <t>15201</t>
  </si>
  <si>
    <t>SKRJ 26815</t>
  </si>
  <si>
    <t>69323/2</t>
  </si>
  <si>
    <t>54.1</t>
  </si>
  <si>
    <t>44.9</t>
  </si>
  <si>
    <t>18:25</t>
  </si>
  <si>
    <t>ZPIRJ_2023_52604</t>
  </si>
  <si>
    <t>2022-11-02 08:51:30</t>
  </si>
  <si>
    <t>Zmiana parametrów 26815</t>
  </si>
  <si>
    <t>2022-11-02 08:45:25</t>
  </si>
  <si>
    <t>159</t>
  </si>
  <si>
    <t>18/PT/KD/23</t>
  </si>
  <si>
    <t>2022-11-02 08:42:44</t>
  </si>
  <si>
    <t>52598</t>
  </si>
  <si>
    <t>15200</t>
  </si>
  <si>
    <t>SKRJ 26814</t>
  </si>
  <si>
    <t>69319/8</t>
  </si>
  <si>
    <t>15:22</t>
  </si>
  <si>
    <t>16:12</t>
  </si>
  <si>
    <t>15:22 [O]</t>
  </si>
  <si>
    <t>ZPIRJ_2023_52598</t>
  </si>
  <si>
    <t>2022-11-02 08:48:19</t>
  </si>
  <si>
    <t>Zmiana parametrów 26814</t>
  </si>
  <si>
    <t>2022-11-02 08:43:10</t>
  </si>
  <si>
    <t>160</t>
  </si>
  <si>
    <t>31/PT/KD/23</t>
  </si>
  <si>
    <t>2022-11-02 08:39:14</t>
  </si>
  <si>
    <t>52594</t>
  </si>
  <si>
    <t>15216</t>
  </si>
  <si>
    <t>SKRJ 26832</t>
  </si>
  <si>
    <t>69317/6</t>
  </si>
  <si>
    <t>50.9</t>
  </si>
  <si>
    <t>985.46</t>
  </si>
  <si>
    <t>15:00</t>
  </si>
  <si>
    <t>ZPIRJ_2023_52594</t>
  </si>
  <si>
    <t>2022-11-02 08:45:52</t>
  </si>
  <si>
    <t>Zmiana parametrów 26832</t>
  </si>
  <si>
    <t>2022-11-02 08:39:30</t>
  </si>
  <si>
    <t>161</t>
  </si>
  <si>
    <t>17A/PT/KD/23</t>
  </si>
  <si>
    <t>2022-11-02 08:33:36</t>
  </si>
  <si>
    <t>52588</t>
  </si>
  <si>
    <t>15192</t>
  </si>
  <si>
    <t>SKRJ 26786</t>
  </si>
  <si>
    <t>69315/4</t>
  </si>
  <si>
    <t>13:05</t>
  </si>
  <si>
    <t>13:54</t>
  </si>
  <si>
    <t>13:05 [O]</t>
  </si>
  <si>
    <t>ZPIRJ_2023_52588</t>
  </si>
  <si>
    <t>2022-11-02 08:40:00</t>
  </si>
  <si>
    <t>Zmiana parametrów 26786</t>
  </si>
  <si>
    <t>2022-11-02 08:34:05</t>
  </si>
  <si>
    <t>162</t>
  </si>
  <si>
    <t>46/PT/KD/23</t>
  </si>
  <si>
    <t>2022-11-02 08:32:41</t>
  </si>
  <si>
    <t>52587</t>
  </si>
  <si>
    <t>41299</t>
  </si>
  <si>
    <t>SKRJ 41299</t>
  </si>
  <si>
    <t>11.XII.22-11.III w (C);  [kursuje/podstawa: 28/28]</t>
  </si>
  <si>
    <t>ZPIRJ_2023_52587</t>
  </si>
  <si>
    <t>2022-11-02 08:39:56</t>
  </si>
  <si>
    <t>Zmiana parametrów 41299</t>
  </si>
  <si>
    <t>2022-11-02 08:33:10</t>
  </si>
  <si>
    <t>Uzupełnienie terminu kursowania.</t>
  </si>
  <si>
    <t>163</t>
  </si>
  <si>
    <t>2022-11-02 08:30:19</t>
  </si>
  <si>
    <t>52582</t>
  </si>
  <si>
    <t>15191</t>
  </si>
  <si>
    <t>SKRJ 26785</t>
  </si>
  <si>
    <t>69313/2</t>
  </si>
  <si>
    <t>11:11</t>
  </si>
  <si>
    <t>12:01</t>
  </si>
  <si>
    <t>11:11 [O]</t>
  </si>
  <si>
    <t>ZPIRJ_2023_52582</t>
  </si>
  <si>
    <t>2022-11-02 08:35:51</t>
  </si>
  <si>
    <t>Zmiana parametrów 26785</t>
  </si>
  <si>
    <t>2022-11-02 08:30:40</t>
  </si>
  <si>
    <t>164</t>
  </si>
  <si>
    <t>15/PT/KD/23</t>
  </si>
  <si>
    <t>2022-11-02 08:26:57</t>
  </si>
  <si>
    <t>52579</t>
  </si>
  <si>
    <t>15188</t>
  </si>
  <si>
    <t>SKRJ 26784</t>
  </si>
  <si>
    <t>69309/8</t>
  </si>
  <si>
    <t>52.1</t>
  </si>
  <si>
    <t>08:49</t>
  </si>
  <si>
    <t>08:49 [O]</t>
  </si>
  <si>
    <t>ZPIRJ_2023_52579</t>
  </si>
  <si>
    <t>2022-11-02 08:33:41</t>
  </si>
  <si>
    <t>Zmiana parametrów 26784</t>
  </si>
  <si>
    <t>2022-11-02 08:27:14</t>
  </si>
  <si>
    <t>165</t>
  </si>
  <si>
    <t>14/PT/KD/23</t>
  </si>
  <si>
    <t>2022-11-02 08:24:01</t>
  </si>
  <si>
    <t>52576</t>
  </si>
  <si>
    <t>15187</t>
  </si>
  <si>
    <t>SKRJ 26783</t>
  </si>
  <si>
    <t>69305/4</t>
  </si>
  <si>
    <t>50.3</t>
  </si>
  <si>
    <t>35.8</t>
  </si>
  <si>
    <t>06:26</t>
  </si>
  <si>
    <t>07:25</t>
  </si>
  <si>
    <t>06:26 [O]</t>
  </si>
  <si>
    <t>ZPIRJ_2023_52576</t>
  </si>
  <si>
    <t>2022-11-02 08:29:32</t>
  </si>
  <si>
    <t>Zmiana parametrów 26783</t>
  </si>
  <si>
    <t>2022-11-02 08:24:13</t>
  </si>
  <si>
    <t>166</t>
  </si>
  <si>
    <t>13A/PT/KD/23</t>
  </si>
  <si>
    <t>2022-11-02 08:23:08</t>
  </si>
  <si>
    <t>52575</t>
  </si>
  <si>
    <t>15180</t>
  </si>
  <si>
    <t>SKRJ 26763</t>
  </si>
  <si>
    <t>69301/0</t>
  </si>
  <si>
    <t>04:59</t>
  </si>
  <si>
    <t>ZPIRJ_2023_52575</t>
  </si>
  <si>
    <t>2022-11-02 08:29:30</t>
  </si>
  <si>
    <t>Zmiana parametrów 26763</t>
  </si>
  <si>
    <t>2022-11-02 08:23:58</t>
  </si>
  <si>
    <t>167</t>
  </si>
  <si>
    <t>325D/KD/R/23</t>
  </si>
  <si>
    <t>2022-11-02 08:05:59</t>
  </si>
  <si>
    <t>52488</t>
  </si>
  <si>
    <t>12705</t>
  </si>
  <si>
    <t>SKRJ 29485</t>
  </si>
  <si>
    <t>RUDAWY</t>
  </si>
  <si>
    <t>58.2</t>
  </si>
  <si>
    <t>17.XII.22-31.XII.22 (6); 6.I, 7.I; 14.I-25.II (6);  [kursuje/podstawa: 12/112]</t>
  </si>
  <si>
    <t>1,524.00</t>
  </si>
  <si>
    <t>18:40</t>
  </si>
  <si>
    <t>18:40 [O]</t>
  </si>
  <si>
    <t>ZPRRJ_2023_52488</t>
  </si>
  <si>
    <t>2022-11-02 08:14:01</t>
  </si>
  <si>
    <t>Zmiana parametrów 29485</t>
  </si>
  <si>
    <t>2022-11-02 08:06:52</t>
  </si>
  <si>
    <t xml:space="preserve">RP: ROJ/ROJ; LOK1: 45WE/45WE; LOK2: brak/brak; LOK3: brak/brak; DP: 90/90; BRUTTO: 212/212, </t>
  </si>
  <si>
    <t>168</t>
  </si>
  <si>
    <t>325C/KD/R/23</t>
  </si>
  <si>
    <t>2022-11-02 08:03:53</t>
  </si>
  <si>
    <t>52484</t>
  </si>
  <si>
    <t>SKRJ 29486</t>
  </si>
  <si>
    <t>4.III; 11.III;  [kursuje/podstawa: 2/112]</t>
  </si>
  <si>
    <t>254.00</t>
  </si>
  <si>
    <t>ZPRRJ_2023_52484</t>
  </si>
  <si>
    <t>2022-11-02 08:09:57</t>
  </si>
  <si>
    <t>Zmiana parametrów 29486</t>
  </si>
  <si>
    <t>2022-11-02 08:04:07</t>
  </si>
  <si>
    <t>169</t>
  </si>
  <si>
    <t>325B/KD/R/23</t>
  </si>
  <si>
    <t>2022-11-02 08:02:49</t>
  </si>
  <si>
    <t>52481</t>
  </si>
  <si>
    <t>18262</t>
  </si>
  <si>
    <t>SKRJ 35411</t>
  </si>
  <si>
    <t>3.III; 10.III;  [kursuje/podstawa: 2/12]</t>
  </si>
  <si>
    <t>ZPRRJ_2023_52481</t>
  </si>
  <si>
    <t>2022-11-02 08:08:32</t>
  </si>
  <si>
    <t>Zmiana parametrów 35411</t>
  </si>
  <si>
    <t>2022-11-02 08:03:20</t>
  </si>
  <si>
    <t>170</t>
  </si>
  <si>
    <t>325A/KD/R/23</t>
  </si>
  <si>
    <t>2022-11-02 08:00:57</t>
  </si>
  <si>
    <t>52474</t>
  </si>
  <si>
    <t>SKRJ 35515</t>
  </si>
  <si>
    <t>25.XII.22;  [kursuje/podstawa: 1/112]</t>
  </si>
  <si>
    <t>127.00</t>
  </si>
  <si>
    <t>ZPRRJ_2023_52474</t>
  </si>
  <si>
    <t>2022-11-02 08:06:39</t>
  </si>
  <si>
    <t>Zmiana parametrów 35515</t>
  </si>
  <si>
    <t>2022-11-02 08:01:26</t>
  </si>
  <si>
    <t>171</t>
  </si>
  <si>
    <t>325/KD/R/23</t>
  </si>
  <si>
    <t>2022-11-02 07:59:53</t>
  </si>
  <si>
    <t>52472</t>
  </si>
  <si>
    <t>18305</t>
  </si>
  <si>
    <t>SKRJ 35516</t>
  </si>
  <si>
    <t>5.I;  [kursuje/podstawa: 1/1]</t>
  </si>
  <si>
    <t>ZPRRJ_2023_52472</t>
  </si>
  <si>
    <t>2022-11-02 08:06:44</t>
  </si>
  <si>
    <t>Zmiana parametrów 35516</t>
  </si>
  <si>
    <t>2022-11-02 08:00:16</t>
  </si>
  <si>
    <t>172</t>
  </si>
  <si>
    <t>294A/KD/R/23</t>
  </si>
  <si>
    <t>2022-11-02 07:55:32</t>
  </si>
  <si>
    <t>52467</t>
  </si>
  <si>
    <t>11969</t>
  </si>
  <si>
    <t>SKRJ 25399</t>
  </si>
  <si>
    <t>JAWORNIK</t>
  </si>
  <si>
    <t>21.573</t>
  </si>
  <si>
    <t>47.9</t>
  </si>
  <si>
    <t>46.2</t>
  </si>
  <si>
    <t>11.XII.22-15.XII.22;  [kursuje/podstawa: 5/364]</t>
  </si>
  <si>
    <t>107.87</t>
  </si>
  <si>
    <t>04:44</t>
  </si>
  <si>
    <t>05:12</t>
  </si>
  <si>
    <t>04:44 [O]</t>
  </si>
  <si>
    <t>ZPRRJ_2023_52467</t>
  </si>
  <si>
    <t>2022-11-02 08:03:00</t>
  </si>
  <si>
    <t>Zmiana parametrów 25399</t>
  </si>
  <si>
    <t>2022-11-02 07:55:43</t>
  </si>
  <si>
    <t xml:space="preserve">RP: ROM/ROM; LOK1: 36WEh/36WEh; LOK2: brak/brak; LOK3: brak/brak; DP: 59/59; BRUTTO: 152/152, </t>
  </si>
  <si>
    <t>173</t>
  </si>
  <si>
    <t>294/KD/R/23</t>
  </si>
  <si>
    <t>2022-11-02 07:54:43</t>
  </si>
  <si>
    <t>52465</t>
  </si>
  <si>
    <t>SKRJ 36925</t>
  </si>
  <si>
    <t>16.XII.22-11.III ;  [kursuje/podstawa: 86/364]</t>
  </si>
  <si>
    <t>1,855.28</t>
  </si>
  <si>
    <t>ZPRRJ_2023_52465</t>
  </si>
  <si>
    <t>2022-11-02 08:02:59</t>
  </si>
  <si>
    <t>Zmiana parametrów 36925</t>
  </si>
  <si>
    <t>2022-11-02 07:54:56</t>
  </si>
  <si>
    <t>174</t>
  </si>
  <si>
    <t>89/KD/R/23</t>
  </si>
  <si>
    <t>2022-10-27 11:32:01</t>
  </si>
  <si>
    <t>SKRJ</t>
  </si>
  <si>
    <t>51026</t>
  </si>
  <si>
    <t>3393</t>
  </si>
  <si>
    <t>69955/4</t>
  </si>
  <si>
    <t>50.7</t>
  </si>
  <si>
    <t>13.XII.22;  [kursuje/podstawa: 1/252]</t>
  </si>
  <si>
    <t>33.47</t>
  </si>
  <si>
    <t>13:42</t>
  </si>
  <si>
    <t>13:55 [O]</t>
  </si>
  <si>
    <t>ZRJP_2023-51026_1-1</t>
  </si>
  <si>
    <t>2022-10-31 19:22:09</t>
  </si>
  <si>
    <t>Tabakiernik Patrycjusz dnia 2022-09-01</t>
  </si>
  <si>
    <t>2022-10-31 12:30:21</t>
  </si>
  <si>
    <t>175</t>
  </si>
  <si>
    <t>27/PT/KD/23</t>
  </si>
  <si>
    <t>2022-10-25 10:54:44</t>
  </si>
  <si>
    <t>50529</t>
  </si>
  <si>
    <t>15209</t>
  </si>
  <si>
    <t>ZRJP_2023-50529_1-1</t>
  </si>
  <si>
    <t>2022-10-31 16:17:53</t>
  </si>
  <si>
    <t>Tabakiernik Patrycjusz dnia 2022-09-08</t>
  </si>
  <si>
    <t>2022-10-25 11:22:31</t>
  </si>
  <si>
    <t>176</t>
  </si>
  <si>
    <t>200/KD/R/23</t>
  </si>
  <si>
    <t>2022-10-25 10:05:41</t>
  </si>
  <si>
    <t>50508</t>
  </si>
  <si>
    <t>7100</t>
  </si>
  <si>
    <t>36.469</t>
  </si>
  <si>
    <t>3,318.68</t>
  </si>
  <si>
    <t>04:47</t>
  </si>
  <si>
    <t>05:32</t>
  </si>
  <si>
    <t>04:28 [O]</t>
  </si>
  <si>
    <t>ZRJP_2023-50508_1-1</t>
  </si>
  <si>
    <t>2022-10-31 16:17:16</t>
  </si>
  <si>
    <t>Tabakiernik Patrycjusz dnia 2022-09-05</t>
  </si>
  <si>
    <t>2022-10-25 10:08:12</t>
  </si>
  <si>
    <t>177</t>
  </si>
  <si>
    <t>90/KD/R/23</t>
  </si>
  <si>
    <t>2022-10-25 09:59:56</t>
  </si>
  <si>
    <t>50505</t>
  </si>
  <si>
    <t>3394</t>
  </si>
  <si>
    <t>69957/6</t>
  </si>
  <si>
    <t>52.0</t>
  </si>
  <si>
    <t>45.6</t>
  </si>
  <si>
    <t>14:45</t>
  </si>
  <si>
    <t>15:29</t>
  </si>
  <si>
    <t>14:57 [O]</t>
  </si>
  <si>
    <t>ZRJP_2023-50505_1-1</t>
  </si>
  <si>
    <t>2022-10-31 16:17:09</t>
  </si>
  <si>
    <t>2022-10-25 10:21:38</t>
  </si>
  <si>
    <t>324/KD/R/23</t>
  </si>
  <si>
    <t>2022-10-21 07:22:44</t>
  </si>
  <si>
    <t>PLK005049</t>
  </si>
  <si>
    <t>45254</t>
  </si>
  <si>
    <t>58.6</t>
  </si>
  <si>
    <t>26.XII.22;  [kursuje/podstawa: 1/1]</t>
  </si>
  <si>
    <t>80.10</t>
  </si>
  <si>
    <t>20:02</t>
  </si>
  <si>
    <t>ZRJP_2023-45254_1-1</t>
  </si>
  <si>
    <t>2022-10-31 16:18:00</t>
  </si>
  <si>
    <t>2022-10-21 07:37:38</t>
  </si>
  <si>
    <t>179</t>
  </si>
  <si>
    <t>124/KD/R/23</t>
  </si>
  <si>
    <t>2022-10-20 09:40:56</t>
  </si>
  <si>
    <t>PLK043886</t>
  </si>
  <si>
    <t>44911</t>
  </si>
  <si>
    <t>21.595</t>
  </si>
  <si>
    <t>69.3</t>
  </si>
  <si>
    <t>1,965.15</t>
  </si>
  <si>
    <t>Kamieniec Ząbkowicki</t>
  </si>
  <si>
    <t>21:04</t>
  </si>
  <si>
    <t>19:34 [O]</t>
  </si>
  <si>
    <t>ZRJP_2023-44911_1-1</t>
  </si>
  <si>
    <t>2022-10-20 09:52:36</t>
  </si>
  <si>
    <t>180</t>
  </si>
  <si>
    <t>80/PT/KD/23</t>
  </si>
  <si>
    <t>2022-10-20 09:22:28</t>
  </si>
  <si>
    <t>44897</t>
  </si>
  <si>
    <t>36.811</t>
  </si>
  <si>
    <t>61.4</t>
  </si>
  <si>
    <t>56.6</t>
  </si>
  <si>
    <t>3,349.80</t>
  </si>
  <si>
    <t>05:35</t>
  </si>
  <si>
    <t>Chocianów</t>
  </si>
  <si>
    <t>06:14</t>
  </si>
  <si>
    <t>05:45 [O]</t>
  </si>
  <si>
    <t>IRJ_2023_44897</t>
  </si>
  <si>
    <t>2022-10-20 10:52:56</t>
  </si>
  <si>
    <t>Tabakiernik Patrycjusz dnia 2022-10-20</t>
  </si>
  <si>
    <t>2022-10-20 09:24:40</t>
  </si>
  <si>
    <t>181</t>
  </si>
  <si>
    <t>179/KD/R/23</t>
  </si>
  <si>
    <t>2022-10-20 08:20:42</t>
  </si>
  <si>
    <t>44838</t>
  </si>
  <si>
    <t>71.3</t>
  </si>
  <si>
    <t>11.III;  [kursuje/podstawa: 1/257]</t>
  </si>
  <si>
    <t>108.73</t>
  </si>
  <si>
    <t>22:37</t>
  </si>
  <si>
    <t>20:47 [O]</t>
  </si>
  <si>
    <t>ZRJP_2023-44838_1-1</t>
  </si>
  <si>
    <t>2022-10-31 16:17:12</t>
  </si>
  <si>
    <t>2022-10-20 09:52:23</t>
  </si>
  <si>
    <t>182</t>
  </si>
  <si>
    <t>93/PT/KD/23</t>
  </si>
  <si>
    <t>2022-10-17 12:45:59</t>
  </si>
  <si>
    <t>43215</t>
  </si>
  <si>
    <t>45.1</t>
  </si>
  <si>
    <t>42.5</t>
  </si>
  <si>
    <t>17:40</t>
  </si>
  <si>
    <t>18:20</t>
  </si>
  <si>
    <t>17:29 [O]</t>
  </si>
  <si>
    <t>IRJ_2023_43215</t>
  </si>
  <si>
    <t>2022-10-20 10:52:59</t>
  </si>
  <si>
    <t>2022-10-20 10:02:07</t>
  </si>
  <si>
    <t>183</t>
  </si>
  <si>
    <t>92/PT/KD/23</t>
  </si>
  <si>
    <t>2022-10-17 12:41:03</t>
  </si>
  <si>
    <t>43212</t>
  </si>
  <si>
    <t>12.XII.22-10.III w (D);  [kursuje/podstawa: 63/91]</t>
  </si>
  <si>
    <t>2,319.09</t>
  </si>
  <si>
    <t>15:55</t>
  </si>
  <si>
    <t>16:35</t>
  </si>
  <si>
    <t>15:59 [O]</t>
  </si>
  <si>
    <t>IRJ_2023_43212</t>
  </si>
  <si>
    <t>2022-10-20 09:58:26</t>
  </si>
  <si>
    <t>184</t>
  </si>
  <si>
    <t>4/KD/ES/I/23</t>
  </si>
  <si>
    <t>2022-10-20 08:31:22</t>
  </si>
  <si>
    <t>43204</t>
  </si>
  <si>
    <t>67.9</t>
  </si>
  <si>
    <t>65.9</t>
  </si>
  <si>
    <t>12.XII.22-8.XII.23 w (D);  [kursuje/podstawa: 252/252]</t>
  </si>
  <si>
    <t>21,987.50</t>
  </si>
  <si>
    <t>07:43</t>
  </si>
  <si>
    <t>09:03</t>
  </si>
  <si>
    <t>09:02 [P]</t>
  </si>
  <si>
    <t>IRJ_2023_43204</t>
  </si>
  <si>
    <t>2022-10-20 11:08:33</t>
  </si>
  <si>
    <t>2022-10-20 10:01:04</t>
  </si>
  <si>
    <t>185</t>
  </si>
  <si>
    <t>103/PT/KD/23</t>
  </si>
  <si>
    <t>2022-10-18 12:19:28</t>
  </si>
  <si>
    <t>42905</t>
  </si>
  <si>
    <t>SA134</t>
  </si>
  <si>
    <t>40.314</t>
  </si>
  <si>
    <t>63.7</t>
  </si>
  <si>
    <t>2.I-12.I (1)(2)(3)(4); 13.I-8.XII.23 w (D);  [kursuje/podstawa: 238/238]</t>
  </si>
  <si>
    <t>9,594.73</t>
  </si>
  <si>
    <t>Sobótka Zachodnia</t>
  </si>
  <si>
    <t>16:18 [O]</t>
  </si>
  <si>
    <t>IRJ_2023_42905</t>
  </si>
  <si>
    <t>2022-10-20 08:28:28</t>
  </si>
  <si>
    <t>2022-10-18 12:38:57</t>
  </si>
  <si>
    <t>186</t>
  </si>
  <si>
    <t>102/PT/KD/23</t>
  </si>
  <si>
    <t>2022-10-14 14:45:40</t>
  </si>
  <si>
    <t>42904</t>
  </si>
  <si>
    <t>20.593</t>
  </si>
  <si>
    <t>45.8</t>
  </si>
  <si>
    <t>4,901.13</t>
  </si>
  <si>
    <t>Kobierzyce</t>
  </si>
  <si>
    <t>11:30</t>
  </si>
  <si>
    <t>11:57</t>
  </si>
  <si>
    <t>12:00 [P]</t>
  </si>
  <si>
    <t>IRJ_2023_42904</t>
  </si>
  <si>
    <t>2022-10-18 12:55:44</t>
  </si>
  <si>
    <t>187</t>
  </si>
  <si>
    <t>101/PT/KD/23</t>
  </si>
  <si>
    <t>2022-10-14 14:44:12</t>
  </si>
  <si>
    <t>42903</t>
  </si>
  <si>
    <t>61.8</t>
  </si>
  <si>
    <t>09:08</t>
  </si>
  <si>
    <t>09:30</t>
  </si>
  <si>
    <t>09:30 [P]</t>
  </si>
  <si>
    <t>IRJ_2023_42903</t>
  </si>
  <si>
    <t>2022-10-20 08:28:27</t>
  </si>
  <si>
    <t>2022-10-18 12:55:11</t>
  </si>
  <si>
    <t>188</t>
  </si>
  <si>
    <t>100/PT/KD/23</t>
  </si>
  <si>
    <t>2022-10-14 14:42:55</t>
  </si>
  <si>
    <t>42902</t>
  </si>
  <si>
    <t>63.4</t>
  </si>
  <si>
    <t>06:35</t>
  </si>
  <si>
    <t>07:01</t>
  </si>
  <si>
    <t>07:00 [P]</t>
  </si>
  <si>
    <t>IRJ_2023_42902</t>
  </si>
  <si>
    <t>2022-10-18 12:54:51</t>
  </si>
  <si>
    <t>189</t>
  </si>
  <si>
    <t>99/PT/KD/23</t>
  </si>
  <si>
    <t>2022-10-18 12:15:39</t>
  </si>
  <si>
    <t>42899</t>
  </si>
  <si>
    <t>14:44</t>
  </si>
  <si>
    <t>15:31</t>
  </si>
  <si>
    <t>14:45 [O]</t>
  </si>
  <si>
    <t>IRJ_2023_42899</t>
  </si>
  <si>
    <t>2022-10-18 12:37:31</t>
  </si>
  <si>
    <t>190</t>
  </si>
  <si>
    <t>98/PT/KD/23</t>
  </si>
  <si>
    <t>2022-10-14 14:35:30</t>
  </si>
  <si>
    <t>42898</t>
  </si>
  <si>
    <t>10:56</t>
  </si>
  <si>
    <t>IRJ_2023_42898</t>
  </si>
  <si>
    <t>2022-10-18 12:55:20</t>
  </si>
  <si>
    <t>191</t>
  </si>
  <si>
    <t>97/PT/KD/23</t>
  </si>
  <si>
    <t>2022-10-14 14:33:35</t>
  </si>
  <si>
    <t>42897</t>
  </si>
  <si>
    <t>08:16</t>
  </si>
  <si>
    <t>08:42</t>
  </si>
  <si>
    <t>IRJ_2023_42897</t>
  </si>
  <si>
    <t>2022-10-18 12:55:03</t>
  </si>
  <si>
    <t>192</t>
  </si>
  <si>
    <t>96/PT/KD/23</t>
  </si>
  <si>
    <t>2022-10-14 14:31:32</t>
  </si>
  <si>
    <t>42895</t>
  </si>
  <si>
    <t>05:30</t>
  </si>
  <si>
    <t>05:52</t>
  </si>
  <si>
    <t>05:35 [O]</t>
  </si>
  <si>
    <t>IRJ_2023_42895</t>
  </si>
  <si>
    <t>2022-10-20 08:28:26</t>
  </si>
  <si>
    <t>2022-10-18 12:54:42</t>
  </si>
  <si>
    <t>193</t>
  </si>
  <si>
    <t>83/PT/KD/23</t>
  </si>
  <si>
    <t>2022-10-14 09:53:01</t>
  </si>
  <si>
    <t>42774</t>
  </si>
  <si>
    <t>06:40</t>
  </si>
  <si>
    <t>07:20</t>
  </si>
  <si>
    <t>06:49 [O]</t>
  </si>
  <si>
    <t>IRJ_2023_42774</t>
  </si>
  <si>
    <t>2022-10-20 09:24:52</t>
  </si>
  <si>
    <t>194</t>
  </si>
  <si>
    <t>95/PT/KD/23</t>
  </si>
  <si>
    <t>2022-10-20 07:58:07</t>
  </si>
  <si>
    <t>42757</t>
  </si>
  <si>
    <t>45.3</t>
  </si>
  <si>
    <t>43.3</t>
  </si>
  <si>
    <t>22:09</t>
  </si>
  <si>
    <t>22:15 [P]</t>
  </si>
  <si>
    <t>IRJ_2023_42757</t>
  </si>
  <si>
    <t>2022-10-20 10:06:12</t>
  </si>
  <si>
    <t>195</t>
  </si>
  <si>
    <t>94/PT/KD/23</t>
  </si>
  <si>
    <t>2022-10-19 12:25:38</t>
  </si>
  <si>
    <t>42756</t>
  </si>
  <si>
    <t>11.XII.22-9.XII.23 ;  [kursuje/podstawa: 364/364]</t>
  </si>
  <si>
    <t>13,399.20</t>
  </si>
  <si>
    <t>19:44</t>
  </si>
  <si>
    <t>20:23</t>
  </si>
  <si>
    <t>20:25 [P]</t>
  </si>
  <si>
    <t>IRJ_2023_42756</t>
  </si>
  <si>
    <t>2022-10-20 11:08:32</t>
  </si>
  <si>
    <t>2022-10-20 10:02:56</t>
  </si>
  <si>
    <t>196</t>
  </si>
  <si>
    <t>91/PT/KD/23</t>
  </si>
  <si>
    <t>2022-10-14 09:28:08</t>
  </si>
  <si>
    <t>42753</t>
  </si>
  <si>
    <t>14:52</t>
  </si>
  <si>
    <t>IRJ_2023_42753</t>
  </si>
  <si>
    <t>2022-10-20 10:52:55</t>
  </si>
  <si>
    <t>2022-10-20 09:54:33</t>
  </si>
  <si>
    <t>197</t>
  </si>
  <si>
    <t>90/PT/KD/23</t>
  </si>
  <si>
    <t>2022-10-20 07:55:54</t>
  </si>
  <si>
    <t>42752</t>
  </si>
  <si>
    <t>61.0</t>
  </si>
  <si>
    <t>21:22</t>
  </si>
  <si>
    <t>20:53 [O]</t>
  </si>
  <si>
    <t>IRJ_2023_42752</t>
  </si>
  <si>
    <t>2022-10-20 10:04:34</t>
  </si>
  <si>
    <t>198</t>
  </si>
  <si>
    <t>89/PT/KD/23</t>
  </si>
  <si>
    <t>2022-10-19 12:24:00</t>
  </si>
  <si>
    <t>42749</t>
  </si>
  <si>
    <t>18:59</t>
  </si>
  <si>
    <t>19:38</t>
  </si>
  <si>
    <t>18:59 [O]</t>
  </si>
  <si>
    <t>IRJ_2023_42749</t>
  </si>
  <si>
    <t>2022-10-20 10:02:39</t>
  </si>
  <si>
    <t>199</t>
  </si>
  <si>
    <t>88/PT/KD/23</t>
  </si>
  <si>
    <t>2022-10-14 09:27:07</t>
  </si>
  <si>
    <t>42748</t>
  </si>
  <si>
    <t>16:47</t>
  </si>
  <si>
    <t>17:26</t>
  </si>
  <si>
    <t>16:45 [O]</t>
  </si>
  <si>
    <t>IRJ_2023_42748</t>
  </si>
  <si>
    <t>2022-10-20 10:52:54</t>
  </si>
  <si>
    <t>2022-10-20 10:00:03</t>
  </si>
  <si>
    <t>87/PT/KD/23</t>
  </si>
  <si>
    <t>2022-10-14 09:26:04</t>
  </si>
  <si>
    <t>42747</t>
  </si>
  <si>
    <t>12.XII.22-8.XII.23 w (D);  [kursuje/podstawa: 252/364]</t>
  </si>
  <si>
    <t>9,276.37</t>
  </si>
  <si>
    <t>15:10</t>
  </si>
  <si>
    <t>15:49</t>
  </si>
  <si>
    <t>15:15 [O]</t>
  </si>
  <si>
    <t>IRJ_2023_42747</t>
  </si>
  <si>
    <t>2022-10-20 09:56:27</t>
  </si>
  <si>
    <t>201</t>
  </si>
  <si>
    <t>86/PT/KD/23</t>
  </si>
  <si>
    <t>2022-10-14 09:25:23</t>
  </si>
  <si>
    <t>42720</t>
  </si>
  <si>
    <t>14:03</t>
  </si>
  <si>
    <t>13:45 [O]</t>
  </si>
  <si>
    <t>IRJ_2023_42720</t>
  </si>
  <si>
    <t>2022-10-20 09:53:42</t>
  </si>
  <si>
    <t>202</t>
  </si>
  <si>
    <t>85/PT/KD/23</t>
  </si>
  <si>
    <t>2022-10-14 09:24:51</t>
  </si>
  <si>
    <t>42713</t>
  </si>
  <si>
    <t>11:40</t>
  </si>
  <si>
    <t>12:20</t>
  </si>
  <si>
    <t>08:29 [O]</t>
  </si>
  <si>
    <t>IRJ_2023_42713</t>
  </si>
  <si>
    <t>2022-10-20 10:52:58</t>
  </si>
  <si>
    <t>2022-10-20 09:53:26</t>
  </si>
  <si>
    <t>203</t>
  </si>
  <si>
    <t>84/PT/KD/23</t>
  </si>
  <si>
    <t>2022-10-14 09:24:19</t>
  </si>
  <si>
    <t>42712</t>
  </si>
  <si>
    <t>09:22</t>
  </si>
  <si>
    <t>IRJ_2023_42712</t>
  </si>
  <si>
    <t>2022-10-20 09:52:31</t>
  </si>
  <si>
    <t>204</t>
  </si>
  <si>
    <t>82/PT/KD/23</t>
  </si>
  <si>
    <t>2022-10-14 09:23:06</t>
  </si>
  <si>
    <t>42698</t>
  </si>
  <si>
    <t>10:47</t>
  </si>
  <si>
    <t>11:26</t>
  </si>
  <si>
    <t>10:45 [O]</t>
  </si>
  <si>
    <t>IRJ_2023_42698</t>
  </si>
  <si>
    <t>2022-10-20 10:52:57</t>
  </si>
  <si>
    <t>2022-10-20 09:53:04</t>
  </si>
  <si>
    <t>205</t>
  </si>
  <si>
    <t>81/PT/KD/23</t>
  </si>
  <si>
    <t>2022-10-14 09:22:35</t>
  </si>
  <si>
    <t>42696</t>
  </si>
  <si>
    <t>07:47</t>
  </si>
  <si>
    <t>08:26</t>
  </si>
  <si>
    <t>07:45 [O]</t>
  </si>
  <si>
    <t>IRJ_2023_42696</t>
  </si>
  <si>
    <t>2022-10-20 09:52:24</t>
  </si>
  <si>
    <t>206</t>
  </si>
  <si>
    <t>500/KD/R/23</t>
  </si>
  <si>
    <t>2022-10-13 09:13:19</t>
  </si>
  <si>
    <t>42474</t>
  </si>
  <si>
    <t>37154</t>
  </si>
  <si>
    <t>200.783</t>
  </si>
  <si>
    <t>59.8</t>
  </si>
  <si>
    <t>27.II;  [kursuje/podstawa: 1/63]</t>
  </si>
  <si>
    <t>200.78</t>
  </si>
  <si>
    <t>08:39</t>
  </si>
  <si>
    <t>ZRJP_2023-42474_1-1</t>
  </si>
  <si>
    <t>2022-10-31 16:17:58</t>
  </si>
  <si>
    <t>2022-10-14 14:02:20</t>
  </si>
  <si>
    <t>207</t>
  </si>
  <si>
    <t>57/KD/R/23</t>
  </si>
  <si>
    <t>2022-10-13 09:12:22</t>
  </si>
  <si>
    <t>42473</t>
  </si>
  <si>
    <t>3220</t>
  </si>
  <si>
    <t>5302</t>
  </si>
  <si>
    <t>RMM</t>
  </si>
  <si>
    <t>124.328</t>
  </si>
  <si>
    <t>52.9</t>
  </si>
  <si>
    <t>39.9</t>
  </si>
  <si>
    <t>124.33</t>
  </si>
  <si>
    <t>04:20</t>
  </si>
  <si>
    <t>Goerlitz</t>
  </si>
  <si>
    <t>07:27</t>
  </si>
  <si>
    <t>WAŁBRZYCH GŁÓWNY - GOERLITZ</t>
  </si>
  <si>
    <t>04:36 [O]</t>
  </si>
  <si>
    <t>ZRJP_2023-42473_1-1</t>
  </si>
  <si>
    <t>2022-10-31 19:22:08</t>
  </si>
  <si>
    <t>2022-10-27 14:41:04</t>
  </si>
  <si>
    <t>208</t>
  </si>
  <si>
    <t>181/KD/R/23</t>
  </si>
  <si>
    <t>2022-10-13 09:11:13</t>
  </si>
  <si>
    <t>42472</t>
  </si>
  <si>
    <t>5060</t>
  </si>
  <si>
    <t>69402/3</t>
  </si>
  <si>
    <t>99.814</t>
  </si>
  <si>
    <t>54.5</t>
  </si>
  <si>
    <t>49.5</t>
  </si>
  <si>
    <t>99.81</t>
  </si>
  <si>
    <t>05:22 [O]</t>
  </si>
  <si>
    <t>ZRJP_2023-42472_1-1</t>
  </si>
  <si>
    <t>2022-10-13 10:01:40</t>
  </si>
  <si>
    <t>209</t>
  </si>
  <si>
    <t>494/KD/R/23</t>
  </si>
  <si>
    <t>2022-10-13 09:09:26</t>
  </si>
  <si>
    <t>42471</t>
  </si>
  <si>
    <t>12643</t>
  </si>
  <si>
    <t>54.4</t>
  </si>
  <si>
    <t>04:48</t>
  </si>
  <si>
    <t>07:08</t>
  </si>
  <si>
    <t>04:39 [O]</t>
  </si>
  <si>
    <t>ZRJP_2023-42471_1-1</t>
  </si>
  <si>
    <t>2022-10-31 16:17:49</t>
  </si>
  <si>
    <t>2022-10-27 13:52:00</t>
  </si>
  <si>
    <t>210</t>
  </si>
  <si>
    <t>2022-10-13 09:08:45</t>
  </si>
  <si>
    <t>42470</t>
  </si>
  <si>
    <t>03:37 [O]</t>
  </si>
  <si>
    <t>ZRJP_2023-42470_1-1</t>
  </si>
  <si>
    <t>2022-10-31 16:17:48</t>
  </si>
  <si>
    <t>2022-10-19 14:52:23</t>
  </si>
  <si>
    <t>211</t>
  </si>
  <si>
    <t>247/KD/R/23</t>
  </si>
  <si>
    <t>2022-10-12 12:40:46</t>
  </si>
  <si>
    <t>42328</t>
  </si>
  <si>
    <t>9023</t>
  </si>
  <si>
    <t>6288</t>
  </si>
  <si>
    <t>61.1</t>
  </si>
  <si>
    <t>18:43</t>
  </si>
  <si>
    <t>LICHKOV - WROCŁAW GŁÓWNY</t>
  </si>
  <si>
    <t>18:43 [O]</t>
  </si>
  <si>
    <t>ZRJP_2023-42328_1-1</t>
  </si>
  <si>
    <t>2022-10-31 16:17:19</t>
  </si>
  <si>
    <t>2022-10-12 12:44:00</t>
  </si>
  <si>
    <t>434/KD/R/23</t>
  </si>
  <si>
    <t>2022-10-12 09:16:53</t>
  </si>
  <si>
    <t>42225</t>
  </si>
  <si>
    <t>9245</t>
  </si>
  <si>
    <t>67791/0</t>
  </si>
  <si>
    <t>97.743</t>
  </si>
  <si>
    <t>1.III;  [kursuje/podstawa: 1/364]</t>
  </si>
  <si>
    <t>97.74</t>
  </si>
  <si>
    <t>19:25</t>
  </si>
  <si>
    <t>21:01</t>
  </si>
  <si>
    <t>19:38 [O]</t>
  </si>
  <si>
    <t>ZRJP_2023-42225_1-1</t>
  </si>
  <si>
    <t>2022-10-31 16:17:20</t>
  </si>
  <si>
    <t>2022-10-18 09:42:33</t>
  </si>
  <si>
    <t>213</t>
  </si>
  <si>
    <t>192/KD/R/23</t>
  </si>
  <si>
    <t>2022-10-10 13:09:10</t>
  </si>
  <si>
    <t>41858</t>
  </si>
  <si>
    <t>5094</t>
  </si>
  <si>
    <t>42.034</t>
  </si>
  <si>
    <t>38.5</t>
  </si>
  <si>
    <t>36.0</t>
  </si>
  <si>
    <t>3,825.09</t>
  </si>
  <si>
    <t>Kudowa-Zdrój</t>
  </si>
  <si>
    <t>06:19</t>
  </si>
  <si>
    <t>07:29</t>
  </si>
  <si>
    <t>06:22 [O]</t>
  </si>
  <si>
    <t>ZRJP_2023-41858_1-1</t>
  </si>
  <si>
    <t>2022-10-31 16:17:15</t>
  </si>
  <si>
    <t>2022-10-10 13:11:02</t>
  </si>
  <si>
    <t>214</t>
  </si>
  <si>
    <t>514/KD/R/23</t>
  </si>
  <si>
    <t>2022-10-10 11:38:34</t>
  </si>
  <si>
    <t>41802</t>
  </si>
  <si>
    <t>17681</t>
  </si>
  <si>
    <t>12723</t>
  </si>
  <si>
    <t>74.7</t>
  </si>
  <si>
    <t>709.98</t>
  </si>
  <si>
    <t>17:05</t>
  </si>
  <si>
    <t>18:02</t>
  </si>
  <si>
    <t>17:52 [O]</t>
  </si>
  <si>
    <t>ZRJP_2023-41802_1-1</t>
  </si>
  <si>
    <t>2022-10-31 16:17:50</t>
  </si>
  <si>
    <t>2022-10-11 12:51:59</t>
  </si>
  <si>
    <t>215</t>
  </si>
  <si>
    <t>129/KD/R/23</t>
  </si>
  <si>
    <t>2022-10-10 11:37:22</t>
  </si>
  <si>
    <t>41799</t>
  </si>
  <si>
    <t>16241</t>
  </si>
  <si>
    <t>3917</t>
  </si>
  <si>
    <t>69207/6</t>
  </si>
  <si>
    <t>83.325</t>
  </si>
  <si>
    <t>62.9</t>
  </si>
  <si>
    <t>54.3</t>
  </si>
  <si>
    <t>1,083.23</t>
  </si>
  <si>
    <t>18:04</t>
  </si>
  <si>
    <t>19:36</t>
  </si>
  <si>
    <t>18:05 [O]</t>
  </si>
  <si>
    <t>ZRJP_2023-41799_1-1</t>
  </si>
  <si>
    <t>2022-10-31 16:17:10</t>
  </si>
  <si>
    <t>2022-10-20 12:23:27</t>
  </si>
  <si>
    <t>216</t>
  </si>
  <si>
    <t>240/KD/R/23</t>
  </si>
  <si>
    <t>2022-10-10 10:52:48</t>
  </si>
  <si>
    <t>41786</t>
  </si>
  <si>
    <t>8893</t>
  </si>
  <si>
    <t>57.562</t>
  </si>
  <si>
    <t>75.1</t>
  </si>
  <si>
    <t>3,626.41</t>
  </si>
  <si>
    <t>Ziębice</t>
  </si>
  <si>
    <t>14:25</t>
  </si>
  <si>
    <t>15:16</t>
  </si>
  <si>
    <t>14:25 [O]</t>
  </si>
  <si>
    <t>ZRJP_2023-41786_1-1</t>
  </si>
  <si>
    <t>2022-10-10 10:53:46</t>
  </si>
  <si>
    <t>217</t>
  </si>
  <si>
    <t>23/KD/R/23</t>
  </si>
  <si>
    <t>2022-10-10 10:52:28</t>
  </si>
  <si>
    <t>41785</t>
  </si>
  <si>
    <t>3087</t>
  </si>
  <si>
    <t>25405</t>
  </si>
  <si>
    <t>810</t>
  </si>
  <si>
    <t>20.500</t>
  </si>
  <si>
    <t>42.3</t>
  </si>
  <si>
    <t>41.0</t>
  </si>
  <si>
    <t>27.II-11.III ;  [kursuje/podstawa: 13/208]</t>
  </si>
  <si>
    <t>266.50</t>
  </si>
  <si>
    <t>Sędzisław</t>
  </si>
  <si>
    <t>12:25</t>
  </si>
  <si>
    <t>Kralovec</t>
  </si>
  <si>
    <t>12:55</t>
  </si>
  <si>
    <t>SĘDZISŁAW - KRALOVEC</t>
  </si>
  <si>
    <t>12:13 [O]</t>
  </si>
  <si>
    <t>ZRJP_2023-41785_1-1</t>
  </si>
  <si>
    <t>2022-10-31 19:22:07</t>
  </si>
  <si>
    <t>2022-10-26 08:23:27</t>
  </si>
  <si>
    <t>218</t>
  </si>
  <si>
    <t>79/PT/KD/23</t>
  </si>
  <si>
    <t>2022-10-10 10:16:20</t>
  </si>
  <si>
    <t>41748</t>
  </si>
  <si>
    <t>SA106</t>
  </si>
  <si>
    <t>4.953</t>
  </si>
  <si>
    <t>21.2</t>
  </si>
  <si>
    <t>1,802.89</t>
  </si>
  <si>
    <t>Krosnowice Kłodzkie</t>
  </si>
  <si>
    <t>21:13</t>
  </si>
  <si>
    <t>21:27</t>
  </si>
  <si>
    <t>21:27 [P]</t>
  </si>
  <si>
    <t>IRJ_2023_41748</t>
  </si>
  <si>
    <t>2022-10-10 11:37:28</t>
  </si>
  <si>
    <t>Tabakiernik Patrycjusz dnia 2022-10-10</t>
  </si>
  <si>
    <t>2022-10-10 11:17:43</t>
  </si>
  <si>
    <t>Trasować jako KKA : Krosnowice Kł.- Kłodzko M. 14'</t>
  </si>
  <si>
    <t>219</t>
  </si>
  <si>
    <t>78/PT/KD/23</t>
  </si>
  <si>
    <t>2022-10-10 10:13:38</t>
  </si>
  <si>
    <t>41746</t>
  </si>
  <si>
    <t>11.XII.22-9.XII.23 w (C);  [kursuje/podstawa: 112/112]</t>
  </si>
  <si>
    <t>554.74</t>
  </si>
  <si>
    <t>19:03</t>
  </si>
  <si>
    <t>19:17</t>
  </si>
  <si>
    <t>19:17 [P]</t>
  </si>
  <si>
    <t>IRJ_2023_41746</t>
  </si>
  <si>
    <t>2022-10-10 11:18:35</t>
  </si>
  <si>
    <t>220</t>
  </si>
  <si>
    <t>77/PT/KD/23</t>
  </si>
  <si>
    <t>2022-10-10 10:10:55</t>
  </si>
  <si>
    <t>41743</t>
  </si>
  <si>
    <t>1,248.16</t>
  </si>
  <si>
    <t>18:33</t>
  </si>
  <si>
    <t>18:47</t>
  </si>
  <si>
    <t>18:47 [P]</t>
  </si>
  <si>
    <t>IRJ_2023_41743</t>
  </si>
  <si>
    <t>2022-10-10 11:37:27</t>
  </si>
  <si>
    <t>2022-10-10 11:15:52</t>
  </si>
  <si>
    <t>221</t>
  </si>
  <si>
    <t>76/PT/KD/23</t>
  </si>
  <si>
    <t>2022-10-10 10:05:33</t>
  </si>
  <si>
    <t>41736</t>
  </si>
  <si>
    <t>16:47 [P]</t>
  </si>
  <si>
    <t>IRJ_2023_41736</t>
  </si>
  <si>
    <t>2022-10-10 11:14:48</t>
  </si>
  <si>
    <t>222</t>
  </si>
  <si>
    <t>75/PT/KD/23</t>
  </si>
  <si>
    <t>2022-10-10 10:03:34</t>
  </si>
  <si>
    <t>41734</t>
  </si>
  <si>
    <t>14:10</t>
  </si>
  <si>
    <t>14:34 [P]</t>
  </si>
  <si>
    <t>IRJ_2023_41734</t>
  </si>
  <si>
    <t>2022-10-10 11:13:55</t>
  </si>
  <si>
    <t>Trasować jako KKA : Krosnowice Kł.- Kłodzko M. 12'</t>
  </si>
  <si>
    <t>223</t>
  </si>
  <si>
    <t>74/PT/KD/23</t>
  </si>
  <si>
    <t>2022-10-10 09:59:15</t>
  </si>
  <si>
    <t>41730</t>
  </si>
  <si>
    <t>11:23</t>
  </si>
  <si>
    <t>11:37</t>
  </si>
  <si>
    <t>11:37 [P]</t>
  </si>
  <si>
    <t>IRJ_2023_41730</t>
  </si>
  <si>
    <t>2022-10-10 11:37:26</t>
  </si>
  <si>
    <t>2022-10-10 11:09:37</t>
  </si>
  <si>
    <t>224</t>
  </si>
  <si>
    <t>73/PT/KD/23</t>
  </si>
  <si>
    <t>2022-10-10 09:56:24</t>
  </si>
  <si>
    <t>41725</t>
  </si>
  <si>
    <t>09:13</t>
  </si>
  <si>
    <t>09:27</t>
  </si>
  <si>
    <t>09:27 [P]</t>
  </si>
  <si>
    <t>IRJ_2023_41725</t>
  </si>
  <si>
    <t>2022-10-10 11:08:18</t>
  </si>
  <si>
    <t>225</t>
  </si>
  <si>
    <t>72/PT/KD/23</t>
  </si>
  <si>
    <t>2022-10-10 09:53:37</t>
  </si>
  <si>
    <t>41723</t>
  </si>
  <si>
    <t>18.6</t>
  </si>
  <si>
    <t>07:27 [P]</t>
  </si>
  <si>
    <t>IRJ_2023_41723</t>
  </si>
  <si>
    <t>2022-10-10 11:07:03</t>
  </si>
  <si>
    <t>Trasować jako KKA : Krosnowice Kł.- Kłodzko M. 16'</t>
  </si>
  <si>
    <t>226</t>
  </si>
  <si>
    <t>22/KD/R/23</t>
  </si>
  <si>
    <t>2022-10-10 09:41:31</t>
  </si>
  <si>
    <t>41716</t>
  </si>
  <si>
    <t>3086</t>
  </si>
  <si>
    <t>25403</t>
  </si>
  <si>
    <t>10:06</t>
  </si>
  <si>
    <t>10:36</t>
  </si>
  <si>
    <t>10:15 [O]</t>
  </si>
  <si>
    <t>ZRJP_2023-41716_1-1</t>
  </si>
  <si>
    <t>2022-10-25 14:22:52</t>
  </si>
  <si>
    <t>227</t>
  </si>
  <si>
    <t>71/PT/KD/23</t>
  </si>
  <si>
    <t>2022-10-10 08:34:14</t>
  </si>
  <si>
    <t>41696</t>
  </si>
  <si>
    <t>24.8</t>
  </si>
  <si>
    <t>19:20</t>
  </si>
  <si>
    <t>19:32</t>
  </si>
  <si>
    <t>19:20 [O]</t>
  </si>
  <si>
    <t>IRJ_2023_41696</t>
  </si>
  <si>
    <t>2022-10-10 11:05:07</t>
  </si>
  <si>
    <t>Trasować jako KKA: Kłodzko M.- Krosnowice Kł. 12'.</t>
  </si>
  <si>
    <t>228</t>
  </si>
  <si>
    <t>70/PT/KD/23</t>
  </si>
  <si>
    <t>2022-10-10 08:27:07</t>
  </si>
  <si>
    <t>41690</t>
  </si>
  <si>
    <t>18:49</t>
  </si>
  <si>
    <t>19:01</t>
  </si>
  <si>
    <t>18:49 [O]</t>
  </si>
  <si>
    <t>IRJ_2023_41690</t>
  </si>
  <si>
    <t>2022-10-10 11:37:25</t>
  </si>
  <si>
    <t>2022-10-10 11:04:16</t>
  </si>
  <si>
    <t>229</t>
  </si>
  <si>
    <t>69/PT/KD/23</t>
  </si>
  <si>
    <t>2022-10-10 08:24:44</t>
  </si>
  <si>
    <t>41689</t>
  </si>
  <si>
    <t>17:32</t>
  </si>
  <si>
    <t>17:44</t>
  </si>
  <si>
    <t>17:32 [O]</t>
  </si>
  <si>
    <t>IRJ_2023_41689</t>
  </si>
  <si>
    <t>2022-10-10 11:02:31</t>
  </si>
  <si>
    <t>230</t>
  </si>
  <si>
    <t>68/PT/KD/23</t>
  </si>
  <si>
    <t>2022-10-10 08:22:50</t>
  </si>
  <si>
    <t>41687</t>
  </si>
  <si>
    <t>17:03</t>
  </si>
  <si>
    <t>17:15</t>
  </si>
  <si>
    <t>17:02 [O]</t>
  </si>
  <si>
    <t>IRJ_2023_41687</t>
  </si>
  <si>
    <t>2022-10-10 11:03:30</t>
  </si>
  <si>
    <t>231</t>
  </si>
  <si>
    <t>67/PT/KD/23</t>
  </si>
  <si>
    <t>2022-10-10 08:17:39</t>
  </si>
  <si>
    <t>41686</t>
  </si>
  <si>
    <t>14:48</t>
  </si>
  <si>
    <t>14:36 [O]</t>
  </si>
  <si>
    <t>IRJ_2023_41686</t>
  </si>
  <si>
    <t>2022-10-10 11:37:24</t>
  </si>
  <si>
    <t>2022-10-10 11:01:31</t>
  </si>
  <si>
    <t>232</t>
  </si>
  <si>
    <t>66/PT/KD/23</t>
  </si>
  <si>
    <t>2022-10-10 08:12:40</t>
  </si>
  <si>
    <t>41684</t>
  </si>
  <si>
    <t>11:53</t>
  </si>
  <si>
    <t>12:05</t>
  </si>
  <si>
    <t>11:53 [O]</t>
  </si>
  <si>
    <t>IRJ_2023_41684</t>
  </si>
  <si>
    <t>2022-10-10 11:00:17</t>
  </si>
  <si>
    <t>Trasować jako KKA: Kłodzko M.- Krosnowice Kł.  12'.</t>
  </si>
  <si>
    <t>233</t>
  </si>
  <si>
    <t>65/PT/KD/23</t>
  </si>
  <si>
    <t>2022-10-10 08:07:54</t>
  </si>
  <si>
    <t>41683</t>
  </si>
  <si>
    <t>09:53</t>
  </si>
  <si>
    <t>09:53 [O]</t>
  </si>
  <si>
    <t>IRJ_2023_41683</t>
  </si>
  <si>
    <t>2022-10-10 11:37:23</t>
  </si>
  <si>
    <t>2022-10-10 10:59:26</t>
  </si>
  <si>
    <t>Trasować jako KKA: Kłodzko M.- Krosnowice Kł 12'.</t>
  </si>
  <si>
    <t>234</t>
  </si>
  <si>
    <t>64/PT/KD/23</t>
  </si>
  <si>
    <t>2022-10-10 08:05:39</t>
  </si>
  <si>
    <t>41682</t>
  </si>
  <si>
    <t>07:41</t>
  </si>
  <si>
    <t>07:53</t>
  </si>
  <si>
    <t>07:41 [O]</t>
  </si>
  <si>
    <t>IRJ_2023_41682</t>
  </si>
  <si>
    <t>2022-10-10 10:58:42</t>
  </si>
  <si>
    <t>Trasować jako KKA: Kłodzko M.- Krosnowice 12'.</t>
  </si>
  <si>
    <t>235</t>
  </si>
  <si>
    <t>63/PT/KD/23</t>
  </si>
  <si>
    <t>2022-10-10 08:02:10</t>
  </si>
  <si>
    <t>41678</t>
  </si>
  <si>
    <t>6.881</t>
  </si>
  <si>
    <t>23.6</t>
  </si>
  <si>
    <t>22.9</t>
  </si>
  <si>
    <t>2,504.68</t>
  </si>
  <si>
    <t>05:48</t>
  </si>
  <si>
    <t>05:30 [O]</t>
  </si>
  <si>
    <t>IRJ_2023_41678</t>
  </si>
  <si>
    <t>2022-10-10 10:56:56</t>
  </si>
  <si>
    <t>Trasować jako KKA: Kłodzko Gł.- Kłodzko M. 6', Kłodzko M.- Krosnowice Kł. 12'.</t>
  </si>
  <si>
    <t>236</t>
  </si>
  <si>
    <t>243/KD/R/23</t>
  </si>
  <si>
    <t>2022-10-07 09:43:58</t>
  </si>
  <si>
    <t>41484</t>
  </si>
  <si>
    <t>8919</t>
  </si>
  <si>
    <t>6284</t>
  </si>
  <si>
    <t>65.2</t>
  </si>
  <si>
    <t>13:43</t>
  </si>
  <si>
    <t>16:16</t>
  </si>
  <si>
    <t>13:43 [O]</t>
  </si>
  <si>
    <t>ZRJP_2023-41484_1-1</t>
  </si>
  <si>
    <t>2022-10-07 09:50:17</t>
  </si>
  <si>
    <t>237</t>
  </si>
  <si>
    <t>308/KD/R/23</t>
  </si>
  <si>
    <t>2022-10-06 08:26:37</t>
  </si>
  <si>
    <t>41289</t>
  </si>
  <si>
    <t>41288</t>
  </si>
  <si>
    <t>58.7</t>
  </si>
  <si>
    <t>4.III, 5.III; 11.III;  [kursuje/podstawa: 3/28]</t>
  </si>
  <si>
    <t>476.77</t>
  </si>
  <si>
    <t>13:10</t>
  </si>
  <si>
    <t>16:22</t>
  </si>
  <si>
    <t>13:03 [O]</t>
  </si>
  <si>
    <t>ZRJP_2023-41289_1-1</t>
  </si>
  <si>
    <t>2022-10-31 16:17:59</t>
  </si>
  <si>
    <t>2022-10-24 10:53:58</t>
  </si>
  <si>
    <t>238</t>
  </si>
  <si>
    <t>2022-10-06 08:22:41</t>
  </si>
  <si>
    <t>11.XII.22-26.II w (C);  [kursuje/podstawa: 25/28]</t>
  </si>
  <si>
    <t>3,973.08</t>
  </si>
  <si>
    <t>ZRJP_2023-41288_1-1</t>
  </si>
  <si>
    <t>2022-10-20 12:22:43</t>
  </si>
  <si>
    <t>239</t>
  </si>
  <si>
    <t>2022-10-06 07:44:00</t>
  </si>
  <si>
    <t>41273</t>
  </si>
  <si>
    <t>37.1</t>
  </si>
  <si>
    <t>08:51</t>
  </si>
  <si>
    <t>07:42 [O]</t>
  </si>
  <si>
    <t>ZRJP_2023-41273_1-1</t>
  </si>
  <si>
    <t>2022-10-06 08:02:38</t>
  </si>
  <si>
    <t>240</t>
  </si>
  <si>
    <t>mail 05.10.2022</t>
  </si>
  <si>
    <t>2022-10-06 07:38:37</t>
  </si>
  <si>
    <t>41272</t>
  </si>
  <si>
    <t>PWM</t>
  </si>
  <si>
    <t>9.106</t>
  </si>
  <si>
    <t>54.6</t>
  </si>
  <si>
    <t>828.65</t>
  </si>
  <si>
    <t>20:00</t>
  </si>
  <si>
    <t>20:00 [O]</t>
  </si>
  <si>
    <t>ZRJP_2023-41272_1-1</t>
  </si>
  <si>
    <t>2022-10-06 07:40:25</t>
  </si>
  <si>
    <t>241</t>
  </si>
  <si>
    <t>45/PT/KD/23</t>
  </si>
  <si>
    <t>2022-10-06 07:15:29</t>
  </si>
  <si>
    <t>41263</t>
  </si>
  <si>
    <t>15237</t>
  </si>
  <si>
    <t>69430/1</t>
  </si>
  <si>
    <t>11.III;  [kursuje/podstawa: 1/364]</t>
  </si>
  <si>
    <t>19:11</t>
  </si>
  <si>
    <t>21:09</t>
  </si>
  <si>
    <t>19:11 [O]</t>
  </si>
  <si>
    <t>ZRJP_2023-41263_1-1</t>
  </si>
  <si>
    <t>2022-10-31 16:17:57</t>
  </si>
  <si>
    <t>2022-10-24 10:07:02</t>
  </si>
  <si>
    <t>242</t>
  </si>
  <si>
    <t>2022-10-06 07:15:28</t>
  </si>
  <si>
    <t>41262</t>
  </si>
  <si>
    <t>27.II-10.III ;  [kursuje/podstawa: 12/364]</t>
  </si>
  <si>
    <t>1,197.77</t>
  </si>
  <si>
    <t>ZRJP_2023-41262_1-1</t>
  </si>
  <si>
    <t>2022-10-24 10:05:54</t>
  </si>
  <si>
    <t>243</t>
  </si>
  <si>
    <t>07/KD/I/23</t>
  </si>
  <si>
    <t>2022-10-05 12:38:48</t>
  </si>
  <si>
    <t>41183</t>
  </si>
  <si>
    <t>14098</t>
  </si>
  <si>
    <t>45.5</t>
  </si>
  <si>
    <t>482.62</t>
  </si>
  <si>
    <t>09:12</t>
  </si>
  <si>
    <t>09:24</t>
  </si>
  <si>
    <t>09:22 [O]</t>
  </si>
  <si>
    <t>ZRJP_2023-41183_1-1</t>
  </si>
  <si>
    <t>2022-10-31 16:17:52</t>
  </si>
  <si>
    <t>2022-10-05 12:41:54</t>
  </si>
  <si>
    <t>zwrot składu od poc 69422</t>
  </si>
  <si>
    <t>244</t>
  </si>
  <si>
    <t>41182</t>
  </si>
  <si>
    <t>264.07</t>
  </si>
  <si>
    <t>ZRJP_2023-41182_1-1</t>
  </si>
  <si>
    <t>2022-10-05 12:41:53</t>
  </si>
  <si>
    <t>245</t>
  </si>
  <si>
    <t>41181</t>
  </si>
  <si>
    <t>63.74</t>
  </si>
  <si>
    <t>ZRJP_2023-41181_1-1</t>
  </si>
  <si>
    <t>2022-10-05 12:41:52</t>
  </si>
  <si>
    <t>246</t>
  </si>
  <si>
    <t>2022-10-05 12:38:47</t>
  </si>
  <si>
    <t>41180</t>
  </si>
  <si>
    <t>18.21</t>
  </si>
  <si>
    <t>ZRJP_2023-41180_1-1</t>
  </si>
  <si>
    <t>2022-10-05 12:41:51</t>
  </si>
  <si>
    <t>247</t>
  </si>
  <si>
    <t>234/KD/R/23</t>
  </si>
  <si>
    <t>2022-10-04 10:17:03</t>
  </si>
  <si>
    <t>40403</t>
  </si>
  <si>
    <t>8695</t>
  </si>
  <si>
    <t>34.541</t>
  </si>
  <si>
    <t>61.9</t>
  </si>
  <si>
    <t>49.3</t>
  </si>
  <si>
    <t>2,176.08</t>
  </si>
  <si>
    <t>07:53 [O]</t>
  </si>
  <si>
    <t>ZRJP_2023-40403_1-1</t>
  </si>
  <si>
    <t>2022-10-31 16:17:17</t>
  </si>
  <si>
    <t>2022-10-04 10:17:42</t>
  </si>
  <si>
    <t>248</t>
  </si>
  <si>
    <t>209/KD/R/23</t>
  </si>
  <si>
    <t>2022-10-04 07:58:57</t>
  </si>
  <si>
    <t>40353</t>
  </si>
  <si>
    <t>16999</t>
  </si>
  <si>
    <t>7692</t>
  </si>
  <si>
    <t>57.565</t>
  </si>
  <si>
    <t>73.5</t>
  </si>
  <si>
    <t>15.XII.22, 16.XII.22;  [kursuje/podstawa: 2/252]</t>
  </si>
  <si>
    <t>115.13</t>
  </si>
  <si>
    <t>13:21</t>
  </si>
  <si>
    <t>14:13</t>
  </si>
  <si>
    <t>14:02 [O]</t>
  </si>
  <si>
    <t>ZRJP_2023-40353_1-1</t>
  </si>
  <si>
    <t>2022-10-25 09:50:20</t>
  </si>
  <si>
    <t>249</t>
  </si>
  <si>
    <t>2022-10-04 07:58:56</t>
  </si>
  <si>
    <t>40352</t>
  </si>
  <si>
    <t>12.XII.22-14.XII.22;  [kursuje/podstawa: 3/252]</t>
  </si>
  <si>
    <t>172.70</t>
  </si>
  <si>
    <t>ZRJP_2023-40352_1-1</t>
  </si>
  <si>
    <t>2022-10-25 09:50:19</t>
  </si>
  <si>
    <t>250</t>
  </si>
  <si>
    <t>169/KD/R/23</t>
  </si>
  <si>
    <t>2022-10-04 07:42:41</t>
  </si>
  <si>
    <t>40349</t>
  </si>
  <si>
    <t>16601</t>
  </si>
  <si>
    <t>5004</t>
  </si>
  <si>
    <t>69814/5</t>
  </si>
  <si>
    <t>172.243</t>
  </si>
  <si>
    <t>39.3</t>
  </si>
  <si>
    <t>344.49</t>
  </si>
  <si>
    <t>11:39</t>
  </si>
  <si>
    <t>16:02</t>
  </si>
  <si>
    <t>12:12 [O]</t>
  </si>
  <si>
    <t>ZRJP_2023-40349_1-1</t>
  </si>
  <si>
    <t>2022-10-07 08:58:33</t>
  </si>
  <si>
    <t>251</t>
  </si>
  <si>
    <t>2022-10-04 07:42:25</t>
  </si>
  <si>
    <t>40348</t>
  </si>
  <si>
    <t>516.73</t>
  </si>
  <si>
    <t>12:23 [O]</t>
  </si>
  <si>
    <t>ZRJP_2023-40348_1-1</t>
  </si>
  <si>
    <t>2022-10-31 16:17:11</t>
  </si>
  <si>
    <t>2022-10-07 08:58:31</t>
  </si>
  <si>
    <t>252</t>
  </si>
  <si>
    <t>183/KD/R/23</t>
  </si>
  <si>
    <t>2022-10-03 13:12:45</t>
  </si>
  <si>
    <t>40318</t>
  </si>
  <si>
    <t>5067</t>
  </si>
  <si>
    <t>69407/6</t>
  </si>
  <si>
    <t>48.0</t>
  </si>
  <si>
    <t>11.XII.22;  [kursuje/podstawa: 1/112]</t>
  </si>
  <si>
    <t>62.02</t>
  </si>
  <si>
    <t>08:46</t>
  </si>
  <si>
    <t>10:14</t>
  </si>
  <si>
    <t>08:39 [O]</t>
  </si>
  <si>
    <t>ZRJP_2023-40318_1-1</t>
  </si>
  <si>
    <t>2022-10-31 16:17:14</t>
  </si>
  <si>
    <t>2022-10-24 12:00:57</t>
  </si>
  <si>
    <t>253</t>
  </si>
  <si>
    <t>44/PT/KD/23</t>
  </si>
  <si>
    <t>2022-10-03 13:11:15</t>
  </si>
  <si>
    <t>40317</t>
  </si>
  <si>
    <t>18128</t>
  </si>
  <si>
    <t>15236</t>
  </si>
  <si>
    <t>69114/5</t>
  </si>
  <si>
    <t>KD SPRINTER BYSTRZYCA</t>
  </si>
  <si>
    <t>175.056</t>
  </si>
  <si>
    <t>11.XII.22;  [kursuje/podstawa: 1/364]</t>
  </si>
  <si>
    <t>175.06</t>
  </si>
  <si>
    <t>09:02</t>
  </si>
  <si>
    <t>09:02 [O]</t>
  </si>
  <si>
    <t>ZRJP_2023-40317_1-1</t>
  </si>
  <si>
    <t>2022-10-31 16:17:55</t>
  </si>
  <si>
    <t>2022-10-24 12:29:27</t>
  </si>
  <si>
    <t>254</t>
  </si>
  <si>
    <t>33/PT/KD/23</t>
  </si>
  <si>
    <t>2022-10-03 12:59:43</t>
  </si>
  <si>
    <t>40314</t>
  </si>
  <si>
    <t>15218</t>
  </si>
  <si>
    <t>69408/9</t>
  </si>
  <si>
    <t>77.122</t>
  </si>
  <si>
    <t>34.0</t>
  </si>
  <si>
    <t>77.12</t>
  </si>
  <si>
    <t>10:31</t>
  </si>
  <si>
    <t>12:47</t>
  </si>
  <si>
    <t>11:22 [O]</t>
  </si>
  <si>
    <t>ZRJP_2023-40314_1-1</t>
  </si>
  <si>
    <t>2022-10-07 09:04:45</t>
  </si>
  <si>
    <t>255</t>
  </si>
  <si>
    <t>468/KD/R/23</t>
  </si>
  <si>
    <t>2022-10-03 11:16:30</t>
  </si>
  <si>
    <t>40164</t>
  </si>
  <si>
    <t>10865</t>
  </si>
  <si>
    <t>MALACHIT</t>
  </si>
  <si>
    <t>89.7</t>
  </si>
  <si>
    <t>76.0</t>
  </si>
  <si>
    <t>11.XII.22-16.XII.22;  [kursuje/podstawa: 6/364]</t>
  </si>
  <si>
    <t>524.47</t>
  </si>
  <si>
    <t>13:26</t>
  </si>
  <si>
    <t>14:10 [O]</t>
  </si>
  <si>
    <t>ZRJP_2023-40164_1-1</t>
  </si>
  <si>
    <t>2022-10-31 16:17:22</t>
  </si>
  <si>
    <t>2022-10-26 12:51:30</t>
  </si>
  <si>
    <t>246/KD/R/23</t>
  </si>
  <si>
    <t>2022-10-03 10:45:21</t>
  </si>
  <si>
    <t>40131</t>
  </si>
  <si>
    <t>8979</t>
  </si>
  <si>
    <t>ŚNIEŻNIK</t>
  </si>
  <si>
    <t>EN57AL</t>
  </si>
  <si>
    <t>64.3</t>
  </si>
  <si>
    <t>8,681.95</t>
  </si>
  <si>
    <t>17:43</t>
  </si>
  <si>
    <t>19:12</t>
  </si>
  <si>
    <t>17:43 [O]</t>
  </si>
  <si>
    <t>ZRJP_2023-40131_1-1</t>
  </si>
  <si>
    <t>2022-10-31 16:29:22</t>
  </si>
  <si>
    <t>2022-10-14 13:46:40</t>
  </si>
  <si>
    <t>257</t>
  </si>
  <si>
    <t>61/KD/R/23</t>
  </si>
  <si>
    <t>2022-10-03 09:03:20</t>
  </si>
  <si>
    <t>40026</t>
  </si>
  <si>
    <t>3232</t>
  </si>
  <si>
    <t>5310</t>
  </si>
  <si>
    <t>77.432</t>
  </si>
  <si>
    <t>51.0</t>
  </si>
  <si>
    <t>7,046.31</t>
  </si>
  <si>
    <t>15:45</t>
  </si>
  <si>
    <t>17:27</t>
  </si>
  <si>
    <t>JELENIA GÓRA - GOERLITZ</t>
  </si>
  <si>
    <t>15:45 [O]</t>
  </si>
  <si>
    <t>ZRJP_2023-40026_1-1</t>
  </si>
  <si>
    <t>2022-10-31 16:29:06</t>
  </si>
  <si>
    <t>2022-10-03 09:04:02</t>
  </si>
  <si>
    <t>258</t>
  </si>
  <si>
    <t>70/KD/R/23</t>
  </si>
  <si>
    <t>2022-10-03 09:00:40</t>
  </si>
  <si>
    <t>40025</t>
  </si>
  <si>
    <t>3244</t>
  </si>
  <si>
    <t>5309</t>
  </si>
  <si>
    <t>51.2</t>
  </si>
  <si>
    <t>15:39</t>
  </si>
  <si>
    <t>GOERLITZ - JELENIA GÓRA</t>
  </si>
  <si>
    <t>15:39 [O]</t>
  </si>
  <si>
    <t>ZRJP_2023-40025_1-1</t>
  </si>
  <si>
    <t>2022-10-31 16:29:07</t>
  </si>
  <si>
    <t>2022-10-03 09:03:39</t>
  </si>
  <si>
    <t>259</t>
  </si>
  <si>
    <t>233/KD/R/23</t>
  </si>
  <si>
    <t>2022-09-30 10:33:31</t>
  </si>
  <si>
    <t>39873</t>
  </si>
  <si>
    <t>8689</t>
  </si>
  <si>
    <t>67.3</t>
  </si>
  <si>
    <t>11.XII.22-5.III (7);  [kursuje/podstawa: 13/52]</t>
  </si>
  <si>
    <t>1,240.28</t>
  </si>
  <si>
    <t>07:37</t>
  </si>
  <si>
    <t>07:37 [O]</t>
  </si>
  <si>
    <t>ZRJP_2023-39873_1-1</t>
  </si>
  <si>
    <t>2022-10-31 16:29:45</t>
  </si>
  <si>
    <t>2022-09-30 10:38:39</t>
  </si>
  <si>
    <t>260</t>
  </si>
  <si>
    <t>232/KD/R/23</t>
  </si>
  <si>
    <t>2022-09-30 10:33:30</t>
  </si>
  <si>
    <t>39872</t>
  </si>
  <si>
    <t>8685</t>
  </si>
  <si>
    <t>EN57</t>
  </si>
  <si>
    <t>65.0</t>
  </si>
  <si>
    <t>56.1</t>
  </si>
  <si>
    <t>12.XII.22-11.III codziennie oprócz (7);  [kursuje/podstawa: 78/312]</t>
  </si>
  <si>
    <t>10,135.87</t>
  </si>
  <si>
    <t>06:53</t>
  </si>
  <si>
    <t>06:53 [O]</t>
  </si>
  <si>
    <t>ZRJP_2023-39872_1-1</t>
  </si>
  <si>
    <t>2022-09-30 10:38:40</t>
  </si>
  <si>
    <t>261</t>
  </si>
  <si>
    <t>230/KD/R/23</t>
  </si>
  <si>
    <t>2022-09-30 10:33:29</t>
  </si>
  <si>
    <t>39871</t>
  </si>
  <si>
    <t>8657</t>
  </si>
  <si>
    <t>ZRJP_2023-39871_1-1</t>
  </si>
  <si>
    <t>2022-10-31 16:29:44</t>
  </si>
  <si>
    <t>2022-09-30 10:37:27</t>
  </si>
  <si>
    <t>262</t>
  </si>
  <si>
    <t>10/KD/R/23</t>
  </si>
  <si>
    <t>2022-09-28 10:54:35</t>
  </si>
  <si>
    <t>37343</t>
  </si>
  <si>
    <t>3074</t>
  </si>
  <si>
    <t>5688</t>
  </si>
  <si>
    <t>VT642</t>
  </si>
  <si>
    <t>1.807</t>
  </si>
  <si>
    <t>27.1</t>
  </si>
  <si>
    <t>164.44</t>
  </si>
  <si>
    <t>20:04</t>
  </si>
  <si>
    <t>ZGORZELEC - DRESDEN</t>
  </si>
  <si>
    <t>20:02 [O]</t>
  </si>
  <si>
    <t>ZRJP_2023-37343_1-1</t>
  </si>
  <si>
    <t>2022-10-31 17:34:35</t>
  </si>
  <si>
    <t>2022-10-03 09:01:37</t>
  </si>
  <si>
    <t>263</t>
  </si>
  <si>
    <t>20/KD/R/23</t>
  </si>
  <si>
    <t>2022-09-28 10:54:14</t>
  </si>
  <si>
    <t>37342</t>
  </si>
  <si>
    <t>3084</t>
  </si>
  <si>
    <t>5689</t>
  </si>
  <si>
    <t>19:50</t>
  </si>
  <si>
    <t>19:54</t>
  </si>
  <si>
    <t>DRESDEN - ZGORZELEC</t>
  </si>
  <si>
    <t>19:50 [O]</t>
  </si>
  <si>
    <t>ZRJP_2023-37342_1-1</t>
  </si>
  <si>
    <t>2022-10-31 17:34:42</t>
  </si>
  <si>
    <t>2022-10-03 09:01:23</t>
  </si>
  <si>
    <t>264</t>
  </si>
  <si>
    <t>62/KD/R/23</t>
  </si>
  <si>
    <t>2022-09-28 10:53:44</t>
  </si>
  <si>
    <t>37340</t>
  </si>
  <si>
    <t>3233</t>
  </si>
  <si>
    <t>5312</t>
  </si>
  <si>
    <t>44.2</t>
  </si>
  <si>
    <t>17:42</t>
  </si>
  <si>
    <t>19:27</t>
  </si>
  <si>
    <t>19:27 [O]</t>
  </si>
  <si>
    <t>ZRJP_2023-37340_1-1</t>
  </si>
  <si>
    <t>2022-10-31 17:34:44</t>
  </si>
  <si>
    <t>2022-10-04 08:47:13</t>
  </si>
  <si>
    <t>265</t>
  </si>
  <si>
    <t>09/KD/R/23</t>
  </si>
  <si>
    <t>2022-09-28 10:53:09</t>
  </si>
  <si>
    <t>37339</t>
  </si>
  <si>
    <t>3073</t>
  </si>
  <si>
    <t>5686</t>
  </si>
  <si>
    <t>19:00</t>
  </si>
  <si>
    <t>19:04</t>
  </si>
  <si>
    <t>ZGORZELEC - BISCHOFSWERDA</t>
  </si>
  <si>
    <t>ZRJP_2023-37339_1-1</t>
  </si>
  <si>
    <t>2022-10-31 17:34:33</t>
  </si>
  <si>
    <t>2022-10-03 09:01:10</t>
  </si>
  <si>
    <t>266</t>
  </si>
  <si>
    <t>19/KD/R/23</t>
  </si>
  <si>
    <t>2022-09-28 10:52:20</t>
  </si>
  <si>
    <t>37337</t>
  </si>
  <si>
    <t>3083</t>
  </si>
  <si>
    <t>5687</t>
  </si>
  <si>
    <t>18:50</t>
  </si>
  <si>
    <t>18:50 [O]</t>
  </si>
  <si>
    <t>ZRJP_2023-37337_1-1</t>
  </si>
  <si>
    <t>2022-10-03 09:00:38</t>
  </si>
  <si>
    <t>267</t>
  </si>
  <si>
    <t>71/KD/R/23</t>
  </si>
  <si>
    <t>2022-09-28 10:51:32</t>
  </si>
  <si>
    <t>37335</t>
  </si>
  <si>
    <t>3245</t>
  </si>
  <si>
    <t>5311</t>
  </si>
  <si>
    <t>17:39</t>
  </si>
  <si>
    <t>19:15</t>
  </si>
  <si>
    <t>17:40 [O]</t>
  </si>
  <si>
    <t>ZRJP_2023-37335_1-1</t>
  </si>
  <si>
    <t>2022-10-31 17:34:57</t>
  </si>
  <si>
    <t>2022-10-04 08:47:29</t>
  </si>
  <si>
    <t>268</t>
  </si>
  <si>
    <t>08/KD/R/23</t>
  </si>
  <si>
    <t>2022-09-28 10:49:36</t>
  </si>
  <si>
    <t>37333</t>
  </si>
  <si>
    <t>3072</t>
  </si>
  <si>
    <t>5684</t>
  </si>
  <si>
    <t>17:00</t>
  </si>
  <si>
    <t>17:04</t>
  </si>
  <si>
    <t>17:04 [O]</t>
  </si>
  <si>
    <t>ZRJP_2023-37333_1-1</t>
  </si>
  <si>
    <t>2022-10-03 08:59:39</t>
  </si>
  <si>
    <t>269</t>
  </si>
  <si>
    <t>18/KD/R/23</t>
  </si>
  <si>
    <t>2022-09-28 10:48:25</t>
  </si>
  <si>
    <t>37330</t>
  </si>
  <si>
    <t>3082</t>
  </si>
  <si>
    <t>5685</t>
  </si>
  <si>
    <t>16:50</t>
  </si>
  <si>
    <t>16:54</t>
  </si>
  <si>
    <t>ZRJP_2023-37330_1-1</t>
  </si>
  <si>
    <t>2022-10-03 08:59:15</t>
  </si>
  <si>
    <t>270</t>
  </si>
  <si>
    <t>07/KD/R/23</t>
  </si>
  <si>
    <t>2022-09-28 10:47:31</t>
  </si>
  <si>
    <t>37327</t>
  </si>
  <si>
    <t>3071</t>
  </si>
  <si>
    <t>5682</t>
  </si>
  <si>
    <t>16:02 [O]</t>
  </si>
  <si>
    <t>ZRJP_2023-37327_1-1</t>
  </si>
  <si>
    <t>2022-10-31 17:34:32</t>
  </si>
  <si>
    <t>2022-10-03 08:58:32</t>
  </si>
  <si>
    <t>271</t>
  </si>
  <si>
    <t>17/KD/R/23</t>
  </si>
  <si>
    <t>2022-09-28 10:47:14</t>
  </si>
  <si>
    <t>37326</t>
  </si>
  <si>
    <t>3081</t>
  </si>
  <si>
    <t>5683</t>
  </si>
  <si>
    <t>15:50</t>
  </si>
  <si>
    <t>15:54</t>
  </si>
  <si>
    <t>15:51 [O]</t>
  </si>
  <si>
    <t>ZRJP_2023-37326_1-1</t>
  </si>
  <si>
    <t>2022-10-31 17:34:41</t>
  </si>
  <si>
    <t>2022-10-03 08:58:24</t>
  </si>
  <si>
    <t>272</t>
  </si>
  <si>
    <t>60/KD/R/23</t>
  </si>
  <si>
    <t>2022-09-28 10:45:24</t>
  </si>
  <si>
    <t>37322</t>
  </si>
  <si>
    <t>3230</t>
  </si>
  <si>
    <t>5308</t>
  </si>
  <si>
    <t>13:45</t>
  </si>
  <si>
    <t>15:27</t>
  </si>
  <si>
    <t>15:27 [O]</t>
  </si>
  <si>
    <t>ZRJP_2023-37322_1-1</t>
  </si>
  <si>
    <t>2022-10-31 17:34:43</t>
  </si>
  <si>
    <t>2022-09-29 08:25:58</t>
  </si>
  <si>
    <t>273</t>
  </si>
  <si>
    <t>06/KD/R/23</t>
  </si>
  <si>
    <t>2022-09-28 10:44:43</t>
  </si>
  <si>
    <t>37321</t>
  </si>
  <si>
    <t>3070</t>
  </si>
  <si>
    <t>5680</t>
  </si>
  <si>
    <t>15:04</t>
  </si>
  <si>
    <t>15:02 [O]</t>
  </si>
  <si>
    <t>ZRJP_2023-37321_1-1</t>
  </si>
  <si>
    <t>2022-10-03 08:58:08</t>
  </si>
  <si>
    <t>274</t>
  </si>
  <si>
    <t>16/KD/R/23</t>
  </si>
  <si>
    <t>2022-09-28 10:44:05</t>
  </si>
  <si>
    <t>37319</t>
  </si>
  <si>
    <t>3080</t>
  </si>
  <si>
    <t>5681</t>
  </si>
  <si>
    <t>25.XII.22, 26.XII.22; 1.I;  [kursuje/podstawa: 3/364]</t>
  </si>
  <si>
    <t>5.42</t>
  </si>
  <si>
    <t>14:50</t>
  </si>
  <si>
    <t>14:54</t>
  </si>
  <si>
    <t>14:50 [O]</t>
  </si>
  <si>
    <t>ZRJP_2023-37319_1-1</t>
  </si>
  <si>
    <t>2022-10-03 08:57:47</t>
  </si>
  <si>
    <t>275</t>
  </si>
  <si>
    <t>2022-09-28 10:42:37</t>
  </si>
  <si>
    <t>37313</t>
  </si>
  <si>
    <t>11.XII.22-5.I codziennie oprócz świąt; 6.I-11.III ;  [kursuje/podstawa: 88/364]</t>
  </si>
  <si>
    <t>159.02</t>
  </si>
  <si>
    <t>ZRJP_2023-37313_1-1</t>
  </si>
  <si>
    <t>2022-10-03 08:57:34</t>
  </si>
  <si>
    <t>276</t>
  </si>
  <si>
    <t>05/KD/R/23</t>
  </si>
  <si>
    <t>2022-09-28 10:41:53</t>
  </si>
  <si>
    <t>37311</t>
  </si>
  <si>
    <t>3069</t>
  </si>
  <si>
    <t>5678</t>
  </si>
  <si>
    <t>14:00</t>
  </si>
  <si>
    <t>14:04</t>
  </si>
  <si>
    <t>14:04 [O]</t>
  </si>
  <si>
    <t>ZRJP_2023-37311_1-1</t>
  </si>
  <si>
    <t>2022-10-31 17:34:29</t>
  </si>
  <si>
    <t>2022-10-03 08:57:02</t>
  </si>
  <si>
    <t>277</t>
  </si>
  <si>
    <t>15/KD/R/23</t>
  </si>
  <si>
    <t>2022-09-28 10:41:41</t>
  </si>
  <si>
    <t>37310</t>
  </si>
  <si>
    <t>3079</t>
  </si>
  <si>
    <t>5679</t>
  </si>
  <si>
    <t>13:50</t>
  </si>
  <si>
    <t>13:50 [O]</t>
  </si>
  <si>
    <t>ZRJP_2023-37310_1-1</t>
  </si>
  <si>
    <t>2022-10-03 08:56:48</t>
  </si>
  <si>
    <t>278</t>
  </si>
  <si>
    <t>69/KD/R/23</t>
  </si>
  <si>
    <t>2022-09-28 10:41:17</t>
  </si>
  <si>
    <t>37309</t>
  </si>
  <si>
    <t>3243</t>
  </si>
  <si>
    <t>5307</t>
  </si>
  <si>
    <t>13:39</t>
  </si>
  <si>
    <t>15:15</t>
  </si>
  <si>
    <t>ZRJP_2023-37309_1-1</t>
  </si>
  <si>
    <t>2022-09-29 08:26:30</t>
  </si>
  <si>
    <t>279</t>
  </si>
  <si>
    <t>02/S/KD/23</t>
  </si>
  <si>
    <t>2022-09-28 10:41:02</t>
  </si>
  <si>
    <t>37308</t>
  </si>
  <si>
    <t>12909</t>
  </si>
  <si>
    <t>5376</t>
  </si>
  <si>
    <t>13:28</t>
  </si>
  <si>
    <t>ZGORZELEC - GOERLITZ</t>
  </si>
  <si>
    <t>13:28 [O]</t>
  </si>
  <si>
    <t>ZRJP_2023-37308_1-1</t>
  </si>
  <si>
    <t>2022-10-31 17:35:54</t>
  </si>
  <si>
    <t>2022-10-03 08:56:29</t>
  </si>
  <si>
    <t>280</t>
  </si>
  <si>
    <t>04/KD/R/23</t>
  </si>
  <si>
    <t>2022-09-28 10:40:36</t>
  </si>
  <si>
    <t>37307</t>
  </si>
  <si>
    <t>3068</t>
  </si>
  <si>
    <t>5676</t>
  </si>
  <si>
    <t>13:00</t>
  </si>
  <si>
    <t>13:04</t>
  </si>
  <si>
    <t>13:04 [O]</t>
  </si>
  <si>
    <t>ZRJP_2023-37307_1-1</t>
  </si>
  <si>
    <t>2022-10-03 08:56:14</t>
  </si>
  <si>
    <t>281</t>
  </si>
  <si>
    <t>14/KD/R/23</t>
  </si>
  <si>
    <t>2022-09-28 10:40:09</t>
  </si>
  <si>
    <t>37306</t>
  </si>
  <si>
    <t>3078</t>
  </si>
  <si>
    <t>5677</t>
  </si>
  <si>
    <t>12:50</t>
  </si>
  <si>
    <t>12:54</t>
  </si>
  <si>
    <t>BISCHOFSWERDA - ZGORZELEC</t>
  </si>
  <si>
    <t>12:50 [O]</t>
  </si>
  <si>
    <t>ZRJP_2023-37306_1-1</t>
  </si>
  <si>
    <t>2022-10-31 17:34:40</t>
  </si>
  <si>
    <t>2022-10-03 08:56:04</t>
  </si>
  <si>
    <t>282</t>
  </si>
  <si>
    <t>03/KD/R/23</t>
  </si>
  <si>
    <t>2022-09-27 13:46:32</t>
  </si>
  <si>
    <t>37255</t>
  </si>
  <si>
    <t>3067</t>
  </si>
  <si>
    <t>5674</t>
  </si>
  <si>
    <t>12:00</t>
  </si>
  <si>
    <t>12:04</t>
  </si>
  <si>
    <t>12:02 [O]</t>
  </si>
  <si>
    <t>ZRJP_2023-37255_1-1</t>
  </si>
  <si>
    <t>2022-10-31 17:34:27</t>
  </si>
  <si>
    <t>2022-10-03 08:55:24</t>
  </si>
  <si>
    <t>283</t>
  </si>
  <si>
    <t>13/KD/R/23</t>
  </si>
  <si>
    <t>2022-09-27 13:46:16</t>
  </si>
  <si>
    <t>37254</t>
  </si>
  <si>
    <t>3077</t>
  </si>
  <si>
    <t>5675</t>
  </si>
  <si>
    <t>11:50</t>
  </si>
  <si>
    <t>11:54</t>
  </si>
  <si>
    <t>11:51 [O]</t>
  </si>
  <si>
    <t>ZRJP_2023-37254_1-1</t>
  </si>
  <si>
    <t>2022-10-03 08:55:16</t>
  </si>
  <si>
    <t>284</t>
  </si>
  <si>
    <t>01/S/KD/23</t>
  </si>
  <si>
    <t>2022-09-27 13:41:42</t>
  </si>
  <si>
    <t>37252</t>
  </si>
  <si>
    <t>12908</t>
  </si>
  <si>
    <t>5377</t>
  </si>
  <si>
    <t>GOERLITZ - ZGORZELEC</t>
  </si>
  <si>
    <t>11:37 [O]</t>
  </si>
  <si>
    <t>ZRJP_2023-37252_1-1</t>
  </si>
  <si>
    <t>2022-10-31 17:35:53</t>
  </si>
  <si>
    <t>2022-10-03 08:54:46</t>
  </si>
  <si>
    <t>285</t>
  </si>
  <si>
    <t>59/KD/R/23</t>
  </si>
  <si>
    <t>2022-09-27 13:41:01</t>
  </si>
  <si>
    <t>37251</t>
  </si>
  <si>
    <t>3223</t>
  </si>
  <si>
    <t>5306</t>
  </si>
  <si>
    <t>09:45</t>
  </si>
  <si>
    <t>11:27</t>
  </si>
  <si>
    <t>11:26 [O]</t>
  </si>
  <si>
    <t>ZRJP_2023-37251_1-1</t>
  </si>
  <si>
    <t>2022-09-29 08:24:24</t>
  </si>
  <si>
    <t>286</t>
  </si>
  <si>
    <t>68/KD/R/23</t>
  </si>
  <si>
    <t>2022-09-27 13:39:17</t>
  </si>
  <si>
    <t>37247</t>
  </si>
  <si>
    <t>3242</t>
  </si>
  <si>
    <t>5305</t>
  </si>
  <si>
    <t>09:39</t>
  </si>
  <si>
    <t>11:15</t>
  </si>
  <si>
    <t>ZRJP_2023-37247_1-1</t>
  </si>
  <si>
    <t>2022-10-31 17:34:52</t>
  </si>
  <si>
    <t>2022-09-29 08:25:04</t>
  </si>
  <si>
    <t>287</t>
  </si>
  <si>
    <t>58/KD/R/23</t>
  </si>
  <si>
    <t>2022-09-27 13:38:49</t>
  </si>
  <si>
    <t>37246</t>
  </si>
  <si>
    <t>3221</t>
  </si>
  <si>
    <t>5304</t>
  </si>
  <si>
    <t>07:45</t>
  </si>
  <si>
    <t>09:26 [O]</t>
  </si>
  <si>
    <t>ZRJP_2023-37246_1-1</t>
  </si>
  <si>
    <t>2022-09-29 08:12:51</t>
  </si>
  <si>
    <t>288</t>
  </si>
  <si>
    <t>02/R/KD/23</t>
  </si>
  <si>
    <t>2022-09-27 13:34:23</t>
  </si>
  <si>
    <t>37243</t>
  </si>
  <si>
    <t>3066</t>
  </si>
  <si>
    <t>5672</t>
  </si>
  <si>
    <t>08:00</t>
  </si>
  <si>
    <t>08:04</t>
  </si>
  <si>
    <t>ZRJP_2023-37243_1-1</t>
  </si>
  <si>
    <t>2022-10-03 08:53:47</t>
  </si>
  <si>
    <t>289</t>
  </si>
  <si>
    <t>12/KD/R/23</t>
  </si>
  <si>
    <t>2022-09-27 13:33:55</t>
  </si>
  <si>
    <t>37242</t>
  </si>
  <si>
    <t>3076</t>
  </si>
  <si>
    <t>5673</t>
  </si>
  <si>
    <t>07:50</t>
  </si>
  <si>
    <t>07:54</t>
  </si>
  <si>
    <t>07:52 [O]</t>
  </si>
  <si>
    <t>ZRJP_2023-37242_1-1</t>
  </si>
  <si>
    <t>2022-10-31 17:34:38</t>
  </si>
  <si>
    <t>2022-10-03 08:53:38</t>
  </si>
  <si>
    <t>290</t>
  </si>
  <si>
    <t>67/KD/R/23</t>
  </si>
  <si>
    <t>2022-09-27 13:33:17</t>
  </si>
  <si>
    <t>37241</t>
  </si>
  <si>
    <t>3241</t>
  </si>
  <si>
    <t>5303</t>
  </si>
  <si>
    <t>09:15</t>
  </si>
  <si>
    <t>ZRJP_2023-37241_1-1</t>
  </si>
  <si>
    <t>2022-10-31 17:34:45</t>
  </si>
  <si>
    <t>2022-09-29 08:13:34</t>
  </si>
  <si>
    <t>291</t>
  </si>
  <si>
    <t>01/KD/R/23</t>
  </si>
  <si>
    <t>2022-09-27 13:32:58</t>
  </si>
  <si>
    <t>37240</t>
  </si>
  <si>
    <t>3065</t>
  </si>
  <si>
    <t>5670</t>
  </si>
  <si>
    <t>12.XII.22-5.I w (D); 6.I-10.III w (A);  [kursuje/podstawa: 64/250]</t>
  </si>
  <si>
    <t>115.65</t>
  </si>
  <si>
    <t>07:16</t>
  </si>
  <si>
    <t>07:16 [O]</t>
  </si>
  <si>
    <t>ZRJP_2023-37240_1-1</t>
  </si>
  <si>
    <t>2022-10-31 17:34:25</t>
  </si>
  <si>
    <t>2022-10-03 08:52:26</t>
  </si>
  <si>
    <t>292</t>
  </si>
  <si>
    <t>11/KD/R/23</t>
  </si>
  <si>
    <t>2022-09-27 13:32:38</t>
  </si>
  <si>
    <t>37239</t>
  </si>
  <si>
    <t>3075</t>
  </si>
  <si>
    <t>5671</t>
  </si>
  <si>
    <t>06:51</t>
  </si>
  <si>
    <t>06:52 [O]</t>
  </si>
  <si>
    <t>ZRJP_2023-37239_1-1</t>
  </si>
  <si>
    <t>2022-10-03 08:52:08</t>
  </si>
  <si>
    <t>293</t>
  </si>
  <si>
    <t>66/KD/R/23</t>
  </si>
  <si>
    <t>2022-09-27 13:32:20</t>
  </si>
  <si>
    <t>37238</t>
  </si>
  <si>
    <t>3238</t>
  </si>
  <si>
    <t>5301</t>
  </si>
  <si>
    <t>05:39</t>
  </si>
  <si>
    <t>07:15</t>
  </si>
  <si>
    <t>ZRJP_2023-37238_1-1</t>
  </si>
  <si>
    <t>2022-09-29 08:12:08</t>
  </si>
  <si>
    <t>294</t>
  </si>
  <si>
    <t>2022-09-27 10:16:57</t>
  </si>
  <si>
    <t>37157</t>
  </si>
  <si>
    <t>28.II-10.III w (A);  [kursuje/podstawa: 9/63]</t>
  </si>
  <si>
    <t>1,807.05</t>
  </si>
  <si>
    <t>04:43 [O]</t>
  </si>
  <si>
    <t>ZRJP_2023-37157_1-1</t>
  </si>
  <si>
    <t>2022-10-24 08:19:40</t>
  </si>
  <si>
    <t>295</t>
  </si>
  <si>
    <t>2022-09-27 10:11:44</t>
  </si>
  <si>
    <t>12.XII.22-24.II w (D);  [kursuje/podstawa: 53/63]</t>
  </si>
  <si>
    <t>10,641.50</t>
  </si>
  <si>
    <t>ZRJP_2023-37154_1-1</t>
  </si>
  <si>
    <t>2022-10-14 14:02:14</t>
  </si>
  <si>
    <t>296</t>
  </si>
  <si>
    <t>333/KD/R/23</t>
  </si>
  <si>
    <t>2022-09-27 08:46:43</t>
  </si>
  <si>
    <t>37141</t>
  </si>
  <si>
    <t>12722</t>
  </si>
  <si>
    <t>39.6</t>
  </si>
  <si>
    <t>21:35</t>
  </si>
  <si>
    <t>22:08</t>
  </si>
  <si>
    <t>21:48 [O]</t>
  </si>
  <si>
    <t>ZRJP_2023-37141_1-1</t>
  </si>
  <si>
    <t>2022-10-31 17:38:34</t>
  </si>
  <si>
    <t>2022-10-03 09:04:49</t>
  </si>
  <si>
    <t>297</t>
  </si>
  <si>
    <t>460/KD/R/23</t>
  </si>
  <si>
    <t>2022-09-26 13:21:28</t>
  </si>
  <si>
    <t>37040</t>
  </si>
  <si>
    <t>10387</t>
  </si>
  <si>
    <t>83.6</t>
  </si>
  <si>
    <t>1,404.84</t>
  </si>
  <si>
    <t>04:28</t>
  </si>
  <si>
    <t>ZRJP_2023-37040_1-1</t>
  </si>
  <si>
    <t>2022-10-31 17:37:07</t>
  </si>
  <si>
    <t>2022-10-26 12:42:51</t>
  </si>
  <si>
    <t>298</t>
  </si>
  <si>
    <t>414/KD/R/23</t>
  </si>
  <si>
    <t>2022-09-26 12:08:07</t>
  </si>
  <si>
    <t>36999</t>
  </si>
  <si>
    <t>6482</t>
  </si>
  <si>
    <t>69529/8</t>
  </si>
  <si>
    <t>92.764</t>
  </si>
  <si>
    <t>75.2</t>
  </si>
  <si>
    <t>8,441.52</t>
  </si>
  <si>
    <t>20:37</t>
  </si>
  <si>
    <t>20:08 [O]</t>
  </si>
  <si>
    <t>ZRJP_2023-36999_1-1</t>
  </si>
  <si>
    <t>2022-10-31 17:38:43</t>
  </si>
  <si>
    <t>2022-10-18 10:07:12</t>
  </si>
  <si>
    <t>299</t>
  </si>
  <si>
    <t>382/KD/R/23</t>
  </si>
  <si>
    <t>2022-09-26 12:07:08</t>
  </si>
  <si>
    <t>36998</t>
  </si>
  <si>
    <t>5412</t>
  </si>
  <si>
    <t>26.532</t>
  </si>
  <si>
    <t>2,069.50</t>
  </si>
  <si>
    <t>05:56</t>
  </si>
  <si>
    <t>06:16</t>
  </si>
  <si>
    <t>06:05 [O]</t>
  </si>
  <si>
    <t>ZRJP_2023-36998_1-1</t>
  </si>
  <si>
    <t>2022-10-31 17:38:37</t>
  </si>
  <si>
    <t>2022-09-29 08:38:42</t>
  </si>
  <si>
    <t>300</t>
  </si>
  <si>
    <t>491/KD/R/23</t>
  </si>
  <si>
    <t>2022-09-26 08:23:27</t>
  </si>
  <si>
    <t>36939</t>
  </si>
  <si>
    <t>12016</t>
  </si>
  <si>
    <t>47.1</t>
  </si>
  <si>
    <t>15.XII.22-11.III ;  [kursuje/podstawa: 87/364]</t>
  </si>
  <si>
    <t>1,876.85</t>
  </si>
  <si>
    <t>18:31 [O]</t>
  </si>
  <si>
    <t>ZRJP_2023-36939_1-1</t>
  </si>
  <si>
    <t>2022-10-31 17:37:24</t>
  </si>
  <si>
    <t>2022-10-05 14:36:16</t>
  </si>
  <si>
    <t>301</t>
  </si>
  <si>
    <t>147/KD/R/23</t>
  </si>
  <si>
    <t>2022-09-26 07:22:55</t>
  </si>
  <si>
    <t>36924</t>
  </si>
  <si>
    <t>4676</t>
  </si>
  <si>
    <t>46.6</t>
  </si>
  <si>
    <t>1,272.81</t>
  </si>
  <si>
    <t>05:02</t>
  </si>
  <si>
    <t>05:31</t>
  </si>
  <si>
    <t>05:02 [O]</t>
  </si>
  <si>
    <t>ZRJP_2023-36924_1-1</t>
  </si>
  <si>
    <t>2022-10-31 17:38:36</t>
  </si>
  <si>
    <t>2022-09-26 09:28:23</t>
  </si>
  <si>
    <t>302</t>
  </si>
  <si>
    <t>282/KD/R/23</t>
  </si>
  <si>
    <t>2022-09-23 10:57:21</t>
  </si>
  <si>
    <t>36820</t>
  </si>
  <si>
    <t>11345</t>
  </si>
  <si>
    <t>58.720</t>
  </si>
  <si>
    <t>56.8</t>
  </si>
  <si>
    <t>51.1</t>
  </si>
  <si>
    <t>8.III;  [kursuje/podstawa: 1/252]</t>
  </si>
  <si>
    <t>58.72</t>
  </si>
  <si>
    <t>Ścinawa</t>
  </si>
  <si>
    <t>16:36</t>
  </si>
  <si>
    <t>17:45</t>
  </si>
  <si>
    <t>16:36 [O]</t>
  </si>
  <si>
    <t>ZRJP_2023-36820_1-1</t>
  </si>
  <si>
    <t>2022-10-31 17:37:23</t>
  </si>
  <si>
    <t>2022-09-29 10:33:56</t>
  </si>
  <si>
    <t>303</t>
  </si>
  <si>
    <t>36819</t>
  </si>
  <si>
    <t>9.III;  [kursuje/podstawa: 1/252]</t>
  </si>
  <si>
    <t>ZRJP_2023-36819_1-1</t>
  </si>
  <si>
    <t>2022-09-29 10:33:58</t>
  </si>
  <si>
    <t>304</t>
  </si>
  <si>
    <t>281/KD/R/23</t>
  </si>
  <si>
    <t>2022-09-23 10:57:20</t>
  </si>
  <si>
    <t>36818</t>
  </si>
  <si>
    <t>11338</t>
  </si>
  <si>
    <t>99.095</t>
  </si>
  <si>
    <t>8.III;  [kursuje/podstawa: 1/364]</t>
  </si>
  <si>
    <t>99.10</t>
  </si>
  <si>
    <t>13:25</t>
  </si>
  <si>
    <t>15:11</t>
  </si>
  <si>
    <t>ZRJP_2023-36818_1-1</t>
  </si>
  <si>
    <t>2022-10-31 17:37:21</t>
  </si>
  <si>
    <t>2022-10-05 09:55:13</t>
  </si>
  <si>
    <t>305</t>
  </si>
  <si>
    <t>2022-09-23 10:57:18</t>
  </si>
  <si>
    <t>36817</t>
  </si>
  <si>
    <t>9.III;  [kursuje/podstawa: 1/364]</t>
  </si>
  <si>
    <t>ZRJP_2023-36817_1-1</t>
  </si>
  <si>
    <t>2022-10-05 09:55:14</t>
  </si>
  <si>
    <t>306</t>
  </si>
  <si>
    <t>280/KD/R/23</t>
  </si>
  <si>
    <t>2022-09-23 10:57:17</t>
  </si>
  <si>
    <t>36816</t>
  </si>
  <si>
    <t>11333</t>
  </si>
  <si>
    <t>65.3</t>
  </si>
  <si>
    <t>58.3</t>
  </si>
  <si>
    <t>11:14</t>
  </si>
  <si>
    <t>12:56</t>
  </si>
  <si>
    <t>11:25 [O]</t>
  </si>
  <si>
    <t>ZRJP_2023-36816_1-1</t>
  </si>
  <si>
    <t>2022-10-31 17:37:19</t>
  </si>
  <si>
    <t>2022-10-06 14:39:52</t>
  </si>
  <si>
    <t>307</t>
  </si>
  <si>
    <t>279/KD/R/23</t>
  </si>
  <si>
    <t>36815</t>
  </si>
  <si>
    <t>11330</t>
  </si>
  <si>
    <t>51.8</t>
  </si>
  <si>
    <t>06:30</t>
  </si>
  <si>
    <t>07:38</t>
  </si>
  <si>
    <t>06:34 [O]</t>
  </si>
  <si>
    <t>ZRJP_2023-36815_1-1</t>
  </si>
  <si>
    <t>2022-10-31 17:37:18</t>
  </si>
  <si>
    <t>2022-10-06 14:33:39</t>
  </si>
  <si>
    <t>308</t>
  </si>
  <si>
    <t>277/KD/R/23</t>
  </si>
  <si>
    <t>2022-09-23 10:57:16</t>
  </si>
  <si>
    <t>36814</t>
  </si>
  <si>
    <t>11316</t>
  </si>
  <si>
    <t>73.0</t>
  </si>
  <si>
    <t>20:12</t>
  </si>
  <si>
    <t>ZRJP_2023-36814_1-1</t>
  </si>
  <si>
    <t>2022-10-31 17:37:17</t>
  </si>
  <si>
    <t>2022-10-10 13:24:25</t>
  </si>
  <si>
    <t>309</t>
  </si>
  <si>
    <t>2022-09-23 10:57:15</t>
  </si>
  <si>
    <t>36813</t>
  </si>
  <si>
    <t>ZRJP_2023-36813_1-1</t>
  </si>
  <si>
    <t>2022-10-10 13:24:24</t>
  </si>
  <si>
    <t>310</t>
  </si>
  <si>
    <t>276/KD/R/23</t>
  </si>
  <si>
    <t>2022-09-23 10:57:14</t>
  </si>
  <si>
    <t>36812</t>
  </si>
  <si>
    <t>11313</t>
  </si>
  <si>
    <t>60.7</t>
  </si>
  <si>
    <t>15:26</t>
  </si>
  <si>
    <t>16:24</t>
  </si>
  <si>
    <t>15:26 [O]</t>
  </si>
  <si>
    <t>ZRJP_2023-36812_1-1</t>
  </si>
  <si>
    <t>2022-10-31 17:37:16</t>
  </si>
  <si>
    <t>2022-10-05 09:10:25</t>
  </si>
  <si>
    <t>311</t>
  </si>
  <si>
    <t>2022-09-23 10:57:13</t>
  </si>
  <si>
    <t>36811</t>
  </si>
  <si>
    <t>ZRJP_2023-36811_1-1</t>
  </si>
  <si>
    <t>312</t>
  </si>
  <si>
    <t>275/KD/R/23</t>
  </si>
  <si>
    <t>2022-09-23 10:57:12</t>
  </si>
  <si>
    <t>36810</t>
  </si>
  <si>
    <t>11306</t>
  </si>
  <si>
    <t>72.5</t>
  </si>
  <si>
    <t>12:59</t>
  </si>
  <si>
    <t>11:30 [O]</t>
  </si>
  <si>
    <t>ZRJP_2023-36810_1-1</t>
  </si>
  <si>
    <t>2022-10-31 17:37:15</t>
  </si>
  <si>
    <t>2022-10-25 13:34:53</t>
  </si>
  <si>
    <t>313</t>
  </si>
  <si>
    <t>274/KD/R/23</t>
  </si>
  <si>
    <t>2022-09-23 10:57:10</t>
  </si>
  <si>
    <t>36809</t>
  </si>
  <si>
    <t>11303</t>
  </si>
  <si>
    <t>10:44</t>
  </si>
  <si>
    <t>09:30 [O]</t>
  </si>
  <si>
    <t>ZRJP_2023-36809_1-1</t>
  </si>
  <si>
    <t>2022-10-31 17:37:08</t>
  </si>
  <si>
    <t>2022-10-25 13:45:14</t>
  </si>
  <si>
    <t>314</t>
  </si>
  <si>
    <t>273/KD/R/23</t>
  </si>
  <si>
    <t>2022-09-23 10:50:46</t>
  </si>
  <si>
    <t>36766</t>
  </si>
  <si>
    <t>11301</t>
  </si>
  <si>
    <t>06:10</t>
  </si>
  <si>
    <t>05:12 [O]</t>
  </si>
  <si>
    <t>ZRJP_2023-36766_1-1</t>
  </si>
  <si>
    <t>2022-10-31 17:39:57</t>
  </si>
  <si>
    <t>2022-09-27 13:40:15</t>
  </si>
  <si>
    <t>315</t>
  </si>
  <si>
    <t>278A/KD/R/23</t>
  </si>
  <si>
    <t>2022-09-23 10:36:11</t>
  </si>
  <si>
    <t>36760</t>
  </si>
  <si>
    <t>11322</t>
  </si>
  <si>
    <t>05:18</t>
  </si>
  <si>
    <t>07:03</t>
  </si>
  <si>
    <t>06:40 [O]</t>
  </si>
  <si>
    <t>ZRJP_2023-36760_1-1</t>
  </si>
  <si>
    <t>2022-10-31 17:39:58</t>
  </si>
  <si>
    <t>2022-09-29 08:23:20</t>
  </si>
  <si>
    <t>316</t>
  </si>
  <si>
    <t>64/KD/R/23</t>
  </si>
  <si>
    <t>2022-09-23 08:06:23</t>
  </si>
  <si>
    <t>36632</t>
  </si>
  <si>
    <t>3235</t>
  </si>
  <si>
    <t>5315</t>
  </si>
  <si>
    <t>99.299</t>
  </si>
  <si>
    <t>74.2</t>
  </si>
  <si>
    <t>11.XII.22-10.III w (B);  [kursuje/podstawa: 78/364]</t>
  </si>
  <si>
    <t>7,745.32</t>
  </si>
  <si>
    <t>21:39</t>
  </si>
  <si>
    <t>23:08</t>
  </si>
  <si>
    <t>GOERLITZ - LEGNICA</t>
  </si>
  <si>
    <t>ZRJP_2023-36632_1-1</t>
  </si>
  <si>
    <t>2022-10-31 17:37:27</t>
  </si>
  <si>
    <t>2022-10-03 08:57:03</t>
  </si>
  <si>
    <t>317</t>
  </si>
  <si>
    <t>404/KD/R/23</t>
  </si>
  <si>
    <t>2022-09-22 13:05:52</t>
  </si>
  <si>
    <t>36607</t>
  </si>
  <si>
    <t>6134</t>
  </si>
  <si>
    <t>97.495</t>
  </si>
  <si>
    <t>79.0</t>
  </si>
  <si>
    <t>7,604.61</t>
  </si>
  <si>
    <t>07:54 [O]</t>
  </si>
  <si>
    <t>ZRJP_2023-36607_1-1</t>
  </si>
  <si>
    <t>2022-10-31 17:39:12</t>
  </si>
  <si>
    <t>2022-09-29 13:37:45</t>
  </si>
  <si>
    <t>318</t>
  </si>
  <si>
    <t>65/KD/R/23</t>
  </si>
  <si>
    <t>2022-09-22 11:56:50</t>
  </si>
  <si>
    <t>36581</t>
  </si>
  <si>
    <t>3236</t>
  </si>
  <si>
    <t>5300</t>
  </si>
  <si>
    <t>9,036.21</t>
  </si>
  <si>
    <t>04:00</t>
  </si>
  <si>
    <t>05:27</t>
  </si>
  <si>
    <t>LEGNICA - GOERLITZ</t>
  </si>
  <si>
    <t>04:19 [O]</t>
  </si>
  <si>
    <t>ZRJP_2023-36581_1-1</t>
  </si>
  <si>
    <t>2022-10-31 17:40:00</t>
  </si>
  <si>
    <t>2022-09-29 13:37:00</t>
  </si>
  <si>
    <t>319</t>
  </si>
  <si>
    <t>225/KD/R/23</t>
  </si>
  <si>
    <t>2022-09-21 11:00:41</t>
  </si>
  <si>
    <t>36354</t>
  </si>
  <si>
    <t>8547</t>
  </si>
  <si>
    <t>93.478</t>
  </si>
  <si>
    <t>7,291.28</t>
  </si>
  <si>
    <t>03:29</t>
  </si>
  <si>
    <t>05:01</t>
  </si>
  <si>
    <t>03:33 [O]</t>
  </si>
  <si>
    <t>ZRJP_2023-36354_1-1</t>
  </si>
  <si>
    <t>2022-10-31 16:32:05</t>
  </si>
  <si>
    <t>2022-10-27 07:57:24</t>
  </si>
  <si>
    <t>320</t>
  </si>
  <si>
    <t>21/KD/R/23</t>
  </si>
  <si>
    <t>2022-09-19 15:40:15</t>
  </si>
  <si>
    <t>35529</t>
  </si>
  <si>
    <t>3085</t>
  </si>
  <si>
    <t>25401</t>
  </si>
  <si>
    <t>1,865.50</t>
  </si>
  <si>
    <t>07:06</t>
  </si>
  <si>
    <t>07:36</t>
  </si>
  <si>
    <t>07:07 [O]</t>
  </si>
  <si>
    <t>ZRJP_2023-35529_1-1</t>
  </si>
  <si>
    <t>2022-10-31 17:32:09</t>
  </si>
  <si>
    <t>2022-09-20 13:36:15</t>
  </si>
  <si>
    <t>321</t>
  </si>
  <si>
    <t>2022-09-19 15:39:34</t>
  </si>
  <si>
    <t>35410</t>
  </si>
  <si>
    <t>16.XII.22-24.II (5) oprócz świąt;  [kursuje/podstawa: 10/12]</t>
  </si>
  <si>
    <t>1,270.00</t>
  </si>
  <si>
    <t>ZRJP_2023-35410_1-1</t>
  </si>
  <si>
    <t>2022-10-31 16:33:20</t>
  </si>
  <si>
    <t>2022-10-20 12:50:08</t>
  </si>
  <si>
    <t>322</t>
  </si>
  <si>
    <t>35409</t>
  </si>
  <si>
    <t>18260</t>
  </si>
  <si>
    <t>11.XII.22; 18.XII.22; 1.I-5.III (7);  [kursuje/podstawa: 12/13]</t>
  </si>
  <si>
    <t>961.25</t>
  </si>
  <si>
    <t>ZRJP_2023-35409_1-1</t>
  </si>
  <si>
    <t>2022-10-20 14:07:20</t>
  </si>
  <si>
    <t>323</t>
  </si>
  <si>
    <t>2022-09-19 15:38:10</t>
  </si>
  <si>
    <t>35040</t>
  </si>
  <si>
    <t>12.XII.22-16.XII.22;  [kursuje/podstawa: 5/364]</t>
  </si>
  <si>
    <t>875.28</t>
  </si>
  <si>
    <t>10:11 [O]</t>
  </si>
  <si>
    <t>ZRJP_2023-35040_1-1</t>
  </si>
  <si>
    <t>2022-10-24 12:29:29</t>
  </si>
  <si>
    <t>324</t>
  </si>
  <si>
    <t>35039</t>
  </si>
  <si>
    <t>17.XII.22, 18.XII.22;  [kursuje/podstawa: 2/364]</t>
  </si>
  <si>
    <t>350.11</t>
  </si>
  <si>
    <t>ZRJP_2023-35039_1-1</t>
  </si>
  <si>
    <t>2022-10-24 12:29:31</t>
  </si>
  <si>
    <t>325</t>
  </si>
  <si>
    <t>35038</t>
  </si>
  <si>
    <t>ZRJP_2023-35038_1-1</t>
  </si>
  <si>
    <t>2022-10-31 16:17:56</t>
  </si>
  <si>
    <t>2022-10-24 12:29:34</t>
  </si>
  <si>
    <t>326</t>
  </si>
  <si>
    <t>35037</t>
  </si>
  <si>
    <t>5,076.62</t>
  </si>
  <si>
    <t>ZRJP_2023-35037_1-1</t>
  </si>
  <si>
    <t>2022-10-24 12:29:32</t>
  </si>
  <si>
    <t>327</t>
  </si>
  <si>
    <t>2022-09-19 15:38:09</t>
  </si>
  <si>
    <t>35036</t>
  </si>
  <si>
    <t>9,277.97</t>
  </si>
  <si>
    <t>ZRJP_2023-35036_1-1</t>
  </si>
  <si>
    <t>2022-10-24 12:29:33</t>
  </si>
  <si>
    <t>328</t>
  </si>
  <si>
    <t>43/PT/KD/23</t>
  </si>
  <si>
    <t>35035</t>
  </si>
  <si>
    <t>18127</t>
  </si>
  <si>
    <t>15235</t>
  </si>
  <si>
    <t>69105/4</t>
  </si>
  <si>
    <t>54.8</t>
  </si>
  <si>
    <t>12:03</t>
  </si>
  <si>
    <t>12:03 [O]</t>
  </si>
  <si>
    <t>ZRJP_2023-35035_1-1</t>
  </si>
  <si>
    <t>2022-10-31 16:34:52</t>
  </si>
  <si>
    <t>2022-10-07 11:13:27</t>
  </si>
  <si>
    <t>329</t>
  </si>
  <si>
    <t>35034</t>
  </si>
  <si>
    <t>ZRJP_2023-35034_1-1</t>
  </si>
  <si>
    <t>2022-10-31 16:34:53</t>
  </si>
  <si>
    <t>2022-10-07 11:13:32</t>
  </si>
  <si>
    <t>330</t>
  </si>
  <si>
    <t>35033</t>
  </si>
  <si>
    <t>1,225.39</t>
  </si>
  <si>
    <t>ZRJP_2023-35033_1-1</t>
  </si>
  <si>
    <t>2022-10-07 11:13:28</t>
  </si>
  <si>
    <t>331</t>
  </si>
  <si>
    <t>2022-09-19 15:38:08</t>
  </si>
  <si>
    <t>35032</t>
  </si>
  <si>
    <t>ZRJP_2023-35032_1-1</t>
  </si>
  <si>
    <t>2022-10-31 16:34:54</t>
  </si>
  <si>
    <t>2022-10-07 11:13:30</t>
  </si>
  <si>
    <t>332</t>
  </si>
  <si>
    <t>517/KD/R/23</t>
  </si>
  <si>
    <t>2022-09-19 15:29:46</t>
  </si>
  <si>
    <t>33445</t>
  </si>
  <si>
    <t>17682</t>
  </si>
  <si>
    <t>12729</t>
  </si>
  <si>
    <t>18:00 [O]</t>
  </si>
  <si>
    <t>ZRJP_2023-33445_1-1</t>
  </si>
  <si>
    <t>2022-10-31 17:21:32</t>
  </si>
  <si>
    <t>2022-10-20 12:40:29</t>
  </si>
  <si>
    <t>333</t>
  </si>
  <si>
    <t>33444</t>
  </si>
  <si>
    <t>17:36 [O]</t>
  </si>
  <si>
    <t>ZRJP_2023-33444_1-1</t>
  </si>
  <si>
    <t>2022-10-24 10:40:07</t>
  </si>
  <si>
    <t>334</t>
  </si>
  <si>
    <t>33443</t>
  </si>
  <si>
    <t>3,762.89</t>
  </si>
  <si>
    <t>17:57 [O]</t>
  </si>
  <si>
    <t>ZRJP_2023-33443_1-1</t>
  </si>
  <si>
    <t>2022-10-11 12:51:58</t>
  </si>
  <si>
    <t>335</t>
  </si>
  <si>
    <t>2022-09-19 15:29:45</t>
  </si>
  <si>
    <t>33440</t>
  </si>
  <si>
    <t>11.XII.22-22.XII.22 (1)(2)(3)(4)(7); 26.XII.22-4.I (1)(2)(3)(4)(7); 8.I-9.III (1)(2)(3)(4)(7);  [kursuje/podstawa: 63/364]</t>
  </si>
  <si>
    <t>23:10 [O]</t>
  </si>
  <si>
    <t>ZRJP_2023-33440_1-1</t>
  </si>
  <si>
    <t>2022-10-31 17:21:30</t>
  </si>
  <si>
    <t>2022-10-27 13:15:19</t>
  </si>
  <si>
    <t>336</t>
  </si>
  <si>
    <t>511/KD/R/23</t>
  </si>
  <si>
    <t>33439</t>
  </si>
  <si>
    <t>17678</t>
  </si>
  <si>
    <t>12715</t>
  </si>
  <si>
    <t>72.2</t>
  </si>
  <si>
    <t>15:28</t>
  </si>
  <si>
    <t>16:38</t>
  </si>
  <si>
    <t>16:35 [O]</t>
  </si>
  <si>
    <t>ZRJP_2023-33439_1-1</t>
  </si>
  <si>
    <t>2022-10-11 15:11:50</t>
  </si>
  <si>
    <t>337</t>
  </si>
  <si>
    <t>320/KD/R/23</t>
  </si>
  <si>
    <t>33438</t>
  </si>
  <si>
    <t>17677</t>
  </si>
  <si>
    <t>12697</t>
  </si>
  <si>
    <t>16:57</t>
  </si>
  <si>
    <t>18:15</t>
  </si>
  <si>
    <t>16:57 [O]</t>
  </si>
  <si>
    <t>ZRJP_2023-33438_1-1</t>
  </si>
  <si>
    <t>2022-10-31 17:21:29</t>
  </si>
  <si>
    <t>2022-10-06 09:02:59</t>
  </si>
  <si>
    <t>338</t>
  </si>
  <si>
    <t>316/KD/R/23</t>
  </si>
  <si>
    <t>33437</t>
  </si>
  <si>
    <t>17676</t>
  </si>
  <si>
    <t>12689</t>
  </si>
  <si>
    <t>72.8</t>
  </si>
  <si>
    <t>15:40</t>
  </si>
  <si>
    <t>15:43 [O]</t>
  </si>
  <si>
    <t>ZRJP_2023-33437_1-1</t>
  </si>
  <si>
    <t>2022-10-26 11:50:32</t>
  </si>
  <si>
    <t>339</t>
  </si>
  <si>
    <t>507/KD/R/23</t>
  </si>
  <si>
    <t>33436</t>
  </si>
  <si>
    <t>17675</t>
  </si>
  <si>
    <t>12688</t>
  </si>
  <si>
    <t>60.0</t>
  </si>
  <si>
    <t>52.7</t>
  </si>
  <si>
    <t>13:32</t>
  </si>
  <si>
    <t>ZRJP_2023-33436_1-1</t>
  </si>
  <si>
    <t>2022-10-31 17:21:28</t>
  </si>
  <si>
    <t>2022-10-25 13:38:35</t>
  </si>
  <si>
    <t>340</t>
  </si>
  <si>
    <t>2022-09-19 15:29:44</t>
  </si>
  <si>
    <t>33435</t>
  </si>
  <si>
    <t>11:29 [O]</t>
  </si>
  <si>
    <t>ZRJP_2023-33435_1-1</t>
  </si>
  <si>
    <t>2022-10-25 13:38:36</t>
  </si>
  <si>
    <t>341</t>
  </si>
  <si>
    <t>315/KD/R/23</t>
  </si>
  <si>
    <t>33434</t>
  </si>
  <si>
    <t>17674</t>
  </si>
  <si>
    <t>12686</t>
  </si>
  <si>
    <t>47.7</t>
  </si>
  <si>
    <t>15:02</t>
  </si>
  <si>
    <t>18:22</t>
  </si>
  <si>
    <t>15:05 [O]</t>
  </si>
  <si>
    <t>ZRJP_2023-33434_1-1</t>
  </si>
  <si>
    <t>2022-10-24 09:44:52</t>
  </si>
  <si>
    <t>342</t>
  </si>
  <si>
    <t>33433</t>
  </si>
  <si>
    <t>ZRJP_2023-33433_1-1</t>
  </si>
  <si>
    <t>2022-10-06 08:56:06</t>
  </si>
  <si>
    <t>343</t>
  </si>
  <si>
    <t>2022-09-19 15:29:43</t>
  </si>
  <si>
    <t>33429</t>
  </si>
  <si>
    <t>17671</t>
  </si>
  <si>
    <t>12668</t>
  </si>
  <si>
    <t>1,589.23</t>
  </si>
  <si>
    <t>ZRJP_2023-33429_1-1</t>
  </si>
  <si>
    <t>2022-10-31 17:21:27</t>
  </si>
  <si>
    <t>2022-10-24 10:47:34</t>
  </si>
  <si>
    <t>344</t>
  </si>
  <si>
    <t>33428</t>
  </si>
  <si>
    <t>8,422.92</t>
  </si>
  <si>
    <t>ZRJP_2023-33428_1-1</t>
  </si>
  <si>
    <t>2022-10-20 12:22:46</t>
  </si>
  <si>
    <t>345</t>
  </si>
  <si>
    <t>301/KD/R/23</t>
  </si>
  <si>
    <t>2022-09-19 15:29:42</t>
  </si>
  <si>
    <t>33422</t>
  </si>
  <si>
    <t>17668</t>
  </si>
  <si>
    <t>12649</t>
  </si>
  <si>
    <t>07:10</t>
  </si>
  <si>
    <t>10:19</t>
  </si>
  <si>
    <t>07:10 [O]</t>
  </si>
  <si>
    <t>ZRJP_2023-33422_1-1</t>
  </si>
  <si>
    <t>2022-10-31 17:21:17</t>
  </si>
  <si>
    <t>2022-10-24 09:45:34</t>
  </si>
  <si>
    <t>346</t>
  </si>
  <si>
    <t>33421</t>
  </si>
  <si>
    <t>ZRJP_2023-33421_1-1</t>
  </si>
  <si>
    <t>2022-10-21 10:39:55</t>
  </si>
  <si>
    <t>347</t>
  </si>
  <si>
    <t>496/KD/R/23</t>
  </si>
  <si>
    <t>2022-09-19 15:29:41</t>
  </si>
  <si>
    <t>33420</t>
  </si>
  <si>
    <t>17667</t>
  </si>
  <si>
    <t>12647</t>
  </si>
  <si>
    <t>66.8</t>
  </si>
  <si>
    <t>07:35 [O]</t>
  </si>
  <si>
    <t>ZRJP_2023-33420_1-1</t>
  </si>
  <si>
    <t>2022-10-31 17:21:16</t>
  </si>
  <si>
    <t>2022-10-07 10:18:05</t>
  </si>
  <si>
    <t>348</t>
  </si>
  <si>
    <t>2022-09-19 15:29:40</t>
  </si>
  <si>
    <t>33413</t>
  </si>
  <si>
    <t>ZRJP_2023-33413_1-1</t>
  </si>
  <si>
    <t>2022-10-31 17:21:14</t>
  </si>
  <si>
    <t>2022-10-25 10:19:08</t>
  </si>
  <si>
    <t>349</t>
  </si>
  <si>
    <t>219/KD/R/23</t>
  </si>
  <si>
    <t>2022-09-19 15:24:24</t>
  </si>
  <si>
    <t>32313</t>
  </si>
  <si>
    <t>17183</t>
  </si>
  <si>
    <t>8411</t>
  </si>
  <si>
    <t>69638/9</t>
  </si>
  <si>
    <t>70.2</t>
  </si>
  <si>
    <t>20:33</t>
  </si>
  <si>
    <t>17:49 [O]</t>
  </si>
  <si>
    <t>ZRJP_2023-32313_1-1</t>
  </si>
  <si>
    <t>2022-10-31 16:36:23</t>
  </si>
  <si>
    <t>2022-10-13 12:00:27</t>
  </si>
  <si>
    <t>350</t>
  </si>
  <si>
    <t>215/KD/R/23</t>
  </si>
  <si>
    <t>2022-09-19 15:18:52</t>
  </si>
  <si>
    <t>31557</t>
  </si>
  <si>
    <t>17029</t>
  </si>
  <si>
    <t>7761</t>
  </si>
  <si>
    <t>69630/1</t>
  </si>
  <si>
    <t>14,420.59</t>
  </si>
  <si>
    <t>16:26 [O]</t>
  </si>
  <si>
    <t>ZRJP_2023-31557_1-1</t>
  </si>
  <si>
    <t>2022-10-31 17:18:33</t>
  </si>
  <si>
    <t>2022-10-07 10:41:30</t>
  </si>
  <si>
    <t>351</t>
  </si>
  <si>
    <t>212/KD/R/23</t>
  </si>
  <si>
    <t>2022-09-19 15:18:51</t>
  </si>
  <si>
    <t>31549</t>
  </si>
  <si>
    <t>17015</t>
  </si>
  <si>
    <t>7728</t>
  </si>
  <si>
    <t>69624/5</t>
  </si>
  <si>
    <t>6289</t>
  </si>
  <si>
    <t>71.8</t>
  </si>
  <si>
    <t>18,341.69</t>
  </si>
  <si>
    <t>13:12</t>
  </si>
  <si>
    <t>RAWICZ - LICHKOV</t>
  </si>
  <si>
    <t>14:44 [O]</t>
  </si>
  <si>
    <t>ZRJP_2023-31549_1-1</t>
  </si>
  <si>
    <t>2022-10-31 17:19:26</t>
  </si>
  <si>
    <t>2022-10-03 13:24:44</t>
  </si>
  <si>
    <t>352</t>
  </si>
  <si>
    <t>208/KD/R/23</t>
  </si>
  <si>
    <t>2022-09-19 15:18:46</t>
  </si>
  <si>
    <t>31528</t>
  </si>
  <si>
    <t>16995</t>
  </si>
  <si>
    <t>7683</t>
  </si>
  <si>
    <t>69616/7</t>
  </si>
  <si>
    <t>6285</t>
  </si>
  <si>
    <t>09:18</t>
  </si>
  <si>
    <t>09:18 [O]</t>
  </si>
  <si>
    <t>ZRJP_2023-31528_1-1</t>
  </si>
  <si>
    <t>2022-10-31 17:17:14</t>
  </si>
  <si>
    <t>2022-10-03 13:23:31</t>
  </si>
  <si>
    <t>353</t>
  </si>
  <si>
    <t>202/KD/R/23</t>
  </si>
  <si>
    <t>2022-09-19 15:18:27</t>
  </si>
  <si>
    <t>31433</t>
  </si>
  <si>
    <t>16928</t>
  </si>
  <si>
    <t>7135</t>
  </si>
  <si>
    <t>73.3</t>
  </si>
  <si>
    <t>63.3</t>
  </si>
  <si>
    <t>04:12</t>
  </si>
  <si>
    <t>ZRJP_2023-31433_1-1</t>
  </si>
  <si>
    <t>2022-10-31 17:19:58</t>
  </si>
  <si>
    <t>2022-09-22 12:58:27</t>
  </si>
  <si>
    <t>354</t>
  </si>
  <si>
    <t>172/KD/R/23</t>
  </si>
  <si>
    <t>2022-09-19 15:15:44</t>
  </si>
  <si>
    <t>30817</t>
  </si>
  <si>
    <t>16606</t>
  </si>
  <si>
    <t>5014</t>
  </si>
  <si>
    <t>69822/3</t>
  </si>
  <si>
    <t>43.4</t>
  </si>
  <si>
    <t>11.XII.22-14.XII.22;  [kursuje/podstawa: 4/364]</t>
  </si>
  <si>
    <t>688.97</t>
  </si>
  <si>
    <t>17:58</t>
  </si>
  <si>
    <t>21:56</t>
  </si>
  <si>
    <t>21:46 [O]</t>
  </si>
  <si>
    <t>ZRJP_2023-30817_1-1</t>
  </si>
  <si>
    <t>2022-10-31 16:38:14</t>
  </si>
  <si>
    <t>2022-09-26 14:34:40</t>
  </si>
  <si>
    <t>355</t>
  </si>
  <si>
    <t>171/KD/R/23</t>
  </si>
  <si>
    <t>30816</t>
  </si>
  <si>
    <t>16605</t>
  </si>
  <si>
    <t>5010</t>
  </si>
  <si>
    <t>106.686</t>
  </si>
  <si>
    <t>426.74</t>
  </si>
  <si>
    <t>20:03</t>
  </si>
  <si>
    <t>19:52 [O]</t>
  </si>
  <si>
    <t>ZRJP_2023-30816_1-1</t>
  </si>
  <si>
    <t>2022-10-31 16:38:12</t>
  </si>
  <si>
    <t>2022-10-03 12:41:22</t>
  </si>
  <si>
    <t>356</t>
  </si>
  <si>
    <t>170/KD/R/23</t>
  </si>
  <si>
    <t>30814</t>
  </si>
  <si>
    <t>16603</t>
  </si>
  <si>
    <t>5007</t>
  </si>
  <si>
    <t>69818/9</t>
  </si>
  <si>
    <t>130.209</t>
  </si>
  <si>
    <t>53.8</t>
  </si>
  <si>
    <t>46.0</t>
  </si>
  <si>
    <t>520.84</t>
  </si>
  <si>
    <t>18:12</t>
  </si>
  <si>
    <t>ZRJP_2023-30814_1-1</t>
  </si>
  <si>
    <t>2022-10-31 16:38:10</t>
  </si>
  <si>
    <t>2022-10-24 14:27:52</t>
  </si>
  <si>
    <t>357</t>
  </si>
  <si>
    <t>2022-09-19 15:15:43</t>
  </si>
  <si>
    <t>30811</t>
  </si>
  <si>
    <t>172.24</t>
  </si>
  <si>
    <t>ZRJP_2023-30811_1-1</t>
  </si>
  <si>
    <t>2022-10-05 08:24:50</t>
  </si>
  <si>
    <t>358</t>
  </si>
  <si>
    <t>168/KD/R/23</t>
  </si>
  <si>
    <t>30810</t>
  </si>
  <si>
    <t>16600</t>
  </si>
  <si>
    <t>5000</t>
  </si>
  <si>
    <t>69810/1</t>
  </si>
  <si>
    <t>130.21</t>
  </si>
  <si>
    <t>11:09</t>
  </si>
  <si>
    <t>13:58</t>
  </si>
  <si>
    <t>13:47 [O]</t>
  </si>
  <si>
    <t>ZRJP_2023-30810_1-1</t>
  </si>
  <si>
    <t>2022-10-31 16:38:06</t>
  </si>
  <si>
    <t>2022-09-26 10:40:48</t>
  </si>
  <si>
    <t>359</t>
  </si>
  <si>
    <t>167/KD/R/23</t>
  </si>
  <si>
    <t>30809</t>
  </si>
  <si>
    <t>16599</t>
  </si>
  <si>
    <t>4999</t>
  </si>
  <si>
    <t>11:35</t>
  </si>
  <si>
    <t>ZRJP_2023-30809_1-1</t>
  </si>
  <si>
    <t>2022-10-31 16:38:02</t>
  </si>
  <si>
    <t>2022-09-26 10:40:49</t>
  </si>
  <si>
    <t>360</t>
  </si>
  <si>
    <t>166/KD/R/23</t>
  </si>
  <si>
    <t>30808</t>
  </si>
  <si>
    <t>16598</t>
  </si>
  <si>
    <t>4998</t>
  </si>
  <si>
    <t>09:29</t>
  </si>
  <si>
    <t>11:47 [O]</t>
  </si>
  <si>
    <t>ZRJP_2023-30808_1-1</t>
  </si>
  <si>
    <t>2022-10-25 13:45:59</t>
  </si>
  <si>
    <t>361</t>
  </si>
  <si>
    <t>165/KD/R/23</t>
  </si>
  <si>
    <t>30807</t>
  </si>
  <si>
    <t>16597</t>
  </si>
  <si>
    <t>4989</t>
  </si>
  <si>
    <t>106.69</t>
  </si>
  <si>
    <t>ZRJP_2023-30807_1-1</t>
  </si>
  <si>
    <t>2022-10-31 16:37:59</t>
  </si>
  <si>
    <t>2022-10-25 13:50:35</t>
  </si>
  <si>
    <t>362</t>
  </si>
  <si>
    <t>164/KD/R/23</t>
  </si>
  <si>
    <t>30806</t>
  </si>
  <si>
    <t>16596</t>
  </si>
  <si>
    <t>4987</t>
  </si>
  <si>
    <t>69806/7</t>
  </si>
  <si>
    <t>52.8</t>
  </si>
  <si>
    <t>42.0</t>
  </si>
  <si>
    <t>08:57 [O]</t>
  </si>
  <si>
    <t>ZRJP_2023-30806_1-1</t>
  </si>
  <si>
    <t>2022-10-31 16:37:58</t>
  </si>
  <si>
    <t>2022-10-14 13:38:17</t>
  </si>
  <si>
    <t>363</t>
  </si>
  <si>
    <t>163/KD/R/23</t>
  </si>
  <si>
    <t>2022-09-19 15:15:42</t>
  </si>
  <si>
    <t>30805</t>
  </si>
  <si>
    <t>16594</t>
  </si>
  <si>
    <t>4971</t>
  </si>
  <si>
    <t>40.5</t>
  </si>
  <si>
    <t>ZRJP_2023-30805_1-1</t>
  </si>
  <si>
    <t>2022-10-31 16:37:56</t>
  </si>
  <si>
    <t>2022-10-14 13:38:19</t>
  </si>
  <si>
    <t>155/KD/R/23</t>
  </si>
  <si>
    <t>2022-09-19 15:15:26</t>
  </si>
  <si>
    <t>30735</t>
  </si>
  <si>
    <t>16537</t>
  </si>
  <si>
    <t>4691</t>
  </si>
  <si>
    <t>69846/7</t>
  </si>
  <si>
    <t>48.8</t>
  </si>
  <si>
    <t>21:42</t>
  </si>
  <si>
    <t>ZRJP_2023-30735_1-1</t>
  </si>
  <si>
    <t>2022-10-31 16:38:51</t>
  </si>
  <si>
    <t>2022-09-29 12:09:38</t>
  </si>
  <si>
    <t>365</t>
  </si>
  <si>
    <t>154/KD/R/23</t>
  </si>
  <si>
    <t>2022-09-19 15:15:25</t>
  </si>
  <si>
    <t>30734</t>
  </si>
  <si>
    <t>16536</t>
  </si>
  <si>
    <t>4689</t>
  </si>
  <si>
    <t>17:18</t>
  </si>
  <si>
    <t>ZRJP_2023-30734_1-1</t>
  </si>
  <si>
    <t>2022-10-31 16:38:50</t>
  </si>
  <si>
    <t>2022-09-26 12:26:33</t>
  </si>
  <si>
    <t>366</t>
  </si>
  <si>
    <t>153/KD/R/23</t>
  </si>
  <si>
    <t>30732</t>
  </si>
  <si>
    <t>16534</t>
  </si>
  <si>
    <t>4686</t>
  </si>
  <si>
    <t>69838/9</t>
  </si>
  <si>
    <t>48.7</t>
  </si>
  <si>
    <t>861.22</t>
  </si>
  <si>
    <t>13:20</t>
  </si>
  <si>
    <t>13:19 [O]</t>
  </si>
  <si>
    <t>ZRJP_2023-30732_1-1</t>
  </si>
  <si>
    <t>2022-10-31 16:38:49</t>
  </si>
  <si>
    <t>2022-10-10 07:45:23</t>
  </si>
  <si>
    <t>367</t>
  </si>
  <si>
    <t>152/KD/R/23</t>
  </si>
  <si>
    <t>30731</t>
  </si>
  <si>
    <t>16533</t>
  </si>
  <si>
    <t>4683</t>
  </si>
  <si>
    <t>69836/7</t>
  </si>
  <si>
    <t>52.3</t>
  </si>
  <si>
    <t>651.05</t>
  </si>
  <si>
    <t>10:21</t>
  </si>
  <si>
    <t>13:02 [O]</t>
  </si>
  <si>
    <t>ZRJP_2023-30731_1-1</t>
  </si>
  <si>
    <t>2022-10-31 16:38:48</t>
  </si>
  <si>
    <t>2022-10-25 13:45:52</t>
  </si>
  <si>
    <t>368</t>
  </si>
  <si>
    <t>151/KD/R/23</t>
  </si>
  <si>
    <t>30730</t>
  </si>
  <si>
    <t>16532</t>
  </si>
  <si>
    <t>4682</t>
  </si>
  <si>
    <t>39.8</t>
  </si>
  <si>
    <t>ZRJP_2023-30730_1-1</t>
  </si>
  <si>
    <t>2022-10-31 16:38:43</t>
  </si>
  <si>
    <t>2022-10-27 13:47:36</t>
  </si>
  <si>
    <t>369</t>
  </si>
  <si>
    <t>150/KD/R/23</t>
  </si>
  <si>
    <t>30729</t>
  </si>
  <si>
    <t>16531</t>
  </si>
  <si>
    <t>4680</t>
  </si>
  <si>
    <t>69832/3</t>
  </si>
  <si>
    <t>SKALNIAK</t>
  </si>
  <si>
    <t>49.8</t>
  </si>
  <si>
    <t>44.4</t>
  </si>
  <si>
    <t>11:33</t>
  </si>
  <si>
    <t>ZRJP_2023-30729_1-1</t>
  </si>
  <si>
    <t>2022-10-24 13:07:14</t>
  </si>
  <si>
    <t>370</t>
  </si>
  <si>
    <t>149/KD/R/23</t>
  </si>
  <si>
    <t>2022-09-19 15:15:24</t>
  </si>
  <si>
    <t>30728</t>
  </si>
  <si>
    <t>16530</t>
  </si>
  <si>
    <t>4678</t>
  </si>
  <si>
    <t>06:19 [O]</t>
  </si>
  <si>
    <t>ZRJP_2023-30728_1-1</t>
  </si>
  <si>
    <t>2022-10-31 16:38:40</t>
  </si>
  <si>
    <t>2022-10-14 14:19:10</t>
  </si>
  <si>
    <t>371</t>
  </si>
  <si>
    <t>148/KD/R/23</t>
  </si>
  <si>
    <t>30727</t>
  </si>
  <si>
    <t>16529</t>
  </si>
  <si>
    <t>4677</t>
  </si>
  <si>
    <t>ZRJP_2023-30727_1-1</t>
  </si>
  <si>
    <t>2022-10-31 16:38:39</t>
  </si>
  <si>
    <t>2022-10-14 14:19:12</t>
  </si>
  <si>
    <t>372</t>
  </si>
  <si>
    <t>142/KD/R/23</t>
  </si>
  <si>
    <t>2022-09-19 15:12:46</t>
  </si>
  <si>
    <t>30207</t>
  </si>
  <si>
    <t>16261</t>
  </si>
  <si>
    <t>3962</t>
  </si>
  <si>
    <t>69219/8</t>
  </si>
  <si>
    <t>WIELKA SOWA</t>
  </si>
  <si>
    <t>66.5</t>
  </si>
  <si>
    <t>7,582.58</t>
  </si>
  <si>
    <t>19:43</t>
  </si>
  <si>
    <t>21:14</t>
  </si>
  <si>
    <t>21:10 [O]</t>
  </si>
  <si>
    <t>ZRJP_2023-30207_1-1</t>
  </si>
  <si>
    <t>2022-10-31 17:14:09</t>
  </si>
  <si>
    <t>2022-10-27 13:38:50</t>
  </si>
  <si>
    <t>373</t>
  </si>
  <si>
    <t>141/KD/R/23</t>
  </si>
  <si>
    <t>2022-09-19 15:12:45</t>
  </si>
  <si>
    <t>30206</t>
  </si>
  <si>
    <t>16260</t>
  </si>
  <si>
    <t>3960</t>
  </si>
  <si>
    <t>69217/6</t>
  </si>
  <si>
    <t>KALENICA</t>
  </si>
  <si>
    <t>2,333.10</t>
  </si>
  <si>
    <t>16:45</t>
  </si>
  <si>
    <t>16:42 [O]</t>
  </si>
  <si>
    <t>ZRJP_2023-30206_1-1</t>
  </si>
  <si>
    <t>2022-10-31 17:14:08</t>
  </si>
  <si>
    <t>2022-10-10 07:49:01</t>
  </si>
  <si>
    <t>374</t>
  </si>
  <si>
    <t>140/KD/R/23</t>
  </si>
  <si>
    <t>30205</t>
  </si>
  <si>
    <t>16259</t>
  </si>
  <si>
    <t>3957</t>
  </si>
  <si>
    <t>69213/2</t>
  </si>
  <si>
    <t>WILHELM ROTKIEWICZ</t>
  </si>
  <si>
    <t>57.5</t>
  </si>
  <si>
    <t>06:42</t>
  </si>
  <si>
    <t>08:09</t>
  </si>
  <si>
    <t>08:04 [O]</t>
  </si>
  <si>
    <t>ZRJP_2023-30205_1-1</t>
  </si>
  <si>
    <t>2022-10-14 14:03:57</t>
  </si>
  <si>
    <t>375</t>
  </si>
  <si>
    <t>139/KD/R/23</t>
  </si>
  <si>
    <t>2022-09-19 15:12:44</t>
  </si>
  <si>
    <t>30203</t>
  </si>
  <si>
    <t>16257</t>
  </si>
  <si>
    <t>3951</t>
  </si>
  <si>
    <t>69211/0</t>
  </si>
  <si>
    <t>50.0</t>
  </si>
  <si>
    <t>5,249.48</t>
  </si>
  <si>
    <t>06:35 [O]</t>
  </si>
  <si>
    <t>ZRJP_2023-30203_1-1</t>
  </si>
  <si>
    <t>2022-10-31 17:14:07</t>
  </si>
  <si>
    <t>2022-10-25 08:18:30</t>
  </si>
  <si>
    <t>376</t>
  </si>
  <si>
    <t>137/KD/R/23</t>
  </si>
  <si>
    <t>2022-09-19 15:12:40</t>
  </si>
  <si>
    <t>30190</t>
  </si>
  <si>
    <t>16253</t>
  </si>
  <si>
    <t>3943</t>
  </si>
  <si>
    <t>81.139</t>
  </si>
  <si>
    <t>243.42</t>
  </si>
  <si>
    <t>17:06 [O]</t>
  </si>
  <si>
    <t>ZRJP_2023-30190_1-1</t>
  </si>
  <si>
    <t>2022-10-31 17:14:01</t>
  </si>
  <si>
    <t>2022-10-24 14:28:15</t>
  </si>
  <si>
    <t>377</t>
  </si>
  <si>
    <t>134/KD/R/23</t>
  </si>
  <si>
    <t>30189</t>
  </si>
  <si>
    <t>16250</t>
  </si>
  <si>
    <t>3937</t>
  </si>
  <si>
    <t>43.9</t>
  </si>
  <si>
    <t>405.70</t>
  </si>
  <si>
    <t>07:14 [O]</t>
  </si>
  <si>
    <t>ZRJP_2023-30189_1-1</t>
  </si>
  <si>
    <t>2022-10-31 17:14:00</t>
  </si>
  <si>
    <t>2022-10-25 10:07:14</t>
  </si>
  <si>
    <t>378</t>
  </si>
  <si>
    <t>2022-09-19 15:12:37</t>
  </si>
  <si>
    <t>30180</t>
  </si>
  <si>
    <t>6,499.35</t>
  </si>
  <si>
    <t>18:02 [O]</t>
  </si>
  <si>
    <t>ZRJP_2023-30180_1-1</t>
  </si>
  <si>
    <t>2022-10-20 12:23:24</t>
  </si>
  <si>
    <t>379</t>
  </si>
  <si>
    <t>128/KD/R/23</t>
  </si>
  <si>
    <t>30179</t>
  </si>
  <si>
    <t>16240</t>
  </si>
  <si>
    <t>3915</t>
  </si>
  <si>
    <t>69205/4</t>
  </si>
  <si>
    <t>64.9</t>
  </si>
  <si>
    <t>15:58</t>
  </si>
  <si>
    <t>17:31</t>
  </si>
  <si>
    <t>15:58 [O]</t>
  </si>
  <si>
    <t>ZRJP_2023-30179_1-1</t>
  </si>
  <si>
    <t>2022-10-31 17:13:54</t>
  </si>
  <si>
    <t>2022-10-20 09:56:33</t>
  </si>
  <si>
    <t>380</t>
  </si>
  <si>
    <t>126/KD/R/23</t>
  </si>
  <si>
    <t>30178</t>
  </si>
  <si>
    <t>16179</t>
  </si>
  <si>
    <t>3851</t>
  </si>
  <si>
    <t>69201/0</t>
  </si>
  <si>
    <t>07:50 [O]</t>
  </si>
  <si>
    <t>ZRJP_2023-30178_1-1</t>
  </si>
  <si>
    <t>2022-10-31 17:13:53</t>
  </si>
  <si>
    <t>2022-09-26 14:27:16</t>
  </si>
  <si>
    <t>381</t>
  </si>
  <si>
    <t>125/KD/R/23</t>
  </si>
  <si>
    <t>2022-09-19 15:12:36</t>
  </si>
  <si>
    <t>30175</t>
  </si>
  <si>
    <t>16174</t>
  </si>
  <si>
    <t>3841</t>
  </si>
  <si>
    <t>51.7</t>
  </si>
  <si>
    <t>47.3</t>
  </si>
  <si>
    <t>324.56</t>
  </si>
  <si>
    <t>21:18</t>
  </si>
  <si>
    <t>23:01</t>
  </si>
  <si>
    <t>21:18 [O]</t>
  </si>
  <si>
    <t>ZRJP_2023-30175_1-1</t>
  </si>
  <si>
    <t>2022-10-21 10:44:18</t>
  </si>
  <si>
    <t>382</t>
  </si>
  <si>
    <t>123/KD/R/23</t>
  </si>
  <si>
    <t>30174</t>
  </si>
  <si>
    <t>16172</t>
  </si>
  <si>
    <t>3839</t>
  </si>
  <si>
    <t>18:19</t>
  </si>
  <si>
    <t>16:16 [O]</t>
  </si>
  <si>
    <t>ZRJP_2023-30174_1-1</t>
  </si>
  <si>
    <t>2022-10-31 17:13:52</t>
  </si>
  <si>
    <t>2022-10-24 14:28:03</t>
  </si>
  <si>
    <t>383</t>
  </si>
  <si>
    <t>119/KD/R/23</t>
  </si>
  <si>
    <t>2022-09-19 15:12:35</t>
  </si>
  <si>
    <t>30171</t>
  </si>
  <si>
    <t>16167</t>
  </si>
  <si>
    <t>3833</t>
  </si>
  <si>
    <t>52.6</t>
  </si>
  <si>
    <t>41.6</t>
  </si>
  <si>
    <t>04:16</t>
  </si>
  <si>
    <t>04:16 [O]</t>
  </si>
  <si>
    <t>ZRJP_2023-30171_1-1</t>
  </si>
  <si>
    <t>2022-10-25 10:06:59</t>
  </si>
  <si>
    <t>384</t>
  </si>
  <si>
    <t>519/KD/R/23</t>
  </si>
  <si>
    <t>2022-09-19 15:11:26</t>
  </si>
  <si>
    <t>29974</t>
  </si>
  <si>
    <t>12732</t>
  </si>
  <si>
    <t>KD SPRINTER SZRENICA</t>
  </si>
  <si>
    <t>65.8</t>
  </si>
  <si>
    <t>11.XII.22-26.II w (C);  [kursuje/podstawa: 25/112]</t>
  </si>
  <si>
    <t>17:35</t>
  </si>
  <si>
    <t>20:32</t>
  </si>
  <si>
    <t>19:24 [O]</t>
  </si>
  <si>
    <t>ZRJP_2023-29974_1-1</t>
  </si>
  <si>
    <t>2022-10-31 17:14:24</t>
  </si>
  <si>
    <t>2022-10-20 09:37:03</t>
  </si>
  <si>
    <t xml:space="preserve">Jelenia Góra - Janowice Wielkie przeciąganie lokomotywą spalinową. </t>
  </si>
  <si>
    <t>385</t>
  </si>
  <si>
    <t>2022-09-19 15:11:25</t>
  </si>
  <si>
    <t>29973</t>
  </si>
  <si>
    <t>4.III, 5.III; 11.III;  [kursuje/podstawa: 3/112]</t>
  </si>
  <si>
    <t>18:46 [O]</t>
  </si>
  <si>
    <t>ZRJP_2023-29973_1-1</t>
  </si>
  <si>
    <t>2022-10-24 09:29:41</t>
  </si>
  <si>
    <t>386</t>
  </si>
  <si>
    <t>509/KD/R/23</t>
  </si>
  <si>
    <t>29972</t>
  </si>
  <si>
    <t>12712</t>
  </si>
  <si>
    <t>KD SPRINTER SZKLARKA</t>
  </si>
  <si>
    <t>64.2</t>
  </si>
  <si>
    <t>12:45</t>
  </si>
  <si>
    <t>15:48</t>
  </si>
  <si>
    <t>14:22 [O]</t>
  </si>
  <si>
    <t>ZRJP_2023-29972_1-1</t>
  </si>
  <si>
    <t>2022-10-31 17:14:23</t>
  </si>
  <si>
    <t>2022-10-25 13:33:36</t>
  </si>
  <si>
    <t>Jelenia Góra - Janowice Wielkie przeciąganie lokomotywą spalinową.</t>
  </si>
  <si>
    <t>387</t>
  </si>
  <si>
    <t>29971</t>
  </si>
  <si>
    <t>ZRJP_2023-29971_1-1</t>
  </si>
  <si>
    <t>388</t>
  </si>
  <si>
    <t>302/KD/R/23</t>
  </si>
  <si>
    <t>29970</t>
  </si>
  <si>
    <t>12650</t>
  </si>
  <si>
    <t>11:16</t>
  </si>
  <si>
    <t>ZRJP_2023-29970_1-1</t>
  </si>
  <si>
    <t>2022-10-24 09:11:40</t>
  </si>
  <si>
    <t>Na odcinku Janowice Wlk.- Jelenia Góra przeciąganie składu lok. spalinową</t>
  </si>
  <si>
    <t>389</t>
  </si>
  <si>
    <t>2022-09-19 15:11:24</t>
  </si>
  <si>
    <t>29969</t>
  </si>
  <si>
    <t>07:58 [O]</t>
  </si>
  <si>
    <t>ZRJP_2023-29969_1-1</t>
  </si>
  <si>
    <t>2022-10-21 10:46:17</t>
  </si>
  <si>
    <t>390</t>
  </si>
  <si>
    <t>298/KD/R/23</t>
  </si>
  <si>
    <t>29968</t>
  </si>
  <si>
    <t>12631</t>
  </si>
  <si>
    <t>64.4</t>
  </si>
  <si>
    <t>55.1</t>
  </si>
  <si>
    <t>06:27</t>
  </si>
  <si>
    <t>09:20</t>
  </si>
  <si>
    <t>06:10 [O]</t>
  </si>
  <si>
    <t>ZRJP_2023-29968_1-1</t>
  </si>
  <si>
    <t>2022-10-31 17:14:22</t>
  </si>
  <si>
    <t>2022-10-24 08:58:27</t>
  </si>
  <si>
    <t>391</t>
  </si>
  <si>
    <t>29967</t>
  </si>
  <si>
    <t>ZRJP_2023-29967_1-1</t>
  </si>
  <si>
    <t>2022-10-18 13:13:13</t>
  </si>
  <si>
    <t>392</t>
  </si>
  <si>
    <t>2022-09-19 15:08:47</t>
  </si>
  <si>
    <t>29570</t>
  </si>
  <si>
    <t>ZRJP_2023-29570_1-1</t>
  </si>
  <si>
    <t>2022-10-11 11:11:00</t>
  </si>
  <si>
    <t>393</t>
  </si>
  <si>
    <t>29569</t>
  </si>
  <si>
    <t>17.I-26.II ;  [kursuje/podstawa: 41/364]</t>
  </si>
  <si>
    <t>4,092.37</t>
  </si>
  <si>
    <t>ZRJP_2023-29569_1-1</t>
  </si>
  <si>
    <t>2022-10-31 16:17:13</t>
  </si>
  <si>
    <t>2022-10-11 11:11:10</t>
  </si>
  <si>
    <t>394</t>
  </si>
  <si>
    <t>29568</t>
  </si>
  <si>
    <t>698.70</t>
  </si>
  <si>
    <t>ZRJP_2023-29568_1-1</t>
  </si>
  <si>
    <t>2022-10-11 11:11:03</t>
  </si>
  <si>
    <t>395</t>
  </si>
  <si>
    <t>29567</t>
  </si>
  <si>
    <t>2,894.61</t>
  </si>
  <si>
    <t>ZRJP_2023-29567_1-1</t>
  </si>
  <si>
    <t>2022-10-11 11:11:05</t>
  </si>
  <si>
    <t>396</t>
  </si>
  <si>
    <t>29566</t>
  </si>
  <si>
    <t>ZRJP_2023-29566_1-1</t>
  </si>
  <si>
    <t>2022-10-24 08:26:51</t>
  </si>
  <si>
    <t>397</t>
  </si>
  <si>
    <t>2022-09-19 15:08:46</t>
  </si>
  <si>
    <t>29565</t>
  </si>
  <si>
    <t>28.II-10.III ;  [kursuje/podstawa: 11/364]</t>
  </si>
  <si>
    <t>1,097.95</t>
  </si>
  <si>
    <t>ZRJP_2023-29565_1-1</t>
  </si>
  <si>
    <t>2022-10-24 08:26:50</t>
  </si>
  <si>
    <t>398</t>
  </si>
  <si>
    <t>516/KD/R/23</t>
  </si>
  <si>
    <t>2022-09-19 15:08:16</t>
  </si>
  <si>
    <t>29496</t>
  </si>
  <si>
    <t>12727</t>
  </si>
  <si>
    <t>65.7</t>
  </si>
  <si>
    <t>6,731.00</t>
  </si>
  <si>
    <t>16:34</t>
  </si>
  <si>
    <t>17:01 [O]</t>
  </si>
  <si>
    <t>ZRJP_2023-29496_1-1</t>
  </si>
  <si>
    <t>2022-10-31 17:16:05</t>
  </si>
  <si>
    <t>2022-10-20 09:28:23</t>
  </si>
  <si>
    <t>399</t>
  </si>
  <si>
    <t>2022-09-19 15:08:15</t>
  </si>
  <si>
    <t>29495</t>
  </si>
  <si>
    <t>16:38 [O]</t>
  </si>
  <si>
    <t>ZRJP_2023-29495_1-1</t>
  </si>
  <si>
    <t>2022-10-31 17:16:08</t>
  </si>
  <si>
    <t>2022-10-24 12:09:37</t>
  </si>
  <si>
    <t>400</t>
  </si>
  <si>
    <t>329/KD/R/23</t>
  </si>
  <si>
    <t>29492</t>
  </si>
  <si>
    <t>12716</t>
  </si>
  <si>
    <t>68.3</t>
  </si>
  <si>
    <t>56.4</t>
  </si>
  <si>
    <t>1,651.00</t>
  </si>
  <si>
    <t>21:28</t>
  </si>
  <si>
    <t>23:43</t>
  </si>
  <si>
    <t>21:21 [O]</t>
  </si>
  <si>
    <t>ZRJP_2023-29492_1-1</t>
  </si>
  <si>
    <t>2022-10-24 10:18:54</t>
  </si>
  <si>
    <t>401</t>
  </si>
  <si>
    <t>2022-09-19 15:08:14</t>
  </si>
  <si>
    <t>29491</t>
  </si>
  <si>
    <t>9,906.00</t>
  </si>
  <si>
    <t>ZRJP_2023-29491_1-1</t>
  </si>
  <si>
    <t>2022-10-20 11:33:37</t>
  </si>
  <si>
    <t>402</t>
  </si>
  <si>
    <t>326/KD/R/23</t>
  </si>
  <si>
    <t>2022-09-19 15:08:13</t>
  </si>
  <si>
    <t>29488</t>
  </si>
  <si>
    <t>12708</t>
  </si>
  <si>
    <t>61.3</t>
  </si>
  <si>
    <t>53.5</t>
  </si>
  <si>
    <t>2,610.18</t>
  </si>
  <si>
    <t>19:42</t>
  </si>
  <si>
    <t>23:27</t>
  </si>
  <si>
    <t>19:45 [O]</t>
  </si>
  <si>
    <t>ZRJP_2023-29488_1-1</t>
  </si>
  <si>
    <t>2022-10-31 17:16:04</t>
  </si>
  <si>
    <t>2022-10-27 13:38:36</t>
  </si>
  <si>
    <t>403</t>
  </si>
  <si>
    <t>2022-09-19 15:08:12</t>
  </si>
  <si>
    <t>29487</t>
  </si>
  <si>
    <t>15,661.07</t>
  </si>
  <si>
    <t>ZRJP_2023-29487_1-1</t>
  </si>
  <si>
    <t>2022-10-27 13:38:25</t>
  </si>
  <si>
    <t>404</t>
  </si>
  <si>
    <t>29484</t>
  </si>
  <si>
    <t>12704</t>
  </si>
  <si>
    <t>12.XII.22-4.I (1)(2)(3)(4) oprócz świąt; 9.I-9.III (1)(2)(3)(4);  [kursuje/podstawa: 50/252]</t>
  </si>
  <si>
    <t>4,005.20</t>
  </si>
  <si>
    <t>ZRJP_2023-29484_1-1</t>
  </si>
  <si>
    <t>2022-10-31 17:16:03</t>
  </si>
  <si>
    <t>2022-10-20 14:07:07</t>
  </si>
  <si>
    <t>405</t>
  </si>
  <si>
    <t>319/KD/R/23</t>
  </si>
  <si>
    <t>2022-09-19 15:08:11</t>
  </si>
  <si>
    <t>29481</t>
  </si>
  <si>
    <t>12696</t>
  </si>
  <si>
    <t>16:19</t>
  </si>
  <si>
    <t>16:25 [O]</t>
  </si>
  <si>
    <t>ZRJP_2023-29481_1-1</t>
  </si>
  <si>
    <t>2022-10-31 17:16:00</t>
  </si>
  <si>
    <t>2022-10-24 09:11:00</t>
  </si>
  <si>
    <t>406</t>
  </si>
  <si>
    <t>2022-09-19 15:08:10</t>
  </si>
  <si>
    <t>29480</t>
  </si>
  <si>
    <t>ZRJP_2023-29480_1-1</t>
  </si>
  <si>
    <t>2022-10-31 17:16:02</t>
  </si>
  <si>
    <t>2022-10-13 08:30:15</t>
  </si>
  <si>
    <t>407</t>
  </si>
  <si>
    <t>317/KD/R/23</t>
  </si>
  <si>
    <t>29477</t>
  </si>
  <si>
    <t>12691</t>
  </si>
  <si>
    <t>16:24 [O]</t>
  </si>
  <si>
    <t>ZRJP_2023-29477_1-1</t>
  </si>
  <si>
    <t>2022-10-31 17:15:59</t>
  </si>
  <si>
    <t>2022-10-24 09:12:38</t>
  </si>
  <si>
    <t>408</t>
  </si>
  <si>
    <t>29476</t>
  </si>
  <si>
    <t>ZRJP_2023-29476_1-1</t>
  </si>
  <si>
    <t>2022-10-13 08:30:16</t>
  </si>
  <si>
    <t>409</t>
  </si>
  <si>
    <t>312/KD/R/23</t>
  </si>
  <si>
    <t>2022-09-19 15:08:08</t>
  </si>
  <si>
    <t>29471</t>
  </si>
  <si>
    <t>12677</t>
  </si>
  <si>
    <t>16:21</t>
  </si>
  <si>
    <t>ZRJP_2023-29471_1-1</t>
  </si>
  <si>
    <t>2022-10-31 17:15:58</t>
  </si>
  <si>
    <t>2022-10-26 12:58:51</t>
  </si>
  <si>
    <t>410</t>
  </si>
  <si>
    <t>29470</t>
  </si>
  <si>
    <t>ZRJP_2023-29470_1-1</t>
  </si>
  <si>
    <t>2022-10-26 12:58:50</t>
  </si>
  <si>
    <t>411</t>
  </si>
  <si>
    <t>503/KD/R/23</t>
  </si>
  <si>
    <t>29469</t>
  </si>
  <si>
    <t>12672</t>
  </si>
  <si>
    <t>73.6</t>
  </si>
  <si>
    <t>68.0</t>
  </si>
  <si>
    <t>10:28</t>
  </si>
  <si>
    <t>ZRJP_2023-29469_1-1</t>
  </si>
  <si>
    <t>2022-10-06 09:31:56</t>
  </si>
  <si>
    <t>412</t>
  </si>
  <si>
    <t>2022-09-19 15:08:07</t>
  </si>
  <si>
    <t>29468</t>
  </si>
  <si>
    <t>ZRJP_2023-29468_1-1</t>
  </si>
  <si>
    <t>2022-10-24 08:59:47</t>
  </si>
  <si>
    <t>413</t>
  </si>
  <si>
    <t>2022-09-19 15:08:06</t>
  </si>
  <si>
    <t>29465</t>
  </si>
  <si>
    <t>12666</t>
  </si>
  <si>
    <t>5,019.58</t>
  </si>
  <si>
    <t>06:47 [O]</t>
  </si>
  <si>
    <t>ZRJP_2023-29465_1-1</t>
  </si>
  <si>
    <t>2022-10-31 17:15:56</t>
  </si>
  <si>
    <t>2022-10-14 14:03:45</t>
  </si>
  <si>
    <t>414</t>
  </si>
  <si>
    <t>29464</t>
  </si>
  <si>
    <t>602.35</t>
  </si>
  <si>
    <t>06:24 [O]</t>
  </si>
  <si>
    <t>ZRJP_2023-29464_1-1</t>
  </si>
  <si>
    <t>2022-10-24 08:19:42</t>
  </si>
  <si>
    <t>415</t>
  </si>
  <si>
    <t>2022-09-19 15:08:04</t>
  </si>
  <si>
    <t>29458</t>
  </si>
  <si>
    <t>05:24 [O]</t>
  </si>
  <si>
    <t>ZRJP_2023-29458_1-1</t>
  </si>
  <si>
    <t>2022-10-27 13:51:59</t>
  </si>
  <si>
    <t>416</t>
  </si>
  <si>
    <t>29457</t>
  </si>
  <si>
    <t>05:01 [O]</t>
  </si>
  <si>
    <t>ZRJP_2023-29457_1-1</t>
  </si>
  <si>
    <t>2022-10-27 13:52:01</t>
  </si>
  <si>
    <t>417</t>
  </si>
  <si>
    <t>296/KD/R/23</t>
  </si>
  <si>
    <t>29456</t>
  </si>
  <si>
    <t>12627</t>
  </si>
  <si>
    <t>ZRJP_2023-29456_1-1</t>
  </si>
  <si>
    <t>2022-10-31 17:15:55</t>
  </si>
  <si>
    <t>2022-10-24 08:51:29</t>
  </si>
  <si>
    <t>418</t>
  </si>
  <si>
    <t>2022-09-19 15:08:03</t>
  </si>
  <si>
    <t>29455</t>
  </si>
  <si>
    <t>ZRJP_2023-29455_1-1</t>
  </si>
  <si>
    <t>2022-09-29 07:50:03</t>
  </si>
  <si>
    <t>419</t>
  </si>
  <si>
    <t>2022-09-19 15:06:32</t>
  </si>
  <si>
    <t>29236</t>
  </si>
  <si>
    <t>12.XII.22-24.II w (D);  [kursuje/podstawa: 53/364]</t>
  </si>
  <si>
    <t>04:30 [O]</t>
  </si>
  <si>
    <t>ZRJP_2023-29236_1-1</t>
  </si>
  <si>
    <t>2022-10-19 14:52:22</t>
  </si>
  <si>
    <t>420</t>
  </si>
  <si>
    <t>2022-09-19 15:06:31</t>
  </si>
  <si>
    <t>29235</t>
  </si>
  <si>
    <t>28.II-10.III w (A);  [kursuje/podstawa: 9/364]</t>
  </si>
  <si>
    <t>1,143.00</t>
  </si>
  <si>
    <t>04:06 [O]</t>
  </si>
  <si>
    <t>ZRJP_2023-29235_1-1</t>
  </si>
  <si>
    <t>2022-10-24 07:57:29</t>
  </si>
  <si>
    <t>421</t>
  </si>
  <si>
    <t>2/KD/ES/I/23</t>
  </si>
  <si>
    <t>2022-09-19 14:54:47</t>
  </si>
  <si>
    <t>27425</t>
  </si>
  <si>
    <t>14254</t>
  </si>
  <si>
    <t>69729/8</t>
  </si>
  <si>
    <t>1,096.12</t>
  </si>
  <si>
    <t>15:53 [O]</t>
  </si>
  <si>
    <t>ZRJP_2023-27425_1-1</t>
  </si>
  <si>
    <t>2022-10-31 16:40:11</t>
  </si>
  <si>
    <t>Tabakiernik Patrycjusz dnia 2022-09-06</t>
  </si>
  <si>
    <t>Niewykorzystanie przydzielonej zdolności przepustowej</t>
  </si>
  <si>
    <t>2022-10-24 09:20:28</t>
  </si>
  <si>
    <t>422</t>
  </si>
  <si>
    <t>27424</t>
  </si>
  <si>
    <t>1,278.80</t>
  </si>
  <si>
    <t>ZRJP_2023-27424_1-1</t>
  </si>
  <si>
    <t>2022-10-31 16:40:12</t>
  </si>
  <si>
    <t>423</t>
  </si>
  <si>
    <t>458/KD/R/23</t>
  </si>
  <si>
    <t>2022-09-19 14:54:15</t>
  </si>
  <si>
    <t>27369</t>
  </si>
  <si>
    <t>10295</t>
  </si>
  <si>
    <t>76744/5</t>
  </si>
  <si>
    <t>123.808</t>
  </si>
  <si>
    <t>71.1</t>
  </si>
  <si>
    <t>56.7</t>
  </si>
  <si>
    <t>5,199.94</t>
  </si>
  <si>
    <t>23:30</t>
  </si>
  <si>
    <t>22:52 [O]</t>
  </si>
  <si>
    <t>ZRJP_2023-27369_1-1</t>
  </si>
  <si>
    <t>2022-10-31 16:40:45</t>
  </si>
  <si>
    <t>2022-10-24 09:22:11</t>
  </si>
  <si>
    <t>424</t>
  </si>
  <si>
    <t>2022-09-19 14:54:14</t>
  </si>
  <si>
    <t>27368</t>
  </si>
  <si>
    <t>6,066.59</t>
  </si>
  <si>
    <t>ZRJP_2023-27368_1-1</t>
  </si>
  <si>
    <t>2022-10-24 09:22:12</t>
  </si>
  <si>
    <t>425</t>
  </si>
  <si>
    <t>457/KD/R/23</t>
  </si>
  <si>
    <t>27367</t>
  </si>
  <si>
    <t>10271</t>
  </si>
  <si>
    <t>69743/2</t>
  </si>
  <si>
    <t>730.74</t>
  </si>
  <si>
    <t>22:19</t>
  </si>
  <si>
    <t>21:38 [O]</t>
  </si>
  <si>
    <t>ZRJP_2023-27367_1-1</t>
  </si>
  <si>
    <t>2022-10-31 16:40:41</t>
  </si>
  <si>
    <t>2022-10-24 09:21:58</t>
  </si>
  <si>
    <t>426</t>
  </si>
  <si>
    <t>27366</t>
  </si>
  <si>
    <t>913.43</t>
  </si>
  <si>
    <t>ZRJP_2023-27366_1-1</t>
  </si>
  <si>
    <t>2022-10-31 16:40:42</t>
  </si>
  <si>
    <t>2022-10-24 09:22:00</t>
  </si>
  <si>
    <t>427</t>
  </si>
  <si>
    <t>456/KD/R/23</t>
  </si>
  <si>
    <t>27365</t>
  </si>
  <si>
    <t>10265</t>
  </si>
  <si>
    <t>69739/8</t>
  </si>
  <si>
    <t>56.9</t>
  </si>
  <si>
    <t>20:56</t>
  </si>
  <si>
    <t>21:26</t>
  </si>
  <si>
    <t>ZRJP_2023-27365_1-1</t>
  </si>
  <si>
    <t>2022-10-31 16:40:40</t>
  </si>
  <si>
    <t>2022-10-24 09:21:45</t>
  </si>
  <si>
    <t>428</t>
  </si>
  <si>
    <t>2022-09-19 14:54:13</t>
  </si>
  <si>
    <t>27364</t>
  </si>
  <si>
    <t>ZRJP_2023-27364_1-1</t>
  </si>
  <si>
    <t>2022-10-24 09:21:46</t>
  </si>
  <si>
    <t>429</t>
  </si>
  <si>
    <t>455/KD/R/23</t>
  </si>
  <si>
    <t>27363</t>
  </si>
  <si>
    <t>10254</t>
  </si>
  <si>
    <t>69740/1</t>
  </si>
  <si>
    <t>101.736</t>
  </si>
  <si>
    <t>2,848.61</t>
  </si>
  <si>
    <t>Milicz</t>
  </si>
  <si>
    <t>19:30</t>
  </si>
  <si>
    <t>20:39 [O]</t>
  </si>
  <si>
    <t>ZRJP_2023-27363_1-1</t>
  </si>
  <si>
    <t>2022-10-31 16:40:38</t>
  </si>
  <si>
    <t>430</t>
  </si>
  <si>
    <t>27362</t>
  </si>
  <si>
    <t>3,560.76</t>
  </si>
  <si>
    <t>ZRJP_2023-27362_1-1</t>
  </si>
  <si>
    <t>431</t>
  </si>
  <si>
    <t>454/KD/R/23</t>
  </si>
  <si>
    <t>27361</t>
  </si>
  <si>
    <t>10247</t>
  </si>
  <si>
    <t>69737/6</t>
  </si>
  <si>
    <t>19:37</t>
  </si>
  <si>
    <t>20:08</t>
  </si>
  <si>
    <t>ZRJP_2023-27361_1-1</t>
  </si>
  <si>
    <t>2022-10-31 16:40:37</t>
  </si>
  <si>
    <t>2022-10-24 09:21:26</t>
  </si>
  <si>
    <t>432</t>
  </si>
  <si>
    <t>27360</t>
  </si>
  <si>
    <t>ZRJP_2023-27360_1-1</t>
  </si>
  <si>
    <t>2022-10-24 09:21:27</t>
  </si>
  <si>
    <t>433</t>
  </si>
  <si>
    <t>453/KD/R/23</t>
  </si>
  <si>
    <t>2022-09-19 14:54:12</t>
  </si>
  <si>
    <t>27359</t>
  </si>
  <si>
    <t>10239</t>
  </si>
  <si>
    <t>69734/5</t>
  </si>
  <si>
    <t>KARP</t>
  </si>
  <si>
    <t>98.591</t>
  </si>
  <si>
    <t>70.8</t>
  </si>
  <si>
    <t>4,140.82</t>
  </si>
  <si>
    <t>16:53</t>
  </si>
  <si>
    <t>17:51 [O]</t>
  </si>
  <si>
    <t>ZRJP_2023-27359_1-1</t>
  </si>
  <si>
    <t>2022-10-31 16:40:36</t>
  </si>
  <si>
    <t>2022-10-24 09:21:14</t>
  </si>
  <si>
    <t>434</t>
  </si>
  <si>
    <t>27358</t>
  </si>
  <si>
    <t>4,830.96</t>
  </si>
  <si>
    <t>ZRJP_2023-27358_1-1</t>
  </si>
  <si>
    <t>2022-10-24 09:21:15</t>
  </si>
  <si>
    <t>435</t>
  </si>
  <si>
    <t>452/KD/R/23</t>
  </si>
  <si>
    <t>27357</t>
  </si>
  <si>
    <t>10231</t>
  </si>
  <si>
    <t>69731/0</t>
  </si>
  <si>
    <t>11.XII.22-21.I w (C);  [kursuje/podstawa: 14/364]</t>
  </si>
  <si>
    <t>ZRJP_2023-27357_1-1</t>
  </si>
  <si>
    <t>2022-10-31 16:40:35</t>
  </si>
  <si>
    <t>2022-10-24 15:33:08</t>
  </si>
  <si>
    <t>436</t>
  </si>
  <si>
    <t>2022-09-19 14:54:11</t>
  </si>
  <si>
    <t>27356</t>
  </si>
  <si>
    <t>22.I-11.III (6)(7);  [kursuje/podstawa: 14/364]</t>
  </si>
  <si>
    <t>ZRJP_2023-27356_1-1</t>
  </si>
  <si>
    <t>2022-10-24 15:33:09</t>
  </si>
  <si>
    <t>437</t>
  </si>
  <si>
    <t>451/KD/R/23</t>
  </si>
  <si>
    <t>2022-09-19 14:54:09</t>
  </si>
  <si>
    <t>27351</t>
  </si>
  <si>
    <t>10145</t>
  </si>
  <si>
    <t>69732/3</t>
  </si>
  <si>
    <t>OKOŃ</t>
  </si>
  <si>
    <t>55.3</t>
  </si>
  <si>
    <t>2,760.55</t>
  </si>
  <si>
    <t>14:59</t>
  </si>
  <si>
    <t>16:46</t>
  </si>
  <si>
    <t>ZRJP_2023-27351_1-1</t>
  </si>
  <si>
    <t>2022-10-24 09:20:39</t>
  </si>
  <si>
    <t>438</t>
  </si>
  <si>
    <t>27350</t>
  </si>
  <si>
    <t>3,450.69</t>
  </si>
  <si>
    <t>ZRJP_2023-27350_1-1</t>
  </si>
  <si>
    <t>2022-10-24 09:20:40</t>
  </si>
  <si>
    <t>439</t>
  </si>
  <si>
    <t>450/KD/R/23</t>
  </si>
  <si>
    <t>27349</t>
  </si>
  <si>
    <t>10126</t>
  </si>
  <si>
    <t>69724/5</t>
  </si>
  <si>
    <t>KARAŚ</t>
  </si>
  <si>
    <t>70.0</t>
  </si>
  <si>
    <t>14:20</t>
  </si>
  <si>
    <t>ZRJP_2023-27349_1-1</t>
  </si>
  <si>
    <t>2022-10-31 16:40:34</t>
  </si>
  <si>
    <t>2022-10-24 09:19:32</t>
  </si>
  <si>
    <t>440</t>
  </si>
  <si>
    <t>27348</t>
  </si>
  <si>
    <t>ZRJP_2023-27348_1-1</t>
  </si>
  <si>
    <t>2022-10-24 09:19:35</t>
  </si>
  <si>
    <t>441</t>
  </si>
  <si>
    <t>449/KD/R/23</t>
  </si>
  <si>
    <t>2022-09-19 14:54:08</t>
  </si>
  <si>
    <t>27347</t>
  </si>
  <si>
    <t>10061</t>
  </si>
  <si>
    <t>69721/0</t>
  </si>
  <si>
    <t>11:13</t>
  </si>
  <si>
    <t>ZRJP_2023-27347_1-1</t>
  </si>
  <si>
    <t>2022-10-24 09:18:10</t>
  </si>
  <si>
    <t>442</t>
  </si>
  <si>
    <t>27346</t>
  </si>
  <si>
    <t>ZRJP_2023-27346_1-1</t>
  </si>
  <si>
    <t>2022-10-24 09:18:12</t>
  </si>
  <si>
    <t>443</t>
  </si>
  <si>
    <t>447/KD/R/23</t>
  </si>
  <si>
    <t>27345</t>
  </si>
  <si>
    <t>9979</t>
  </si>
  <si>
    <t>69715/4</t>
  </si>
  <si>
    <t>10:00</t>
  </si>
  <si>
    <t>09:57 [O]</t>
  </si>
  <si>
    <t>ZRJP_2023-27345_1-1</t>
  </si>
  <si>
    <t>2022-10-31 16:40:33</t>
  </si>
  <si>
    <t>2022-10-24 09:17:42</t>
  </si>
  <si>
    <t>444</t>
  </si>
  <si>
    <t>27344</t>
  </si>
  <si>
    <t>ZRJP_2023-27344_1-1</t>
  </si>
  <si>
    <t>2022-10-24 09:17:44</t>
  </si>
  <si>
    <t>445</t>
  </si>
  <si>
    <t>445/KD/R/23</t>
  </si>
  <si>
    <t>2022-09-19 14:54:04</t>
  </si>
  <si>
    <t>27333</t>
  </si>
  <si>
    <t>9885</t>
  </si>
  <si>
    <t>69709/8</t>
  </si>
  <si>
    <t>08:24</t>
  </si>
  <si>
    <t>ZRJP_2023-27333_1-1</t>
  </si>
  <si>
    <t>2022-10-31 16:40:32</t>
  </si>
  <si>
    <t>2022-10-24 09:17:02</t>
  </si>
  <si>
    <t>446</t>
  </si>
  <si>
    <t>27332</t>
  </si>
  <si>
    <t>ZRJP_2023-27332_1-1</t>
  </si>
  <si>
    <t>2022-10-24 09:17:03</t>
  </si>
  <si>
    <t>447</t>
  </si>
  <si>
    <t>253/KD/R/23</t>
  </si>
  <si>
    <t>2022-09-19 14:54:03</t>
  </si>
  <si>
    <t>27331</t>
  </si>
  <si>
    <t>9861</t>
  </si>
  <si>
    <t>69727/6</t>
  </si>
  <si>
    <t>48.9</t>
  </si>
  <si>
    <t>14:42</t>
  </si>
  <si>
    <t>14:52 [O]</t>
  </si>
  <si>
    <t>ZRJP_2023-27331_1-1</t>
  </si>
  <si>
    <t>2022-10-24 09:19:59</t>
  </si>
  <si>
    <t>448</t>
  </si>
  <si>
    <t>27330</t>
  </si>
  <si>
    <t>ZRJP_2023-27330_1-1</t>
  </si>
  <si>
    <t>2022-10-24 09:20:00</t>
  </si>
  <si>
    <t>449</t>
  </si>
  <si>
    <t>252/KD/R/23</t>
  </si>
  <si>
    <t>27329</t>
  </si>
  <si>
    <t>9859</t>
  </si>
  <si>
    <t>69723/2</t>
  </si>
  <si>
    <t>12:59 [O]</t>
  </si>
  <si>
    <t>ZRJP_2023-27329_1-1</t>
  </si>
  <si>
    <t>2022-10-31 16:40:31</t>
  </si>
  <si>
    <t>2022-10-24 09:18:25</t>
  </si>
  <si>
    <t>450</t>
  </si>
  <si>
    <t>27328</t>
  </si>
  <si>
    <t>ZRJP_2023-27328_1-1</t>
  </si>
  <si>
    <t>2022-10-24 09:18:28</t>
  </si>
  <si>
    <t>451</t>
  </si>
  <si>
    <t>442/KD/R/23</t>
  </si>
  <si>
    <t>2022-09-19 14:54:02</t>
  </si>
  <si>
    <t>27325</t>
  </si>
  <si>
    <t>9845</t>
  </si>
  <si>
    <t>76706/7</t>
  </si>
  <si>
    <t>67.2</t>
  </si>
  <si>
    <t>3,466.62</t>
  </si>
  <si>
    <t>04:51</t>
  </si>
  <si>
    <t>06:33 [O]</t>
  </si>
  <si>
    <t>ZRJP_2023-27325_1-1</t>
  </si>
  <si>
    <t>2022-10-31 16:40:30</t>
  </si>
  <si>
    <t>2022-10-25 15:04:31</t>
  </si>
  <si>
    <t>452</t>
  </si>
  <si>
    <t>27324</t>
  </si>
  <si>
    <t>4,333.28</t>
  </si>
  <si>
    <t>ZRJP_2023-27324_1-1</t>
  </si>
  <si>
    <t>453</t>
  </si>
  <si>
    <t>441/KD/R/23</t>
  </si>
  <si>
    <t>27323</t>
  </si>
  <si>
    <t>9802</t>
  </si>
  <si>
    <t>69705/4</t>
  </si>
  <si>
    <t>06:23</t>
  </si>
  <si>
    <t>06:23 [O]</t>
  </si>
  <si>
    <t>ZRJP_2023-27323_1-1</t>
  </si>
  <si>
    <t>2022-10-31 16:40:29</t>
  </si>
  <si>
    <t>2022-10-24 09:16:31</t>
  </si>
  <si>
    <t>454</t>
  </si>
  <si>
    <t>27322</t>
  </si>
  <si>
    <t>ZRJP_2023-27322_1-1</t>
  </si>
  <si>
    <t>2022-10-24 09:16:32</t>
  </si>
  <si>
    <t>455</t>
  </si>
  <si>
    <t>439/KD/R/23</t>
  </si>
  <si>
    <t>2022-09-19 14:54:01</t>
  </si>
  <si>
    <t>27321</t>
  </si>
  <si>
    <t>9785</t>
  </si>
  <si>
    <t>69701/0</t>
  </si>
  <si>
    <t>63.0</t>
  </si>
  <si>
    <t>05:24</t>
  </si>
  <si>
    <t>ZRJP_2023-27321_1-1</t>
  </si>
  <si>
    <t>2022-10-31 16:40:28</t>
  </si>
  <si>
    <t>2022-10-24 09:15:31</t>
  </si>
  <si>
    <t>456</t>
  </si>
  <si>
    <t>27320</t>
  </si>
  <si>
    <t>ZRJP_2023-27320_1-1</t>
  </si>
  <si>
    <t>457</t>
  </si>
  <si>
    <t>56/PT/KD/23</t>
  </si>
  <si>
    <t>2022-09-19 14:50:31</t>
  </si>
  <si>
    <t>26864</t>
  </si>
  <si>
    <t>15255</t>
  </si>
  <si>
    <t>69951/0</t>
  </si>
  <si>
    <t>2,108.48</t>
  </si>
  <si>
    <t>10:51</t>
  </si>
  <si>
    <t>ZRJP_2023-26864_1-1</t>
  </si>
  <si>
    <t>2022-10-31 17:08:37</t>
  </si>
  <si>
    <t>2022-09-30 13:37:29</t>
  </si>
  <si>
    <t>458</t>
  </si>
  <si>
    <t>54/PT/KD/23</t>
  </si>
  <si>
    <t>26862</t>
  </si>
  <si>
    <t>15250</t>
  </si>
  <si>
    <t>69949/8</t>
  </si>
  <si>
    <t>09:44</t>
  </si>
  <si>
    <t>ZRJP_2023-26862_1-1</t>
  </si>
  <si>
    <t>2022-10-31 17:11:30</t>
  </si>
  <si>
    <t>2022-10-07 09:27:20</t>
  </si>
  <si>
    <t>459</t>
  </si>
  <si>
    <t>53/PT/KD/23</t>
  </si>
  <si>
    <t>2022-09-19 14:50:30</t>
  </si>
  <si>
    <t>26861</t>
  </si>
  <si>
    <t>15248</t>
  </si>
  <si>
    <t>937.10</t>
  </si>
  <si>
    <t>10:13</t>
  </si>
  <si>
    <t>09:39 [O]</t>
  </si>
  <si>
    <t>ZRJP_2023-26861_1-1</t>
  </si>
  <si>
    <t>2022-10-26 09:13:22</t>
  </si>
  <si>
    <t>460</t>
  </si>
  <si>
    <t>26860</t>
  </si>
  <si>
    <t>ZRJP_2023-26860_1-1</t>
  </si>
  <si>
    <t>2022-10-06 12:15:07</t>
  </si>
  <si>
    <t>461</t>
  </si>
  <si>
    <t>2022-09-19 14:50:29</t>
  </si>
  <si>
    <t>26859</t>
  </si>
  <si>
    <t>19:15 [O]</t>
  </si>
  <si>
    <t>ZRJP_2023-26859_1-1</t>
  </si>
  <si>
    <t>2022-10-06 12:15:06</t>
  </si>
  <si>
    <t>462</t>
  </si>
  <si>
    <t>26858</t>
  </si>
  <si>
    <t>ZRJP_2023-26858_1-1</t>
  </si>
  <si>
    <t>2022-10-06 12:15:09</t>
  </si>
  <si>
    <t>463</t>
  </si>
  <si>
    <t>26857</t>
  </si>
  <si>
    <t>ZRJP_2023-26857_1-1</t>
  </si>
  <si>
    <t>2022-10-06 12:15:10</t>
  </si>
  <si>
    <t>464</t>
  </si>
  <si>
    <t>2022-09-19 14:50:24</t>
  </si>
  <si>
    <t>26838</t>
  </si>
  <si>
    <t>11:24 [O]</t>
  </si>
  <si>
    <t>ZRJP_2023-26838_1-1</t>
  </si>
  <si>
    <t>2022-10-07 09:04:53</t>
  </si>
  <si>
    <t>465</t>
  </si>
  <si>
    <t>26837</t>
  </si>
  <si>
    <t>4,087.47</t>
  </si>
  <si>
    <t>ZRJP_2023-26837_1-1</t>
  </si>
  <si>
    <t>2022-10-31 16:17:54</t>
  </si>
  <si>
    <t>2022-10-07 09:04:52</t>
  </si>
  <si>
    <t>466</t>
  </si>
  <si>
    <t>2022-09-19 14:50:23</t>
  </si>
  <si>
    <t>26836</t>
  </si>
  <si>
    <t>385.61</t>
  </si>
  <si>
    <t>11:17 [O]</t>
  </si>
  <si>
    <t>ZRJP_2023-26836_1-1</t>
  </si>
  <si>
    <t>2022-10-07 09:04:48</t>
  </si>
  <si>
    <t>467</t>
  </si>
  <si>
    <t>26835</t>
  </si>
  <si>
    <t>154.24</t>
  </si>
  <si>
    <t>ZRJP_2023-26835_1-1</t>
  </si>
  <si>
    <t>2022-10-07 09:04:49</t>
  </si>
  <si>
    <t>468</t>
  </si>
  <si>
    <t>26834</t>
  </si>
  <si>
    <t>2,236.54</t>
  </si>
  <si>
    <t>ZRJP_2023-26834_1-1</t>
  </si>
  <si>
    <t>2022-10-07 09:04:51</t>
  </si>
  <si>
    <t>469</t>
  </si>
  <si>
    <t>192A/KD/R/23</t>
  </si>
  <si>
    <t>2022-09-19 14:47:57</t>
  </si>
  <si>
    <t>26260</t>
  </si>
  <si>
    <t>14218</t>
  </si>
  <si>
    <t>69424/5</t>
  </si>
  <si>
    <t>09:07</t>
  </si>
  <si>
    <t>ZRJP_2023-26260_1-1</t>
  </si>
  <si>
    <t>2022-10-31 17:08:58</t>
  </si>
  <si>
    <t>2022-10-24 12:01:15</t>
  </si>
  <si>
    <t xml:space="preserve">Krzyżować z poc. 69405/69407 na stacji Jedlina-Zdrój, a także nawiązać przejście na 666023 na stacji Wałbrzych Miasto. </t>
  </si>
  <si>
    <t>470</t>
  </si>
  <si>
    <t>26259</t>
  </si>
  <si>
    <t>ZRJP_2023-26259_1-1</t>
  </si>
  <si>
    <t>2022-10-24 12:01:14</t>
  </si>
  <si>
    <t>471</t>
  </si>
  <si>
    <t>26258</t>
  </si>
  <si>
    <t>ZRJP_2023-26258_1-1</t>
  </si>
  <si>
    <t>2022-10-24 12:01:16</t>
  </si>
  <si>
    <t>472</t>
  </si>
  <si>
    <t>26257</t>
  </si>
  <si>
    <t>ZRJP_2023-26257_1-1</t>
  </si>
  <si>
    <t>2022-10-24 12:01:17</t>
  </si>
  <si>
    <t>473</t>
  </si>
  <si>
    <t>338/KD/R/23</t>
  </si>
  <si>
    <t>2022-09-19 14:47:16</t>
  </si>
  <si>
    <t>26056</t>
  </si>
  <si>
    <t>13332</t>
  </si>
  <si>
    <t>69928/9</t>
  </si>
  <si>
    <t>936.18</t>
  </si>
  <si>
    <t>20:41</t>
  </si>
  <si>
    <t>ZRJP_2023-26056_1-1</t>
  </si>
  <si>
    <t>2022-10-31 17:12:10</t>
  </si>
  <si>
    <t>2022-10-26 09:20:25</t>
  </si>
  <si>
    <t>474</t>
  </si>
  <si>
    <t>337/KD/R/22</t>
  </si>
  <si>
    <t>26055</t>
  </si>
  <si>
    <t>13331</t>
  </si>
  <si>
    <t>69965/4</t>
  </si>
  <si>
    <t>43.7</t>
  </si>
  <si>
    <t>19:31</t>
  </si>
  <si>
    <t>20:17</t>
  </si>
  <si>
    <t>19:18 [O]</t>
  </si>
  <si>
    <t>ZRJP_2023-26055_1-1</t>
  </si>
  <si>
    <t>2022-10-31 17:12:09</t>
  </si>
  <si>
    <t>2022-10-26 09:44:35</t>
  </si>
  <si>
    <t>475</t>
  </si>
  <si>
    <t>2022-09-19 14:46:12</t>
  </si>
  <si>
    <t>25792</t>
  </si>
  <si>
    <t>1,077.85</t>
  </si>
  <si>
    <t>ZRJP_2023-25792_1-1</t>
  </si>
  <si>
    <t>2022-10-31 17:12:02</t>
  </si>
  <si>
    <t>2022-10-20 09:43:12</t>
  </si>
  <si>
    <t>476</t>
  </si>
  <si>
    <t>2022-09-19 14:46:11</t>
  </si>
  <si>
    <t>25786</t>
  </si>
  <si>
    <t>22:10 [O]</t>
  </si>
  <si>
    <t>ZRJP_2023-25786_1-1</t>
  </si>
  <si>
    <t>2022-10-31 17:12:01</t>
  </si>
  <si>
    <t>2022-10-27 13:11:55</t>
  </si>
  <si>
    <t>477</t>
  </si>
  <si>
    <t>506/KD/R/23</t>
  </si>
  <si>
    <t>2022-09-19 14:46:06</t>
  </si>
  <si>
    <t>25759</t>
  </si>
  <si>
    <t>12682</t>
  </si>
  <si>
    <t>13:15 [O]</t>
  </si>
  <si>
    <t>ZRJP_2023-25759_1-1</t>
  </si>
  <si>
    <t>2022-10-31 17:11:58</t>
  </si>
  <si>
    <t>2022-10-06 11:05:12</t>
  </si>
  <si>
    <t>478</t>
  </si>
  <si>
    <t>504/KD/R/23</t>
  </si>
  <si>
    <t>2022-09-19 14:46:05</t>
  </si>
  <si>
    <t>25752</t>
  </si>
  <si>
    <t>12675</t>
  </si>
  <si>
    <t>11:07 [O]</t>
  </si>
  <si>
    <t>ZRJP_2023-25752_1-1</t>
  </si>
  <si>
    <t>2022-10-31 16:41:26</t>
  </si>
  <si>
    <t>2022-10-19 14:56:38</t>
  </si>
  <si>
    <t>479</t>
  </si>
  <si>
    <t>307/KD/R/23</t>
  </si>
  <si>
    <t>2022-09-19 14:46:04</t>
  </si>
  <si>
    <t>25748</t>
  </si>
  <si>
    <t>12664</t>
  </si>
  <si>
    <t>12:10</t>
  </si>
  <si>
    <t>12:10 [O]</t>
  </si>
  <si>
    <t>ZRJP_2023-25748_1-1</t>
  </si>
  <si>
    <t>2022-10-31 16:41:23</t>
  </si>
  <si>
    <t>2022-10-27 13:10:19</t>
  </si>
  <si>
    <t>480</t>
  </si>
  <si>
    <t>305/KD/R/23</t>
  </si>
  <si>
    <t>25745</t>
  </si>
  <si>
    <t>12656</t>
  </si>
  <si>
    <t>10:10</t>
  </si>
  <si>
    <t>10:34</t>
  </si>
  <si>
    <t>10:10 [O]</t>
  </si>
  <si>
    <t>ZRJP_2023-25745_1-1</t>
  </si>
  <si>
    <t>2022-10-31 16:41:21</t>
  </si>
  <si>
    <t>2022-09-26 07:10:59</t>
  </si>
  <si>
    <t>481</t>
  </si>
  <si>
    <t>300/KD/R/23</t>
  </si>
  <si>
    <t>25743</t>
  </si>
  <si>
    <t>12648</t>
  </si>
  <si>
    <t>06:29</t>
  </si>
  <si>
    <t>06:29 [O]</t>
  </si>
  <si>
    <t>ZRJP_2023-25743_1-1</t>
  </si>
  <si>
    <t>2022-10-31 16:41:20</t>
  </si>
  <si>
    <t>2022-09-23 10:02:37</t>
  </si>
  <si>
    <t>482</t>
  </si>
  <si>
    <t>495/KD/R/23</t>
  </si>
  <si>
    <t>2022-09-19 14:46:03</t>
  </si>
  <si>
    <t>25742</t>
  </si>
  <si>
    <t>12645</t>
  </si>
  <si>
    <t>ZRJP_2023-25742_1-1</t>
  </si>
  <si>
    <t>2022-09-29 11:11:47</t>
  </si>
  <si>
    <t>483</t>
  </si>
  <si>
    <t>2022-09-19 14:45:03</t>
  </si>
  <si>
    <t>25409</t>
  </si>
  <si>
    <t>86.29</t>
  </si>
  <si>
    <t>ZRJP_2023-25409_1-1</t>
  </si>
  <si>
    <t>2022-10-31 17:37:25</t>
  </si>
  <si>
    <t>2022-10-05 14:36:15</t>
  </si>
  <si>
    <t>484</t>
  </si>
  <si>
    <t>2022-09-19 14:43:44</t>
  </si>
  <si>
    <t>25020</t>
  </si>
  <si>
    <t>12.XII.22-2.III w (D);  [kursuje/podstawa: 57/252]</t>
  </si>
  <si>
    <t>3,347.04</t>
  </si>
  <si>
    <t>ZRJP_2023-25020_1-1</t>
  </si>
  <si>
    <t>2022-09-29 10:33:51</t>
  </si>
  <si>
    <t>485</t>
  </si>
  <si>
    <t>25019</t>
  </si>
  <si>
    <t>10.III;  [kursuje/podstawa: 1/252]</t>
  </si>
  <si>
    <t>ZRJP_2023-25019_1-1</t>
  </si>
  <si>
    <t>2022-09-29 10:33:59</t>
  </si>
  <si>
    <t>486</t>
  </si>
  <si>
    <t>25018</t>
  </si>
  <si>
    <t>7.III;  [kursuje/podstawa: 1/252]</t>
  </si>
  <si>
    <t>ZRJP_2023-25018_1-1</t>
  </si>
  <si>
    <t>2022-09-29 10:33:54</t>
  </si>
  <si>
    <t>487</t>
  </si>
  <si>
    <t>25017</t>
  </si>
  <si>
    <t>3.III; 6.III;  [kursuje/podstawa: 2/252]</t>
  </si>
  <si>
    <t>117.44</t>
  </si>
  <si>
    <t>ZRJP_2023-25017_1-1</t>
  </si>
  <si>
    <t>2022-09-29 10:33:52</t>
  </si>
  <si>
    <t>488</t>
  </si>
  <si>
    <t>2022-09-19 14:43:43</t>
  </si>
  <si>
    <t>25014</t>
  </si>
  <si>
    <t>11.XII.22-2.III ;  [kursuje/podstawa: 82/364]</t>
  </si>
  <si>
    <t>8,125.79</t>
  </si>
  <si>
    <t>ZRJP_2023-25014_1-1</t>
  </si>
  <si>
    <t>2022-10-05 09:55:10</t>
  </si>
  <si>
    <t>489</t>
  </si>
  <si>
    <t>25013</t>
  </si>
  <si>
    <t>10.III, 11.III;  [kursuje/podstawa: 2/364]</t>
  </si>
  <si>
    <t>198.19</t>
  </si>
  <si>
    <t>ZRJP_2023-25013_1-1</t>
  </si>
  <si>
    <t>2022-10-05 09:55:15</t>
  </si>
  <si>
    <t>490</t>
  </si>
  <si>
    <t>25012</t>
  </si>
  <si>
    <t>7.III;  [kursuje/podstawa: 1/364]</t>
  </si>
  <si>
    <t>ZRJP_2023-25012_1-1</t>
  </si>
  <si>
    <t>2022-10-31 17:37:22</t>
  </si>
  <si>
    <t>2022-10-05 09:55:12</t>
  </si>
  <si>
    <t>491</t>
  </si>
  <si>
    <t>25011</t>
  </si>
  <si>
    <t>3.III-6.III;  [kursuje/podstawa: 4/364]</t>
  </si>
  <si>
    <t>396.38</t>
  </si>
  <si>
    <t>ZRJP_2023-25011_1-1</t>
  </si>
  <si>
    <t>2022-10-05 09:55:11</t>
  </si>
  <si>
    <t>492</t>
  </si>
  <si>
    <t>2022-09-19 14:43:42</t>
  </si>
  <si>
    <t>25009</t>
  </si>
  <si>
    <t>ZRJP_2023-25009_1-1</t>
  </si>
  <si>
    <t>2022-10-31 17:37:20</t>
  </si>
  <si>
    <t>2022-10-06 14:39:50</t>
  </si>
  <si>
    <t>493</t>
  </si>
  <si>
    <t>25008</t>
  </si>
  <si>
    <t>ZRJP_2023-25008_1-1</t>
  </si>
  <si>
    <t>2022-10-06 14:39:53</t>
  </si>
  <si>
    <t>494</t>
  </si>
  <si>
    <t>25007</t>
  </si>
  <si>
    <t>ZRJP_2023-25007_1-1</t>
  </si>
  <si>
    <t>2022-10-06 14:39:51</t>
  </si>
  <si>
    <t>495</t>
  </si>
  <si>
    <t>25006</t>
  </si>
  <si>
    <t>3.III-7.III;  [kursuje/podstawa: 5/364]</t>
  </si>
  <si>
    <t>495.48</t>
  </si>
  <si>
    <t>ZRJP_2023-25006_1-1</t>
  </si>
  <si>
    <t>496</t>
  </si>
  <si>
    <t>25005</t>
  </si>
  <si>
    <t>12.XII.22-3.III w (D);  [kursuje/podstawa: 58/252]</t>
  </si>
  <si>
    <t>3,405.76</t>
  </si>
  <si>
    <t>ZRJP_2023-25005_1-1</t>
  </si>
  <si>
    <t>2022-10-06 14:33:37</t>
  </si>
  <si>
    <t>497</t>
  </si>
  <si>
    <t>25004</t>
  </si>
  <si>
    <t>ZRJP_2023-25004_1-1</t>
  </si>
  <si>
    <t>2022-10-06 14:33:40</t>
  </si>
  <si>
    <t>498</t>
  </si>
  <si>
    <t>2022-09-19 14:43:41</t>
  </si>
  <si>
    <t>25003</t>
  </si>
  <si>
    <t>ZRJP_2023-25003_1-1</t>
  </si>
  <si>
    <t>2022-10-06 14:33:38</t>
  </si>
  <si>
    <t>499</t>
  </si>
  <si>
    <t>25002</t>
  </si>
  <si>
    <t>6.III, 7.III;  [kursuje/podstawa: 2/252]</t>
  </si>
  <si>
    <t>ZRJP_2023-25002_1-1</t>
  </si>
  <si>
    <t>500</t>
  </si>
  <si>
    <t>24999</t>
  </si>
  <si>
    <t>11.XII.22-3.III ;  [kursuje/podstawa: 83/364]</t>
  </si>
  <si>
    <t>8,224.89</t>
  </si>
  <si>
    <t>05:18 [O]</t>
  </si>
  <si>
    <t>ZRJP_2023-24999_1-1</t>
  </si>
  <si>
    <t>2022-09-29 08:25:33</t>
  </si>
  <si>
    <t>501</t>
  </si>
  <si>
    <t>2022-09-19 14:43:40</t>
  </si>
  <si>
    <t>24998</t>
  </si>
  <si>
    <t>ZRJP_2023-24998_1-1</t>
  </si>
  <si>
    <t>2022-09-29 08:25:36</t>
  </si>
  <si>
    <t>502</t>
  </si>
  <si>
    <t>24997</t>
  </si>
  <si>
    <t>ZRJP_2023-24997_1-1</t>
  </si>
  <si>
    <t>2022-10-31 17:39:59</t>
  </si>
  <si>
    <t>2022-09-29 08:25:35</t>
  </si>
  <si>
    <t>503</t>
  </si>
  <si>
    <t>24996</t>
  </si>
  <si>
    <t>4.III-7.III;  [kursuje/podstawa: 4/364]</t>
  </si>
  <si>
    <t>ZRJP_2023-24996_1-1</t>
  </si>
  <si>
    <t>2022-09-29 08:25:34</t>
  </si>
  <si>
    <t>504</t>
  </si>
  <si>
    <t>24995</t>
  </si>
  <si>
    <t>ZRJP_2023-24995_1-1</t>
  </si>
  <si>
    <t>2022-10-10 13:24:23</t>
  </si>
  <si>
    <t>505</t>
  </si>
  <si>
    <t>24994</t>
  </si>
  <si>
    <t>ZRJP_2023-24994_1-1</t>
  </si>
  <si>
    <t>2022-10-10 13:24:27</t>
  </si>
  <si>
    <t>506</t>
  </si>
  <si>
    <t>2022-09-19 14:43:39</t>
  </si>
  <si>
    <t>24993</t>
  </si>
  <si>
    <t>ZRJP_2023-24993_1-1</t>
  </si>
  <si>
    <t>2022-10-10 13:24:22</t>
  </si>
  <si>
    <t>507</t>
  </si>
  <si>
    <t>24992</t>
  </si>
  <si>
    <t>ZRJP_2023-24992_1-1</t>
  </si>
  <si>
    <t>2022-10-10 13:14:12</t>
  </si>
  <si>
    <t>508</t>
  </si>
  <si>
    <t>24991</t>
  </si>
  <si>
    <t>ZRJP_2023-24991_1-1</t>
  </si>
  <si>
    <t>2022-10-05 09:10:24</t>
  </si>
  <si>
    <t>509</t>
  </si>
  <si>
    <t>24990</t>
  </si>
  <si>
    <t>ZRJP_2023-24990_1-1</t>
  </si>
  <si>
    <t>2022-10-05 09:10:26</t>
  </si>
  <si>
    <t>510</t>
  </si>
  <si>
    <t>24989</t>
  </si>
  <si>
    <t>ZRJP_2023-24989_1-1</t>
  </si>
  <si>
    <t>2022-10-05 09:10:23</t>
  </si>
  <si>
    <t>511</t>
  </si>
  <si>
    <t>2022-09-19 14:43:38</t>
  </si>
  <si>
    <t>24988</t>
  </si>
  <si>
    <t>ZRJP_2023-24988_1-1</t>
  </si>
  <si>
    <t>2022-10-05 09:10:21</t>
  </si>
  <si>
    <t>512</t>
  </si>
  <si>
    <t>24986</t>
  </si>
  <si>
    <t>ZRJP_2023-24986_1-1</t>
  </si>
  <si>
    <t>2022-10-25 13:34:52</t>
  </si>
  <si>
    <t>513</t>
  </si>
  <si>
    <t>24985</t>
  </si>
  <si>
    <t>ZRJP_2023-24985_1-1</t>
  </si>
  <si>
    <t>2022-10-25 13:34:54</t>
  </si>
  <si>
    <t>514</t>
  </si>
  <si>
    <t>24984</t>
  </si>
  <si>
    <t>ZRJP_2023-24984_1-1</t>
  </si>
  <si>
    <t>2022-10-25 13:34:51</t>
  </si>
  <si>
    <t>515</t>
  </si>
  <si>
    <t>24983</t>
  </si>
  <si>
    <t>11:34 [O]</t>
  </si>
  <si>
    <t>ZRJP_2023-24983_1-1</t>
  </si>
  <si>
    <t>2022-10-25 13:34:50</t>
  </si>
  <si>
    <t>516</t>
  </si>
  <si>
    <t>2022-09-19 14:43:37</t>
  </si>
  <si>
    <t>24981</t>
  </si>
  <si>
    <t>ZRJP_2023-24981_1-1</t>
  </si>
  <si>
    <t>2022-10-25 13:45:13</t>
  </si>
  <si>
    <t>517</t>
  </si>
  <si>
    <t>2022-09-19 14:43:36</t>
  </si>
  <si>
    <t>24980</t>
  </si>
  <si>
    <t>ZRJP_2023-24980_1-1</t>
  </si>
  <si>
    <t>2022-10-31 17:37:12</t>
  </si>
  <si>
    <t>2022-10-25 13:45:15</t>
  </si>
  <si>
    <t>518</t>
  </si>
  <si>
    <t>24979</t>
  </si>
  <si>
    <t>ZRJP_2023-24979_1-1</t>
  </si>
  <si>
    <t>2022-10-25 13:45:12</t>
  </si>
  <si>
    <t>519</t>
  </si>
  <si>
    <t>24978</t>
  </si>
  <si>
    <t>ZRJP_2023-24978_1-1</t>
  </si>
  <si>
    <t>2022-10-31 17:37:14</t>
  </si>
  <si>
    <t>2022-10-25 13:45:10</t>
  </si>
  <si>
    <t>520</t>
  </si>
  <si>
    <t>24977</t>
  </si>
  <si>
    <t>ZRJP_2023-24977_1-1</t>
  </si>
  <si>
    <t>2022-09-27 13:39:55</t>
  </si>
  <si>
    <t>521</t>
  </si>
  <si>
    <t>2022-09-19 14:43:35</t>
  </si>
  <si>
    <t>24976</t>
  </si>
  <si>
    <t>ZRJP_2023-24976_1-1</t>
  </si>
  <si>
    <t>2022-09-27 13:39:57</t>
  </si>
  <si>
    <t>522</t>
  </si>
  <si>
    <t>24975</t>
  </si>
  <si>
    <t>ZRJP_2023-24975_1-1</t>
  </si>
  <si>
    <t>2022-09-27 13:39:54</t>
  </si>
  <si>
    <t>523</t>
  </si>
  <si>
    <t>24974</t>
  </si>
  <si>
    <t>ZRJP_2023-24974_1-1</t>
  </si>
  <si>
    <t>2022-09-27 08:13:47</t>
  </si>
  <si>
    <t>524</t>
  </si>
  <si>
    <t>478/KD/R/23</t>
  </si>
  <si>
    <t>2022-09-19 14:43:02</t>
  </si>
  <si>
    <t>24813</t>
  </si>
  <si>
    <t>11035</t>
  </si>
  <si>
    <t>11.XII.22-10.III ;  [kursuje/podstawa: 90/364]</t>
  </si>
  <si>
    <t>5,860.17</t>
  </si>
  <si>
    <t>23:05</t>
  </si>
  <si>
    <t>[1] 00:03</t>
  </si>
  <si>
    <t>23:05 [O]</t>
  </si>
  <si>
    <t>ZRJP_2023-24813_1-1</t>
  </si>
  <si>
    <t>2022-10-31 17:04:48</t>
  </si>
  <si>
    <t>2022-10-27 09:42:31</t>
  </si>
  <si>
    <t>525</t>
  </si>
  <si>
    <t>24812</t>
  </si>
  <si>
    <t>65.11</t>
  </si>
  <si>
    <t>ZRJP_2023-24812_1-1</t>
  </si>
  <si>
    <t>2022-10-26 14:26:28</t>
  </si>
  <si>
    <t>526</t>
  </si>
  <si>
    <t>476/KD/R/23</t>
  </si>
  <si>
    <t>2022-09-19 14:43:01</t>
  </si>
  <si>
    <t>24802</t>
  </si>
  <si>
    <t>11014</t>
  </si>
  <si>
    <t>73.7</t>
  </si>
  <si>
    <t>846.47</t>
  </si>
  <si>
    <t>21:52</t>
  </si>
  <si>
    <t>21:05 [O]</t>
  </si>
  <si>
    <t>ZRJP_2023-24802_1-1</t>
  </si>
  <si>
    <t>2022-10-31 17:04:47</t>
  </si>
  <si>
    <t>2022-10-20 09:00:25</t>
  </si>
  <si>
    <t>527</t>
  </si>
  <si>
    <t>473/KD/R/23</t>
  </si>
  <si>
    <t>2022-09-19 14:42:46</t>
  </si>
  <si>
    <t>24726</t>
  </si>
  <si>
    <t>10952</t>
  </si>
  <si>
    <t>KD SPRINTER JAN WYŻYKOWSKI</t>
  </si>
  <si>
    <t>152.041</t>
  </si>
  <si>
    <t>86.1</t>
  </si>
  <si>
    <t>7,450.01</t>
  </si>
  <si>
    <t>18:53</t>
  </si>
  <si>
    <t>ZRJP_2023-24726_1-1</t>
  </si>
  <si>
    <t>2022-10-31 17:06:17</t>
  </si>
  <si>
    <t>2022-10-24 10:02:48</t>
  </si>
  <si>
    <t>528</t>
  </si>
  <si>
    <t>24725</t>
  </si>
  <si>
    <t>6,385.72</t>
  </si>
  <si>
    <t>ZRJP_2023-24725_1-1</t>
  </si>
  <si>
    <t>2022-10-24 10:02:46</t>
  </si>
  <si>
    <t>529</t>
  </si>
  <si>
    <t>472/KD/R/23</t>
  </si>
  <si>
    <t>2022-09-19 14:42:44</t>
  </si>
  <si>
    <t>24723</t>
  </si>
  <si>
    <t>10940</t>
  </si>
  <si>
    <t>KD SPRINTER JERZY WILHELM</t>
  </si>
  <si>
    <t>5,321.44</t>
  </si>
  <si>
    <t>17:13 [O]</t>
  </si>
  <si>
    <t>ZRJP_2023-24723_1-1</t>
  </si>
  <si>
    <t>2022-10-31 17:06:16</t>
  </si>
  <si>
    <t>2022-10-26 09:05:44</t>
  </si>
  <si>
    <t>530</t>
  </si>
  <si>
    <t>24722</t>
  </si>
  <si>
    <t>4,257.15</t>
  </si>
  <si>
    <t>ZRJP_2023-24722_1-1</t>
  </si>
  <si>
    <t>2022-10-26 09:05:41</t>
  </si>
  <si>
    <t>531</t>
  </si>
  <si>
    <t>471/KD/R/23</t>
  </si>
  <si>
    <t>2022-09-19 14:42:42</t>
  </si>
  <si>
    <t>24715</t>
  </si>
  <si>
    <t>10918</t>
  </si>
  <si>
    <t>16:29</t>
  </si>
  <si>
    <t>17:22</t>
  </si>
  <si>
    <t>ZRJP_2023-24715_1-1</t>
  </si>
  <si>
    <t>2022-10-31 17:05:54</t>
  </si>
  <si>
    <t>2022-10-10 12:04:56</t>
  </si>
  <si>
    <t>532</t>
  </si>
  <si>
    <t>470/KD/R/23</t>
  </si>
  <si>
    <t>2022-09-19 14:42:36</t>
  </si>
  <si>
    <t>24693</t>
  </si>
  <si>
    <t>10891</t>
  </si>
  <si>
    <t>11,459.36</t>
  </si>
  <si>
    <t>15:13</t>
  </si>
  <si>
    <t>17:06</t>
  </si>
  <si>
    <t>15:13 [O]</t>
  </si>
  <si>
    <t>ZRJP_2023-24693_1-1</t>
  </si>
  <si>
    <t>2022-10-31 17:05:53</t>
  </si>
  <si>
    <t>2022-10-07 11:43:53</t>
  </si>
  <si>
    <t>533</t>
  </si>
  <si>
    <t>469/KD/R/23</t>
  </si>
  <si>
    <t>2022-09-19 14:42:35</t>
  </si>
  <si>
    <t>24689</t>
  </si>
  <si>
    <t>10878</t>
  </si>
  <si>
    <t>78.3</t>
  </si>
  <si>
    <t>13:38</t>
  </si>
  <si>
    <t>16:01</t>
  </si>
  <si>
    <t>ZRJP_2023-24689_1-1</t>
  </si>
  <si>
    <t>2022-10-31 17:05:49</t>
  </si>
  <si>
    <t>2022-10-26 12:52:40</t>
  </si>
  <si>
    <t>534</t>
  </si>
  <si>
    <t>24688</t>
  </si>
  <si>
    <t>13:51 [O]</t>
  </si>
  <si>
    <t>ZRJP_2023-24688_1-1</t>
  </si>
  <si>
    <t>2022-10-26 12:52:38</t>
  </si>
  <si>
    <t>535</t>
  </si>
  <si>
    <t>2022-09-19 14:42:34</t>
  </si>
  <si>
    <t>24685</t>
  </si>
  <si>
    <t>17.XII.22-11.III ;  [kursuje/podstawa: 85/364]</t>
  </si>
  <si>
    <t>7,430.02</t>
  </si>
  <si>
    <t>13:30 [O]</t>
  </si>
  <si>
    <t>ZRJP_2023-24685_1-1</t>
  </si>
  <si>
    <t>2022-10-26 12:51:33</t>
  </si>
  <si>
    <t>536</t>
  </si>
  <si>
    <t>467/KD/R/23</t>
  </si>
  <si>
    <t>2022-09-19 14:42:33</t>
  </si>
  <si>
    <t>24684</t>
  </si>
  <si>
    <t>10847</t>
  </si>
  <si>
    <t>76.7</t>
  </si>
  <si>
    <t>5,534.07</t>
  </si>
  <si>
    <t>13:41</t>
  </si>
  <si>
    <t>14:40</t>
  </si>
  <si>
    <t>14:48 [O]</t>
  </si>
  <si>
    <t>ZRJP_2023-24684_1-1</t>
  </si>
  <si>
    <t>2022-10-31 17:05:48</t>
  </si>
  <si>
    <t>2022-10-11 11:07:09</t>
  </si>
  <si>
    <t>537</t>
  </si>
  <si>
    <t>464/KD/R/23</t>
  </si>
  <si>
    <t>2022-09-19 14:41:35</t>
  </si>
  <si>
    <t>24375</t>
  </si>
  <si>
    <t>10435</t>
  </si>
  <si>
    <t>75.5</t>
  </si>
  <si>
    <t>5,506.96</t>
  </si>
  <si>
    <t>07:51</t>
  </si>
  <si>
    <t>ZRJP_2023-24375_1-1</t>
  </si>
  <si>
    <t>2022-10-31 16:43:07</t>
  </si>
  <si>
    <t>2022-09-29 14:36:11</t>
  </si>
  <si>
    <t>538</t>
  </si>
  <si>
    <t>463/KD/R/23</t>
  </si>
  <si>
    <t>2022-09-19 14:41:29</t>
  </si>
  <si>
    <t>24355</t>
  </si>
  <si>
    <t>10411</t>
  </si>
  <si>
    <t>82.1</t>
  </si>
  <si>
    <t>05:45</t>
  </si>
  <si>
    <t>ZRJP_2023-24355_1-1</t>
  </si>
  <si>
    <t>2022-10-31 16:43:58</t>
  </si>
  <si>
    <t>2022-10-13 10:53:54</t>
  </si>
  <si>
    <t>539</t>
  </si>
  <si>
    <t>461/KD/R/23</t>
  </si>
  <si>
    <t>24353</t>
  </si>
  <si>
    <t>10400</t>
  </si>
  <si>
    <t>81.1</t>
  </si>
  <si>
    <t>71.5</t>
  </si>
  <si>
    <t>ZRJP_2023-24353_1-1</t>
  </si>
  <si>
    <t>2022-09-29 09:02:45</t>
  </si>
  <si>
    <t>540</t>
  </si>
  <si>
    <t>270/KD/R/23</t>
  </si>
  <si>
    <t>2022-09-19 14:41:25</t>
  </si>
  <si>
    <t>24340</t>
  </si>
  <si>
    <t>10388</t>
  </si>
  <si>
    <t>20:38 [O]</t>
  </si>
  <si>
    <t>ZRJP_2023-24340_1-1</t>
  </si>
  <si>
    <t>2022-10-31 16:43:55</t>
  </si>
  <si>
    <t>2022-10-27 09:41:33</t>
  </si>
  <si>
    <t>541</t>
  </si>
  <si>
    <t>269/KD/R/23</t>
  </si>
  <si>
    <t>24339</t>
  </si>
  <si>
    <t>10385</t>
  </si>
  <si>
    <t>19:33</t>
  </si>
  <si>
    <t>21:37</t>
  </si>
  <si>
    <t>ZRJP_2023-24339_1-1</t>
  </si>
  <si>
    <t>2022-10-26 12:43:39</t>
  </si>
  <si>
    <t>542</t>
  </si>
  <si>
    <t>459/KD/R/23</t>
  </si>
  <si>
    <t>2022-09-19 14:41:16</t>
  </si>
  <si>
    <t>24296</t>
  </si>
  <si>
    <t>10360</t>
  </si>
  <si>
    <t>04:08</t>
  </si>
  <si>
    <t>ZRJP_2023-24296_1-1</t>
  </si>
  <si>
    <t>2022-10-31 16:43:34</t>
  </si>
  <si>
    <t>2022-10-26 12:42:41</t>
  </si>
  <si>
    <t>543</t>
  </si>
  <si>
    <t>267/KD/R/23</t>
  </si>
  <si>
    <t>24295</t>
  </si>
  <si>
    <t>10359</t>
  </si>
  <si>
    <t>18:38 [O]</t>
  </si>
  <si>
    <t>ZRJP_2023-24295_1-1</t>
  </si>
  <si>
    <t>2022-10-31 16:43:33</t>
  </si>
  <si>
    <t>2022-10-26 09:05:49</t>
  </si>
  <si>
    <t>544</t>
  </si>
  <si>
    <t>266/KD/R/23</t>
  </si>
  <si>
    <t>2022-09-19 14:41:15</t>
  </si>
  <si>
    <t>24294</t>
  </si>
  <si>
    <t>10351</t>
  </si>
  <si>
    <t>98.8</t>
  </si>
  <si>
    <t>92.1</t>
  </si>
  <si>
    <t>17:51</t>
  </si>
  <si>
    <t>19:13</t>
  </si>
  <si>
    <t>17:48 [O]</t>
  </si>
  <si>
    <t>ZRJP_2023-24294_1-1</t>
  </si>
  <si>
    <t>2022-10-04 12:20:30</t>
  </si>
  <si>
    <t>545</t>
  </si>
  <si>
    <t>265/KD/R/23</t>
  </si>
  <si>
    <t>24293</t>
  </si>
  <si>
    <t>10348</t>
  </si>
  <si>
    <t>89.4</t>
  </si>
  <si>
    <t>77.1</t>
  </si>
  <si>
    <t>16:13</t>
  </si>
  <si>
    <t>16:12 [O]</t>
  </si>
  <si>
    <t>ZRJP_2023-24293_1-1</t>
  </si>
  <si>
    <t>2022-10-04 13:13:40</t>
  </si>
  <si>
    <t>546</t>
  </si>
  <si>
    <t>264/KD/R/23</t>
  </si>
  <si>
    <t>2022-09-19 14:41:12</t>
  </si>
  <si>
    <t>24283</t>
  </si>
  <si>
    <t>10338</t>
  </si>
  <si>
    <t>CHALKOZYN</t>
  </si>
  <si>
    <t>15:06</t>
  </si>
  <si>
    <t>15:07 [O]</t>
  </si>
  <si>
    <t>ZRJP_2023-24283_1-1</t>
  </si>
  <si>
    <t>2022-10-31 16:43:27</t>
  </si>
  <si>
    <t>2022-10-26 12:53:25</t>
  </si>
  <si>
    <t>547</t>
  </si>
  <si>
    <t>261/KD/R/23</t>
  </si>
  <si>
    <t>2022-09-19 14:41:10</t>
  </si>
  <si>
    <t>24275</t>
  </si>
  <si>
    <t>10315</t>
  </si>
  <si>
    <t>81.2</t>
  </si>
  <si>
    <t>08:32</t>
  </si>
  <si>
    <t>08:34 [O]</t>
  </si>
  <si>
    <t>ZRJP_2023-24275_1-1</t>
  </si>
  <si>
    <t>2022-10-31 16:43:26</t>
  </si>
  <si>
    <t>2022-10-03 08:06:02</t>
  </si>
  <si>
    <t>548</t>
  </si>
  <si>
    <t>260/KD/R/23</t>
  </si>
  <si>
    <t>2022-09-19 14:41:08</t>
  </si>
  <si>
    <t>24267</t>
  </si>
  <si>
    <t>10309</t>
  </si>
  <si>
    <t>83.9</t>
  </si>
  <si>
    <t>08:10</t>
  </si>
  <si>
    <t>09:08 [O]</t>
  </si>
  <si>
    <t>ZRJP_2023-24267_1-1</t>
  </si>
  <si>
    <t>2022-10-31 16:44:28</t>
  </si>
  <si>
    <t>2022-10-27 13:47:18</t>
  </si>
  <si>
    <t>549</t>
  </si>
  <si>
    <t>259/KD/R/23</t>
  </si>
  <si>
    <t>2022-09-19 14:41:07</t>
  </si>
  <si>
    <t>24263</t>
  </si>
  <si>
    <t>10302</t>
  </si>
  <si>
    <t>83.5</t>
  </si>
  <si>
    <t>08:18</t>
  </si>
  <si>
    <t>06:36 [O]</t>
  </si>
  <si>
    <t>ZRJP_2023-24263_1-1</t>
  </si>
  <si>
    <t>2022-10-31 16:44:25</t>
  </si>
  <si>
    <t>2022-10-25 12:20:01</t>
  </si>
  <si>
    <t>550</t>
  </si>
  <si>
    <t>2022-09-19 14:40:19</t>
  </si>
  <si>
    <t>24077</t>
  </si>
  <si>
    <t>5,957.60</t>
  </si>
  <si>
    <t>10:58 [O]</t>
  </si>
  <si>
    <t>ZRJP_2023-24077_1-1</t>
  </si>
  <si>
    <t>2022-10-31 16:44:30</t>
  </si>
  <si>
    <t>2022-09-30 13:42:41</t>
  </si>
  <si>
    <t>551</t>
  </si>
  <si>
    <t>257/KD/R/23</t>
  </si>
  <si>
    <t>2022-09-19 14:39:48</t>
  </si>
  <si>
    <t>23971</t>
  </si>
  <si>
    <t>9921</t>
  </si>
  <si>
    <t>06:20</t>
  </si>
  <si>
    <t>06:17 [O]</t>
  </si>
  <si>
    <t>ZRJP_2023-23971_1-1</t>
  </si>
  <si>
    <t>2022-10-31 16:44:46</t>
  </si>
  <si>
    <t>2022-10-13 10:57:36</t>
  </si>
  <si>
    <t>552</t>
  </si>
  <si>
    <t>23970</t>
  </si>
  <si>
    <t>04:57 [O]</t>
  </si>
  <si>
    <t>ZRJP_2023-23970_1-1</t>
  </si>
  <si>
    <t>2022-09-29 08:57:46</t>
  </si>
  <si>
    <t>553</t>
  </si>
  <si>
    <t>255A/KD/R/23</t>
  </si>
  <si>
    <t>23969</t>
  </si>
  <si>
    <t>9900</t>
  </si>
  <si>
    <t>ZRJP_2023-23969_1-1</t>
  </si>
  <si>
    <t>2022-10-04 12:21:10</t>
  </si>
  <si>
    <t>554</t>
  </si>
  <si>
    <t>444/KD/R/23</t>
  </si>
  <si>
    <t>2022-09-19 14:39:46</t>
  </si>
  <si>
    <t>23962</t>
  </si>
  <si>
    <t>9881</t>
  </si>
  <si>
    <t>76710/1</t>
  </si>
  <si>
    <t>SZCZUPAK</t>
  </si>
  <si>
    <t>73.2</t>
  </si>
  <si>
    <t>64.5</t>
  </si>
  <si>
    <t>06:15</t>
  </si>
  <si>
    <t>ZRJP_2023-23962_1-1</t>
  </si>
  <si>
    <t>2022-10-31 16:44:45</t>
  </si>
  <si>
    <t>2022-10-20 07:43:14</t>
  </si>
  <si>
    <t>555</t>
  </si>
  <si>
    <t>443/KD/R/23</t>
  </si>
  <si>
    <t>23959</t>
  </si>
  <si>
    <t>9872</t>
  </si>
  <si>
    <t>69710/1</t>
  </si>
  <si>
    <t>72.493</t>
  </si>
  <si>
    <t>73.1</t>
  </si>
  <si>
    <t>4,567.06</t>
  </si>
  <si>
    <t>ZRJP_2023-23959_1-1</t>
  </si>
  <si>
    <t>2022-10-31 16:44:42</t>
  </si>
  <si>
    <t>2022-09-29 14:45:21</t>
  </si>
  <si>
    <t>556</t>
  </si>
  <si>
    <t>440/KD/R/23</t>
  </si>
  <si>
    <t>2022-09-19 14:39:38</t>
  </si>
  <si>
    <t>23915</t>
  </si>
  <si>
    <t>9791</t>
  </si>
  <si>
    <t>69703/2</t>
  </si>
  <si>
    <t>33.751</t>
  </si>
  <si>
    <t>62.3</t>
  </si>
  <si>
    <t>945.03</t>
  </si>
  <si>
    <t>05:22</t>
  </si>
  <si>
    <t>05:59</t>
  </si>
  <si>
    <t>05:57 [O]</t>
  </si>
  <si>
    <t>ZRJP_2023-23915_1-1</t>
  </si>
  <si>
    <t>2022-10-31 17:00:56</t>
  </si>
  <si>
    <t>2022-10-26 11:49:56</t>
  </si>
  <si>
    <t>557</t>
  </si>
  <si>
    <t>438/KD/R/23</t>
  </si>
  <si>
    <t>2022-09-19 14:37:23</t>
  </si>
  <si>
    <t>23351</t>
  </si>
  <si>
    <t>9299</t>
  </si>
  <si>
    <t>67999/8</t>
  </si>
  <si>
    <t>2,736.80</t>
  </si>
  <si>
    <t>23:07</t>
  </si>
  <si>
    <t>[1] 00:44</t>
  </si>
  <si>
    <t>23:01 [O]</t>
  </si>
  <si>
    <t>ZRJP_2023-23351_1-1</t>
  </si>
  <si>
    <t>2022-10-31 17:01:43</t>
  </si>
  <si>
    <t>2022-10-17 09:04:10</t>
  </si>
  <si>
    <t>558</t>
  </si>
  <si>
    <t>437/KD/R/23</t>
  </si>
  <si>
    <t>2022-09-19 14:37:22</t>
  </si>
  <si>
    <t>23346</t>
  </si>
  <si>
    <t>9290</t>
  </si>
  <si>
    <t>67797/6</t>
  </si>
  <si>
    <t>55.9</t>
  </si>
  <si>
    <t>4,335.00</t>
  </si>
  <si>
    <t>22:31</t>
  </si>
  <si>
    <t>22:49 [O]</t>
  </si>
  <si>
    <t>ZRJP_2023-23346_1-1</t>
  </si>
  <si>
    <t>2022-10-31 17:01:42</t>
  </si>
  <si>
    <t>2022-10-25 13:43:19</t>
  </si>
  <si>
    <t>559</t>
  </si>
  <si>
    <t>23345</t>
  </si>
  <si>
    <t>3,468.00</t>
  </si>
  <si>
    <t>ZRJP_2023-23345_1-1</t>
  </si>
  <si>
    <t>2022-10-25 13:43:18</t>
  </si>
  <si>
    <t>560</t>
  </si>
  <si>
    <t>436/KD/R/23</t>
  </si>
  <si>
    <t>2022-09-19 14:37:17</t>
  </si>
  <si>
    <t>23322</t>
  </si>
  <si>
    <t>9265</t>
  </si>
  <si>
    <t>1,279.59</t>
  </si>
  <si>
    <t>21:38</t>
  </si>
  <si>
    <t>22:10</t>
  </si>
  <si>
    <t>21:54 [O]</t>
  </si>
  <si>
    <t>ZRJP_2023-23322_1-1</t>
  </si>
  <si>
    <t>2022-10-24 10:05:21</t>
  </si>
  <si>
    <t>561</t>
  </si>
  <si>
    <t>23321</t>
  </si>
  <si>
    <t>1,096.79</t>
  </si>
  <si>
    <t>21:44 [O]</t>
  </si>
  <si>
    <t>ZRJP_2023-23321_1-1</t>
  </si>
  <si>
    <t>2022-10-24 10:05:19</t>
  </si>
  <si>
    <t>562</t>
  </si>
  <si>
    <t>435/KD/R/23</t>
  </si>
  <si>
    <t>2022-09-19 14:37:10</t>
  </si>
  <si>
    <t>23287</t>
  </si>
  <si>
    <t>9250</t>
  </si>
  <si>
    <t>20:22</t>
  </si>
  <si>
    <t>20:54</t>
  </si>
  <si>
    <t>20:48 [O]</t>
  </si>
  <si>
    <t>ZRJP_2023-23287_1-1</t>
  </si>
  <si>
    <t>2022-10-31 17:01:39</t>
  </si>
  <si>
    <t>2022-10-26 10:41:02</t>
  </si>
  <si>
    <t>563</t>
  </si>
  <si>
    <t>23286</t>
  </si>
  <si>
    <t>20:37 [O]</t>
  </si>
  <si>
    <t>ZRJP_2023-23286_1-1</t>
  </si>
  <si>
    <t>2022-10-31 17:01:40</t>
  </si>
  <si>
    <t>2022-10-26 10:41:00</t>
  </si>
  <si>
    <t>564</t>
  </si>
  <si>
    <t>2022-09-19 14:37:09</t>
  </si>
  <si>
    <t>23281</t>
  </si>
  <si>
    <t>11.XII.22-28.II ; 2.III-11.III ;  [kursuje/podstawa: 90/364]</t>
  </si>
  <si>
    <t>8,796.87</t>
  </si>
  <si>
    <t>19:28 [O]</t>
  </si>
  <si>
    <t>ZRJP_2023-23281_1-1</t>
  </si>
  <si>
    <t>2022-10-18 09:42:32</t>
  </si>
  <si>
    <t>565</t>
  </si>
  <si>
    <t>433/KD/R/23</t>
  </si>
  <si>
    <t>2022-09-19 14:37:05</t>
  </si>
  <si>
    <t>23260</t>
  </si>
  <si>
    <t>9214</t>
  </si>
  <si>
    <t>19:16 [O]</t>
  </si>
  <si>
    <t>ZRJP_2023-23260_1-1</t>
  </si>
  <si>
    <t>2022-10-31 17:01:38</t>
  </si>
  <si>
    <t>2022-10-24 10:04:32</t>
  </si>
  <si>
    <t>566</t>
  </si>
  <si>
    <t>23259</t>
  </si>
  <si>
    <t>19:05 [O]</t>
  </si>
  <si>
    <t>ZRJP_2023-23259_1-1</t>
  </si>
  <si>
    <t>2022-10-24 10:04:30</t>
  </si>
  <si>
    <t>567</t>
  </si>
  <si>
    <t>431/KD/R/23</t>
  </si>
  <si>
    <t>2022-09-19 14:36:49</t>
  </si>
  <si>
    <t>23182</t>
  </si>
  <si>
    <t>9155</t>
  </si>
  <si>
    <t>69783/2</t>
  </si>
  <si>
    <t>101.785</t>
  </si>
  <si>
    <t>3,562.48</t>
  </si>
  <si>
    <t>17:11</t>
  </si>
  <si>
    <t>19:10</t>
  </si>
  <si>
    <t>17:26 [O]</t>
  </si>
  <si>
    <t>ZRJP_2023-23182_1-1</t>
  </si>
  <si>
    <t>2022-10-31 17:01:46</t>
  </si>
  <si>
    <t>2022-10-24 10:27:30</t>
  </si>
  <si>
    <t>568</t>
  </si>
  <si>
    <t>23181</t>
  </si>
  <si>
    <t>2,849.98</t>
  </si>
  <si>
    <t>17:16 [O]</t>
  </si>
  <si>
    <t>ZRJP_2023-23181_1-1</t>
  </si>
  <si>
    <t>2022-10-24 10:27:29</t>
  </si>
  <si>
    <t>569</t>
  </si>
  <si>
    <t>430/KD/R/23</t>
  </si>
  <si>
    <t>2022-09-19 14:36:48</t>
  </si>
  <si>
    <t>23178</t>
  </si>
  <si>
    <t>9146</t>
  </si>
  <si>
    <t>69781/0</t>
  </si>
  <si>
    <t>4,987.47</t>
  </si>
  <si>
    <t>14:32</t>
  </si>
  <si>
    <t>ZRJP_2023-23178_1-1</t>
  </si>
  <si>
    <t>2022-10-31 17:01:44</t>
  </si>
  <si>
    <t>2022-10-24 10:26:59</t>
  </si>
  <si>
    <t>570</t>
  </si>
  <si>
    <t>23177</t>
  </si>
  <si>
    <t>4,274.97</t>
  </si>
  <si>
    <t>ZRJP_2023-23177_1-1</t>
  </si>
  <si>
    <t>2022-10-24 10:26:57</t>
  </si>
  <si>
    <t>571</t>
  </si>
  <si>
    <t>429/KD/R/23</t>
  </si>
  <si>
    <t>2022-09-19 14:36:42</t>
  </si>
  <si>
    <t>23138</t>
  </si>
  <si>
    <t>9111</t>
  </si>
  <si>
    <t>69775/4</t>
  </si>
  <si>
    <t>67.1</t>
  </si>
  <si>
    <t>48.5</t>
  </si>
  <si>
    <t>14:43</t>
  </si>
  <si>
    <t>ZRJP_2023-23138_1-1</t>
  </si>
  <si>
    <t>2022-10-31 17:01:49</t>
  </si>
  <si>
    <t>2022-10-24 10:26:50</t>
  </si>
  <si>
    <t>572</t>
  </si>
  <si>
    <t>2022-09-19 14:36:41</t>
  </si>
  <si>
    <t>23137</t>
  </si>
  <si>
    <t>12:52 [O]</t>
  </si>
  <si>
    <t>ZRJP_2023-23137_1-1</t>
  </si>
  <si>
    <t>2022-10-24 10:26:48</t>
  </si>
  <si>
    <t>573</t>
  </si>
  <si>
    <t>428/KD/R/23</t>
  </si>
  <si>
    <t>2022-09-19 14:36:40</t>
  </si>
  <si>
    <t>23132</t>
  </si>
  <si>
    <t>9099</t>
  </si>
  <si>
    <t>69773/2</t>
  </si>
  <si>
    <t>98.640</t>
  </si>
  <si>
    <t>4,833.36</t>
  </si>
  <si>
    <t>10:45</t>
  </si>
  <si>
    <t>12:31</t>
  </si>
  <si>
    <t>11:15 [O]</t>
  </si>
  <si>
    <t>ZRJP_2023-23132_1-1</t>
  </si>
  <si>
    <t>2022-10-31 17:01:48</t>
  </si>
  <si>
    <t>2022-10-24 10:28:28</t>
  </si>
  <si>
    <t>574</t>
  </si>
  <si>
    <t>23131</t>
  </si>
  <si>
    <t>4,142.88</t>
  </si>
  <si>
    <t>ZRJP_2023-23131_1-1</t>
  </si>
  <si>
    <t>2022-10-24 10:28:27</t>
  </si>
  <si>
    <t>575</t>
  </si>
  <si>
    <t>248/KD/R/23</t>
  </si>
  <si>
    <t>2022-09-19 14:36:33</t>
  </si>
  <si>
    <t>23086</t>
  </si>
  <si>
    <t>9044</t>
  </si>
  <si>
    <t>11.XII.22-10.III w (B);  [kursuje/podstawa: 78/312]</t>
  </si>
  <si>
    <t>4,918.84</t>
  </si>
  <si>
    <t>22:00</t>
  </si>
  <si>
    <t>22:54</t>
  </si>
  <si>
    <t>21:50 [O]</t>
  </si>
  <si>
    <t>ZRJP_2023-23086_1-1</t>
  </si>
  <si>
    <t>2022-10-31 17:01:47</t>
  </si>
  <si>
    <t>2022-10-20 14:01:10</t>
  </si>
  <si>
    <t>576</t>
  </si>
  <si>
    <t>244/KD/R/23</t>
  </si>
  <si>
    <t>2022-09-19 14:36:20</t>
  </si>
  <si>
    <t>23025</t>
  </si>
  <si>
    <t>8928</t>
  </si>
  <si>
    <t>18:06</t>
  </si>
  <si>
    <t>17:59 [O]</t>
  </si>
  <si>
    <t>ZRJP_2023-23025_1-1</t>
  </si>
  <si>
    <t>2022-10-31 17:02:11</t>
  </si>
  <si>
    <t>2022-10-31 12:37:47</t>
  </si>
  <si>
    <t>577</t>
  </si>
  <si>
    <t>242/KD/R/23</t>
  </si>
  <si>
    <t>2022-09-19 14:36:18</t>
  </si>
  <si>
    <t>23017</t>
  </si>
  <si>
    <t>8911</t>
  </si>
  <si>
    <t>69682/3</t>
  </si>
  <si>
    <t>100.046</t>
  </si>
  <si>
    <t>60.6</t>
  </si>
  <si>
    <t>6,302.90</t>
  </si>
  <si>
    <t>Strzelin</t>
  </si>
  <si>
    <t>17:08</t>
  </si>
  <si>
    <t>16:09 [O]</t>
  </si>
  <si>
    <t>ZRJP_2023-23017_1-1</t>
  </si>
  <si>
    <t>2022-10-31 17:02:09</t>
  </si>
  <si>
    <t>2022-10-10 12:17:04</t>
  </si>
  <si>
    <t>578</t>
  </si>
  <si>
    <t>241/KD//23</t>
  </si>
  <si>
    <t>2022-09-19 14:36:17</t>
  </si>
  <si>
    <t>23013</t>
  </si>
  <si>
    <t>8900</t>
  </si>
  <si>
    <t>1,765.74</t>
  </si>
  <si>
    <t>15:41</t>
  </si>
  <si>
    <t>ZRJP_2023-23013_1-1</t>
  </si>
  <si>
    <t>2022-10-31 17:02:03</t>
  </si>
  <si>
    <t>2022-10-06 07:29:29</t>
  </si>
  <si>
    <t>579</t>
  </si>
  <si>
    <t>426/KD/R/23</t>
  </si>
  <si>
    <t>2022-09-19 14:36:14</t>
  </si>
  <si>
    <t>23000</t>
  </si>
  <si>
    <t>8866</t>
  </si>
  <si>
    <t>09:19</t>
  </si>
  <si>
    <t>ZRJP_2023-23000_1-1</t>
  </si>
  <si>
    <t>2022-10-31 17:02:00</t>
  </si>
  <si>
    <t>2022-10-24 10:00:22</t>
  </si>
  <si>
    <t>580</t>
  </si>
  <si>
    <t>22999</t>
  </si>
  <si>
    <t>ZRJP_2023-22999_1-1</t>
  </si>
  <si>
    <t>2022-10-24 10:00:20</t>
  </si>
  <si>
    <t>581</t>
  </si>
  <si>
    <t>237/KD/R/23</t>
  </si>
  <si>
    <t>2022-09-19 14:36:06</t>
  </si>
  <si>
    <t>22968</t>
  </si>
  <si>
    <t>8848</t>
  </si>
  <si>
    <t>69674/5</t>
  </si>
  <si>
    <t>120.624</t>
  </si>
  <si>
    <t>74.6</t>
  </si>
  <si>
    <t>63.5</t>
  </si>
  <si>
    <t>10,976.78</t>
  </si>
  <si>
    <t>12:40</t>
  </si>
  <si>
    <t>13:38 [O]</t>
  </si>
  <si>
    <t>ZRJP_2023-22968_1-1</t>
  </si>
  <si>
    <t>2022-10-31 17:01:57</t>
  </si>
  <si>
    <t>2022-10-06 07:25:07</t>
  </si>
  <si>
    <t>582</t>
  </si>
  <si>
    <t>425/KD/R/23</t>
  </si>
  <si>
    <t>2022-09-19 14:36:05</t>
  </si>
  <si>
    <t>22963</t>
  </si>
  <si>
    <t>8837</t>
  </si>
  <si>
    <t>69767/6</t>
  </si>
  <si>
    <t>ZRJP_2023-22963_1-1</t>
  </si>
  <si>
    <t>2022-10-31 17:01:54</t>
  </si>
  <si>
    <t>2022-10-24 10:26:31</t>
  </si>
  <si>
    <t>583</t>
  </si>
  <si>
    <t>22962</t>
  </si>
  <si>
    <t>ZRJP_2023-22962_1-1</t>
  </si>
  <si>
    <t>2022-10-31 17:01:55</t>
  </si>
  <si>
    <t>2022-10-24 10:26:30</t>
  </si>
  <si>
    <t>584</t>
  </si>
  <si>
    <t>424/KD/R/23</t>
  </si>
  <si>
    <t>2022-09-19 14:36:04</t>
  </si>
  <si>
    <t>22957</t>
  </si>
  <si>
    <t>8826</t>
  </si>
  <si>
    <t>08:03</t>
  </si>
  <si>
    <t>07:55 [O]</t>
  </si>
  <si>
    <t>ZRJP_2023-22957_1-1</t>
  </si>
  <si>
    <t>2022-10-31 17:01:52</t>
  </si>
  <si>
    <t>2022-10-24 09:59:57</t>
  </si>
  <si>
    <t>585</t>
  </si>
  <si>
    <t>2022-09-19 14:36:03</t>
  </si>
  <si>
    <t>22956</t>
  </si>
  <si>
    <t>ZRJP_2023-22956_1-1</t>
  </si>
  <si>
    <t>2022-10-24 09:59:56</t>
  </si>
  <si>
    <t>586</t>
  </si>
  <si>
    <t>423/KD/R/23</t>
  </si>
  <si>
    <t>2022-09-19 14:35:53</t>
  </si>
  <si>
    <t>22930</t>
  </si>
  <si>
    <t>8817</t>
  </si>
  <si>
    <t>67763/2</t>
  </si>
  <si>
    <t>94.598</t>
  </si>
  <si>
    <t>69.2</t>
  </si>
  <si>
    <t>5,959.67</t>
  </si>
  <si>
    <t>ZRJP_2023-22930_1-1</t>
  </si>
  <si>
    <t>2022-10-31 16:45:35</t>
  </si>
  <si>
    <t>2022-10-13 07:51:48</t>
  </si>
  <si>
    <t>587</t>
  </si>
  <si>
    <t>422/KD/R/23</t>
  </si>
  <si>
    <t>2022-09-19 14:35:46</t>
  </si>
  <si>
    <t>22904</t>
  </si>
  <si>
    <t>8793</t>
  </si>
  <si>
    <t>07:28 [O]</t>
  </si>
  <si>
    <t>ZRJP_2023-22904_1-1</t>
  </si>
  <si>
    <t>2022-10-31 16:45:16</t>
  </si>
  <si>
    <t>2022-10-24 09:59:44</t>
  </si>
  <si>
    <t>588</t>
  </si>
  <si>
    <t>22903</t>
  </si>
  <si>
    <t>07:18 [O]</t>
  </si>
  <si>
    <t>ZRJP_2023-22903_1-1</t>
  </si>
  <si>
    <t>2022-10-24 09:59:42</t>
  </si>
  <si>
    <t>589</t>
  </si>
  <si>
    <t>235/KD/R/23</t>
  </si>
  <si>
    <t>2022-09-19 14:35:44</t>
  </si>
  <si>
    <t>22890</t>
  </si>
  <si>
    <t>8721</t>
  </si>
  <si>
    <t>69670/1</t>
  </si>
  <si>
    <t>6280</t>
  </si>
  <si>
    <t>08:43</t>
  </si>
  <si>
    <t>12:16</t>
  </si>
  <si>
    <t>LICHKOV - RAWICZ</t>
  </si>
  <si>
    <t>ZRJP_2023-22890_1-1</t>
  </si>
  <si>
    <t>2022-10-31 16:45:13</t>
  </si>
  <si>
    <t>2022-10-03 14:16:04</t>
  </si>
  <si>
    <t>590</t>
  </si>
  <si>
    <t>2022-09-19 14:35:37</t>
  </si>
  <si>
    <t>22867</t>
  </si>
  <si>
    <t>56.0</t>
  </si>
  <si>
    <t>05:55 [O]</t>
  </si>
  <si>
    <t>ZRJP_2023-22867_1-1</t>
  </si>
  <si>
    <t>2022-10-31 16:45:34</t>
  </si>
  <si>
    <t>2022-10-24 09:58:35</t>
  </si>
  <si>
    <t>591</t>
  </si>
  <si>
    <t>22866</t>
  </si>
  <si>
    <t>ZRJP_2023-22866_1-1</t>
  </si>
  <si>
    <t>2022-10-24 09:58:34</t>
  </si>
  <si>
    <t>592</t>
  </si>
  <si>
    <t>231/KD/R/23</t>
  </si>
  <si>
    <t>2022-09-19 14:35:29</t>
  </si>
  <si>
    <t>22837</t>
  </si>
  <si>
    <t>8664</t>
  </si>
  <si>
    <t>69662/3</t>
  </si>
  <si>
    <t>193.012</t>
  </si>
  <si>
    <t>17,564.09</t>
  </si>
  <si>
    <t>05:53</t>
  </si>
  <si>
    <t>09:06</t>
  </si>
  <si>
    <t>08:12 [O]</t>
  </si>
  <si>
    <t>ZRJP_2023-22837_1-1</t>
  </si>
  <si>
    <t>2022-10-31 16:45:42</t>
  </si>
  <si>
    <t>2022-09-30 07:57:35</t>
  </si>
  <si>
    <t>593</t>
  </si>
  <si>
    <t>418/KD/R/23</t>
  </si>
  <si>
    <t>2022-09-19 14:35:20</t>
  </si>
  <si>
    <t>22800</t>
  </si>
  <si>
    <t>8652</t>
  </si>
  <si>
    <t>69755/4</t>
  </si>
  <si>
    <t>3,452.40</t>
  </si>
  <si>
    <t>ZRJP_2023-22800_1-1</t>
  </si>
  <si>
    <t>2022-10-24 10:19:15</t>
  </si>
  <si>
    <t>594</t>
  </si>
  <si>
    <t>22799</t>
  </si>
  <si>
    <t>2,761.92</t>
  </si>
  <si>
    <t>04:47 [O]</t>
  </si>
  <si>
    <t>ZRJP_2023-22799_1-1</t>
  </si>
  <si>
    <t>2022-10-24 10:19:09</t>
  </si>
  <si>
    <t>595</t>
  </si>
  <si>
    <t>417/KD/R/23</t>
  </si>
  <si>
    <t>2022-09-19 14:35:05</t>
  </si>
  <si>
    <t>22742</t>
  </si>
  <si>
    <t>8584</t>
  </si>
  <si>
    <t>69753/2</t>
  </si>
  <si>
    <t>33.784</t>
  </si>
  <si>
    <t>945.95</t>
  </si>
  <si>
    <t>05:10</t>
  </si>
  <si>
    <t>04:37 [O]</t>
  </si>
  <si>
    <t>ZRJP_2023-22742_1-1</t>
  </si>
  <si>
    <t>2022-10-31 16:45:37</t>
  </si>
  <si>
    <t>2022-10-26 11:50:08</t>
  </si>
  <si>
    <t>596</t>
  </si>
  <si>
    <t>416/KD/R/23</t>
  </si>
  <si>
    <t>2022-09-19 14:35:04</t>
  </si>
  <si>
    <t>22737</t>
  </si>
  <si>
    <t>8576</t>
  </si>
  <si>
    <t>69751/0</t>
  </si>
  <si>
    <t>1.III, 2.III;  [kursuje/podstawa: 2/252]</t>
  </si>
  <si>
    <t>67.57</t>
  </si>
  <si>
    <t>03:26</t>
  </si>
  <si>
    <t>03:27 [O]</t>
  </si>
  <si>
    <t>ZRJP_2023-22737_1-1</t>
  </si>
  <si>
    <t>2022-10-31 16:45:36</t>
  </si>
  <si>
    <t>2022-09-28 09:11:50</t>
  </si>
  <si>
    <t>597</t>
  </si>
  <si>
    <t>22736</t>
  </si>
  <si>
    <t>12.XII.22-28.II w (D); 3.III; 6.III-10.III;  [kursuje/podstawa: 61/252]</t>
  </si>
  <si>
    <t>2,060.82</t>
  </si>
  <si>
    <t>ZRJP_2023-22736_1-1</t>
  </si>
  <si>
    <t>2022-09-28 09:11:48</t>
  </si>
  <si>
    <t>598</t>
  </si>
  <si>
    <t>221/KD/R/23</t>
  </si>
  <si>
    <t>2022-09-19 14:34:18</t>
  </si>
  <si>
    <t>22531</t>
  </si>
  <si>
    <t>8447</t>
  </si>
  <si>
    <t>20:28</t>
  </si>
  <si>
    <t>20:14 [O]</t>
  </si>
  <si>
    <t>ZRJP_2023-22531_1-1</t>
  </si>
  <si>
    <t>2022-10-31 16:46:06</t>
  </si>
  <si>
    <t>2022-10-31 12:38:50</t>
  </si>
  <si>
    <t>599</t>
  </si>
  <si>
    <t>218/KD/R/23</t>
  </si>
  <si>
    <t>2022-09-19 14:33:48</t>
  </si>
  <si>
    <t>22421</t>
  </si>
  <si>
    <t>8396</t>
  </si>
  <si>
    <t>16:49</t>
  </si>
  <si>
    <t>ZRJP_2023-22421_1-1</t>
  </si>
  <si>
    <t>2022-10-31 16:46:08</t>
  </si>
  <si>
    <t>2022-10-10 10:18:46</t>
  </si>
  <si>
    <t>600</t>
  </si>
  <si>
    <t>207/KD/R/23</t>
  </si>
  <si>
    <t>2022-09-19 14:32:13</t>
  </si>
  <si>
    <t>22060</t>
  </si>
  <si>
    <t>7663</t>
  </si>
  <si>
    <t>09:13 [O]</t>
  </si>
  <si>
    <t>ZRJP_2023-22060_1-1</t>
  </si>
  <si>
    <t>2022-10-31 16:59:49</t>
  </si>
  <si>
    <t>2022-10-27 13:49:43</t>
  </si>
  <si>
    <t>601</t>
  </si>
  <si>
    <t>201/KD/R/23</t>
  </si>
  <si>
    <t>2022-09-19 14:30:43</t>
  </si>
  <si>
    <t>21629</t>
  </si>
  <si>
    <t>7108</t>
  </si>
  <si>
    <t>17.XII.22; 24.XII.22; 26.XII.22; 31.XII.22; 6.I, 7.I; 14.I-11.III (6);  [kursuje/podstawa: 15/60]</t>
  </si>
  <si>
    <t>945.93</t>
  </si>
  <si>
    <t>05:06</t>
  </si>
  <si>
    <t>05:03 [O]</t>
  </si>
  <si>
    <t>ZRJP_2023-21629_1-1</t>
  </si>
  <si>
    <t>2022-10-31 17:00:14</t>
  </si>
  <si>
    <t>2022-09-22 12:41:44</t>
  </si>
  <si>
    <t>602</t>
  </si>
  <si>
    <t>415/KD/R/23</t>
  </si>
  <si>
    <t>2022-09-19 14:28:50</t>
  </si>
  <si>
    <t>21075</t>
  </si>
  <si>
    <t>6493</t>
  </si>
  <si>
    <t>KD SPRINTER KACZAWA</t>
  </si>
  <si>
    <t>110.2</t>
  </si>
  <si>
    <t>101.6</t>
  </si>
  <si>
    <t>21:46</t>
  </si>
  <si>
    <t>21:42 [O]</t>
  </si>
  <si>
    <t>ZRJP_2023-21075_1-1</t>
  </si>
  <si>
    <t>2022-10-31 16:47:25</t>
  </si>
  <si>
    <t>2022-10-06 08:20:57</t>
  </si>
  <si>
    <t>603</t>
  </si>
  <si>
    <t>412/KD/R/23</t>
  </si>
  <si>
    <t>2022-09-19 14:27:52</t>
  </si>
  <si>
    <t>20810</t>
  </si>
  <si>
    <t>6357</t>
  </si>
  <si>
    <t>69525/4</t>
  </si>
  <si>
    <t>78.9</t>
  </si>
  <si>
    <t>19:30 [O]</t>
  </si>
  <si>
    <t>ZRJP_2023-20810_1-1</t>
  </si>
  <si>
    <t>2022-10-31 16:47:32</t>
  </si>
  <si>
    <t>2022-10-19 13:52:11</t>
  </si>
  <si>
    <t>604</t>
  </si>
  <si>
    <t>411/KD/R/23</t>
  </si>
  <si>
    <t>2022-09-19 14:27:37</t>
  </si>
  <si>
    <t>20773</t>
  </si>
  <si>
    <t>6309</t>
  </si>
  <si>
    <t>16:20</t>
  </si>
  <si>
    <t>18:27</t>
  </si>
  <si>
    <t>18:25 [O]</t>
  </si>
  <si>
    <t>ZRJP_2023-20773_1-1</t>
  </si>
  <si>
    <t>2022-10-31 16:47:46</t>
  </si>
  <si>
    <t>2022-10-19 13:09:58</t>
  </si>
  <si>
    <t>605</t>
  </si>
  <si>
    <t>410/KD/R/23</t>
  </si>
  <si>
    <t>2022-09-19 14:27:31</t>
  </si>
  <si>
    <t>20754</t>
  </si>
  <si>
    <t>6272</t>
  </si>
  <si>
    <t>69521/0</t>
  </si>
  <si>
    <t>80.6</t>
  </si>
  <si>
    <t>15:09</t>
  </si>
  <si>
    <t>17:34</t>
  </si>
  <si>
    <t>17:30 [O]</t>
  </si>
  <si>
    <t>ZRJP_2023-20754_1-1</t>
  </si>
  <si>
    <t>2022-10-31 16:47:45</t>
  </si>
  <si>
    <t>2022-10-20 10:05:39</t>
  </si>
  <si>
    <t>606</t>
  </si>
  <si>
    <t>2022-09-19 14:27:28</t>
  </si>
  <si>
    <t>20750</t>
  </si>
  <si>
    <t>4,553.02</t>
  </si>
  <si>
    <t>16:30 [O]</t>
  </si>
  <si>
    <t>ZRJP_2023-20750_1-1</t>
  </si>
  <si>
    <t>2022-10-31 16:47:44</t>
  </si>
  <si>
    <t>2022-09-29 09:52:50</t>
  </si>
  <si>
    <t>607</t>
  </si>
  <si>
    <t>408/KD/R/23</t>
  </si>
  <si>
    <t>2022-09-19 14:27:26</t>
  </si>
  <si>
    <t>20747</t>
  </si>
  <si>
    <t>6253</t>
  </si>
  <si>
    <t>KD SPRINTER ŁUŻYCE</t>
  </si>
  <si>
    <t>103.2</t>
  </si>
  <si>
    <t>91.2</t>
  </si>
  <si>
    <t>13:01</t>
  </si>
  <si>
    <t>14:42 [O]</t>
  </si>
  <si>
    <t>ZRJP_2023-20747_1-1</t>
  </si>
  <si>
    <t>2022-10-31 16:47:43</t>
  </si>
  <si>
    <t>2022-10-03 12:19:22</t>
  </si>
  <si>
    <t>608</t>
  </si>
  <si>
    <t>407/KD/R/23</t>
  </si>
  <si>
    <t>2022-09-19 14:27:04</t>
  </si>
  <si>
    <t>20674</t>
  </si>
  <si>
    <t>6165</t>
  </si>
  <si>
    <t>69515/4</t>
  </si>
  <si>
    <t>78.6</t>
  </si>
  <si>
    <t>13:35</t>
  </si>
  <si>
    <t>13:32 [O]</t>
  </si>
  <si>
    <t>ZRJP_2023-20674_1-1</t>
  </si>
  <si>
    <t>2022-10-31 16:47:56</t>
  </si>
  <si>
    <t>2022-10-11 10:27:01</t>
  </si>
  <si>
    <t>609</t>
  </si>
  <si>
    <t>405/KD/R/23</t>
  </si>
  <si>
    <t>2022-09-19 14:27:00</t>
  </si>
  <si>
    <t>20660</t>
  </si>
  <si>
    <t>6152</t>
  </si>
  <si>
    <t>ZRJP_2023-20660_1-1</t>
  </si>
  <si>
    <t>2022-10-31 16:47:54</t>
  </si>
  <si>
    <t>2022-10-03 06:55:14</t>
  </si>
  <si>
    <t>610</t>
  </si>
  <si>
    <t>403/KD/R/23</t>
  </si>
  <si>
    <t>2022-09-19 14:26:54</t>
  </si>
  <si>
    <t>20644</t>
  </si>
  <si>
    <t>6128</t>
  </si>
  <si>
    <t>86.3</t>
  </si>
  <si>
    <t>71.2</t>
  </si>
  <si>
    <t>08:31 [O]</t>
  </si>
  <si>
    <t>ZRJP_2023-20644_1-1</t>
  </si>
  <si>
    <t>2022-10-31 16:47:49</t>
  </si>
  <si>
    <t>2022-10-27 13:00:45</t>
  </si>
  <si>
    <t>611</t>
  </si>
  <si>
    <t>402/KD/R/23</t>
  </si>
  <si>
    <t>2022-09-19 14:26:35</t>
  </si>
  <si>
    <t>20600</t>
  </si>
  <si>
    <t>6054</t>
  </si>
  <si>
    <t>69507/6</t>
  </si>
  <si>
    <t>KWISA</t>
  </si>
  <si>
    <t>84.6</t>
  </si>
  <si>
    <t>05:17</t>
  </si>
  <si>
    <t>07:29 [O]</t>
  </si>
  <si>
    <t>ZRJP_2023-20600_1-1</t>
  </si>
  <si>
    <t>2022-10-31 16:48:08</t>
  </si>
  <si>
    <t>2022-10-26 12:49:35</t>
  </si>
  <si>
    <t>612</t>
  </si>
  <si>
    <t>400/KD/R/23</t>
  </si>
  <si>
    <t>2022-09-19 14:26:33</t>
  </si>
  <si>
    <t>20589</t>
  </si>
  <si>
    <t>6027</t>
  </si>
  <si>
    <t>136.076</t>
  </si>
  <si>
    <t>12,382.92</t>
  </si>
  <si>
    <t>05:47 [O]</t>
  </si>
  <si>
    <t>ZRJP_2023-20589_1-1</t>
  </si>
  <si>
    <t>2022-10-31 16:48:06</t>
  </si>
  <si>
    <t>2022-10-26 12:42:22</t>
  </si>
  <si>
    <t>613</t>
  </si>
  <si>
    <t>398/KD/R/23</t>
  </si>
  <si>
    <t>2022-09-19 14:26:15</t>
  </si>
  <si>
    <t>20518</t>
  </si>
  <si>
    <t>5944</t>
  </si>
  <si>
    <t>90.7</t>
  </si>
  <si>
    <t>81.6</t>
  </si>
  <si>
    <t>10,613.93</t>
  </si>
  <si>
    <t>ZRJP_2023-20518_1-1</t>
  </si>
  <si>
    <t>2022-10-31 16:48:02</t>
  </si>
  <si>
    <t>2022-10-20 09:01:31</t>
  </si>
  <si>
    <t>614</t>
  </si>
  <si>
    <t>396/KD/R/23</t>
  </si>
  <si>
    <t>2022-09-19 14:26:04</t>
  </si>
  <si>
    <t>20482</t>
  </si>
  <si>
    <t>5916</t>
  </si>
  <si>
    <t>69577/6</t>
  </si>
  <si>
    <t>19:45</t>
  </si>
  <si>
    <t>22:14</t>
  </si>
  <si>
    <t>ZRJP_2023-20482_1-1</t>
  </si>
  <si>
    <t>2022-10-31 16:48:31</t>
  </si>
  <si>
    <t>2022-10-20 11:49:10</t>
  </si>
  <si>
    <t>615</t>
  </si>
  <si>
    <t>395/KD/R/23</t>
  </si>
  <si>
    <t>2022-09-19 14:25:56</t>
  </si>
  <si>
    <t>20454</t>
  </si>
  <si>
    <t>5900</t>
  </si>
  <si>
    <t>99.6</t>
  </si>
  <si>
    <t>19:53</t>
  </si>
  <si>
    <t>18:15 [O]</t>
  </si>
  <si>
    <t>ZRJP_2023-20454_1-1</t>
  </si>
  <si>
    <t>2022-10-31 16:48:17</t>
  </si>
  <si>
    <t>2022-10-20 10:59:48</t>
  </si>
  <si>
    <t>616</t>
  </si>
  <si>
    <t>394/KD/R/23</t>
  </si>
  <si>
    <t>2022-09-19 14:25:54</t>
  </si>
  <si>
    <t>20442</t>
  </si>
  <si>
    <t>5884</t>
  </si>
  <si>
    <t>69575/4</t>
  </si>
  <si>
    <t>17:46</t>
  </si>
  <si>
    <t>17:45 [O]</t>
  </si>
  <si>
    <t>ZRJP_2023-20442_1-1</t>
  </si>
  <si>
    <t>2022-10-31 16:48:36</t>
  </si>
  <si>
    <t>2022-10-07 11:36:06</t>
  </si>
  <si>
    <t>617</t>
  </si>
  <si>
    <t>393/KD/R/23</t>
  </si>
  <si>
    <t>2022-09-19 14:25:50</t>
  </si>
  <si>
    <t>20421</t>
  </si>
  <si>
    <t>5874</t>
  </si>
  <si>
    <t>18:55</t>
  </si>
  <si>
    <t>16:39 [O]</t>
  </si>
  <si>
    <t>ZRJP_2023-20421_1-1</t>
  </si>
  <si>
    <t>2022-10-31 16:48:34</t>
  </si>
  <si>
    <t>2022-10-31 11:57:44</t>
  </si>
  <si>
    <t>618</t>
  </si>
  <si>
    <t>392/KD/R/23</t>
  </si>
  <si>
    <t>2022-09-19 14:25:49</t>
  </si>
  <si>
    <t>20415</t>
  </si>
  <si>
    <t>5867</t>
  </si>
  <si>
    <t>69569/8</t>
  </si>
  <si>
    <t>15:48 [O]</t>
  </si>
  <si>
    <t>ZRJP_2023-20415_1-1</t>
  </si>
  <si>
    <t>2022-10-04 08:50:41</t>
  </si>
  <si>
    <t>619</t>
  </si>
  <si>
    <t>390/KD/R/23</t>
  </si>
  <si>
    <t>2022-09-19 14:25:29</t>
  </si>
  <si>
    <t>20333</t>
  </si>
  <si>
    <t>5642</t>
  </si>
  <si>
    <t>69565/4</t>
  </si>
  <si>
    <t>16:09</t>
  </si>
  <si>
    <t>ZRJP_2023-20333_1-1</t>
  </si>
  <si>
    <t>2022-10-31 16:48:48</t>
  </si>
  <si>
    <t>2022-10-27 11:40:02</t>
  </si>
  <si>
    <t>620</t>
  </si>
  <si>
    <t>389/KD/R/23</t>
  </si>
  <si>
    <t>2022-09-19 14:25:25</t>
  </si>
  <si>
    <t>20322</t>
  </si>
  <si>
    <t>5597</t>
  </si>
  <si>
    <t>72.3</t>
  </si>
  <si>
    <t>12:36</t>
  </si>
  <si>
    <t>14:51</t>
  </si>
  <si>
    <t>12:45 [O]</t>
  </si>
  <si>
    <t>ZRJP_2023-20322_1-1</t>
  </si>
  <si>
    <t>2022-10-31 16:48:45</t>
  </si>
  <si>
    <t>2022-10-19 09:26:31</t>
  </si>
  <si>
    <t>621</t>
  </si>
  <si>
    <t>388/KD/R/23</t>
  </si>
  <si>
    <t>2022-09-19 14:25:21</t>
  </si>
  <si>
    <t>20303</t>
  </si>
  <si>
    <t>5577</t>
  </si>
  <si>
    <t>69561/0</t>
  </si>
  <si>
    <t>11:45</t>
  </si>
  <si>
    <t>11:45 [O]</t>
  </si>
  <si>
    <t>ZRJP_2023-20303_1-1</t>
  </si>
  <si>
    <t>2022-10-31 16:48:42</t>
  </si>
  <si>
    <t>2022-10-20 11:49:30</t>
  </si>
  <si>
    <t>622</t>
  </si>
  <si>
    <t>2022-09-19 14:25:20</t>
  </si>
  <si>
    <t>20295</t>
  </si>
  <si>
    <t>ZRJP_2023-20295_1-1</t>
  </si>
  <si>
    <t>2022-10-31 16:48:40</t>
  </si>
  <si>
    <t>2022-09-29 09:38:13</t>
  </si>
  <si>
    <t>623</t>
  </si>
  <si>
    <t>386/KD/R/23</t>
  </si>
  <si>
    <t>2022-09-19 14:24:36</t>
  </si>
  <si>
    <t>20087</t>
  </si>
  <si>
    <t>5490</t>
  </si>
  <si>
    <t>09:37</t>
  </si>
  <si>
    <t>09:35 [O]</t>
  </si>
  <si>
    <t>ZRJP_2023-20087_1-1</t>
  </si>
  <si>
    <t>2022-10-31 16:49:20</t>
  </si>
  <si>
    <t>2022-10-07 09:13:19</t>
  </si>
  <si>
    <t>624</t>
  </si>
  <si>
    <t>385/KD/R/23</t>
  </si>
  <si>
    <t>20085</t>
  </si>
  <si>
    <t>5467</t>
  </si>
  <si>
    <t>69557/6</t>
  </si>
  <si>
    <t>10:08</t>
  </si>
  <si>
    <t>ZRJP_2023-20085_1-1</t>
  </si>
  <si>
    <t>2022-10-31 16:49:19</t>
  </si>
  <si>
    <t>2022-10-11 10:25:29</t>
  </si>
  <si>
    <t>625</t>
  </si>
  <si>
    <t>384/KD/R/23</t>
  </si>
  <si>
    <t>2022-09-19 14:24:32</t>
  </si>
  <si>
    <t>20070</t>
  </si>
  <si>
    <t>5458</t>
  </si>
  <si>
    <t>106.0</t>
  </si>
  <si>
    <t>95.7</t>
  </si>
  <si>
    <t>06:11 [O]</t>
  </si>
  <si>
    <t>ZRJP_2023-20070_1-1</t>
  </si>
  <si>
    <t>2022-10-31 16:49:15</t>
  </si>
  <si>
    <t>2022-09-29 08:52:41</t>
  </si>
  <si>
    <t>626</t>
  </si>
  <si>
    <t>195/KD/R/23</t>
  </si>
  <si>
    <t>2022-09-19 14:23:32</t>
  </si>
  <si>
    <t>19794</t>
  </si>
  <si>
    <t>5097</t>
  </si>
  <si>
    <t>69428/9</t>
  </si>
  <si>
    <t>94.952</t>
  </si>
  <si>
    <t>37.7</t>
  </si>
  <si>
    <t>664.66</t>
  </si>
  <si>
    <t>15:46</t>
  </si>
  <si>
    <t>18:17</t>
  </si>
  <si>
    <t>17:09 [O]</t>
  </si>
  <si>
    <t>ZRJP_2023-19794_1-1</t>
  </si>
  <si>
    <t>2022-10-31 16:49:51</t>
  </si>
  <si>
    <t>2022-10-06 07:36:04</t>
  </si>
  <si>
    <t>627</t>
  </si>
  <si>
    <t>19793</t>
  </si>
  <si>
    <t>189.90</t>
  </si>
  <si>
    <t>ZRJP_2023-19793_1-1</t>
  </si>
  <si>
    <t>2022-10-06 07:36:03</t>
  </si>
  <si>
    <t>628</t>
  </si>
  <si>
    <t>19792</t>
  </si>
  <si>
    <t>2,753.61</t>
  </si>
  <si>
    <t>ZRJP_2023-19792_1-1</t>
  </si>
  <si>
    <t>2022-10-06 07:36:05</t>
  </si>
  <si>
    <t>629</t>
  </si>
  <si>
    <t>2022-09-19 14:23:31</t>
  </si>
  <si>
    <t>19791</t>
  </si>
  <si>
    <t>5,032.46</t>
  </si>
  <si>
    <t>ZRJP_2023-19791_1-1</t>
  </si>
  <si>
    <t>2022-10-06 07:36:06</t>
  </si>
  <si>
    <t>630</t>
  </si>
  <si>
    <t>191/KD/R/23</t>
  </si>
  <si>
    <t>19790</t>
  </si>
  <si>
    <t>5093</t>
  </si>
  <si>
    <t>69420/1</t>
  </si>
  <si>
    <t>47.0</t>
  </si>
  <si>
    <t>41.3</t>
  </si>
  <si>
    <t>05:46 [O]</t>
  </si>
  <si>
    <t>ZRJP_2023-19790_1-1</t>
  </si>
  <si>
    <t>2022-10-31 16:49:50</t>
  </si>
  <si>
    <t>2022-10-04 13:34:40</t>
  </si>
  <si>
    <t>631</t>
  </si>
  <si>
    <t>19789</t>
  </si>
  <si>
    <t>ZRJP_2023-19789_1-1</t>
  </si>
  <si>
    <t>2022-10-04 13:34:38</t>
  </si>
  <si>
    <t>632</t>
  </si>
  <si>
    <t>19788</t>
  </si>
  <si>
    <t>ZRJP_2023-19788_1-1</t>
  </si>
  <si>
    <t>2022-10-04 13:34:42</t>
  </si>
  <si>
    <t>633</t>
  </si>
  <si>
    <t>19787</t>
  </si>
  <si>
    <t>ZRJP_2023-19787_1-1</t>
  </si>
  <si>
    <t>2022-10-04 13:34:43</t>
  </si>
  <si>
    <t>634</t>
  </si>
  <si>
    <t>186/KD/R/23</t>
  </si>
  <si>
    <t>2022-09-19 14:23:30</t>
  </si>
  <si>
    <t>19780</t>
  </si>
  <si>
    <t>5074</t>
  </si>
  <si>
    <t>69413/2</t>
  </si>
  <si>
    <t>60.096</t>
  </si>
  <si>
    <t>42.9</t>
  </si>
  <si>
    <t>120.19</t>
  </si>
  <si>
    <t>20:55</t>
  </si>
  <si>
    <t>22:18 [O]</t>
  </si>
  <si>
    <t>ZRJP_2023-19780_1-1</t>
  </si>
  <si>
    <t>2022-10-31 16:49:47</t>
  </si>
  <si>
    <t>2022-10-03 12:55:18</t>
  </si>
  <si>
    <t>635</t>
  </si>
  <si>
    <t>19779</t>
  </si>
  <si>
    <t>3,185.09</t>
  </si>
  <si>
    <t>ZRJP_2023-19779_1-1</t>
  </si>
  <si>
    <t>2022-10-03 12:55:26</t>
  </si>
  <si>
    <t>636</t>
  </si>
  <si>
    <t>19778</t>
  </si>
  <si>
    <t>420.67</t>
  </si>
  <si>
    <t>ZRJP_2023-19778_1-1</t>
  </si>
  <si>
    <t>2022-10-31 16:49:48</t>
  </si>
  <si>
    <t>2022-10-03 12:55:22</t>
  </si>
  <si>
    <t>637</t>
  </si>
  <si>
    <t>2022-09-19 14:23:29</t>
  </si>
  <si>
    <t>19777</t>
  </si>
  <si>
    <t>1,742.78</t>
  </si>
  <si>
    <t>ZRJP_2023-19777_1-1</t>
  </si>
  <si>
    <t>2022-10-03 12:55:24</t>
  </si>
  <si>
    <t>638</t>
  </si>
  <si>
    <t>185/KD/R/23</t>
  </si>
  <si>
    <t>19776</t>
  </si>
  <si>
    <t>5073</t>
  </si>
  <si>
    <t>69411/0</t>
  </si>
  <si>
    <t>47.8</t>
  </si>
  <si>
    <t>17:50</t>
  </si>
  <si>
    <t>17:27 [O]</t>
  </si>
  <si>
    <t>ZRJP_2023-19776_1-1</t>
  </si>
  <si>
    <t>2022-10-31 16:50:44</t>
  </si>
  <si>
    <t>2022-10-13 09:50:04</t>
  </si>
  <si>
    <t>639</t>
  </si>
  <si>
    <t>19775</t>
  </si>
  <si>
    <t>ZRJP_2023-19775_1-1</t>
  </si>
  <si>
    <t>2022-10-13 09:50:10</t>
  </si>
  <si>
    <t>640</t>
  </si>
  <si>
    <t>19774</t>
  </si>
  <si>
    <t>ZRJP_2023-19774_1-1</t>
  </si>
  <si>
    <t>2022-10-13 09:50:06</t>
  </si>
  <si>
    <t>641</t>
  </si>
  <si>
    <t>2022-09-19 14:23:28</t>
  </si>
  <si>
    <t>19773</t>
  </si>
  <si>
    <t>ZRJP_2023-19773_1-1</t>
  </si>
  <si>
    <t>2022-10-13 09:50:08</t>
  </si>
  <si>
    <t>642</t>
  </si>
  <si>
    <t>19772</t>
  </si>
  <si>
    <t>11.III;  [kursuje/podstawa: 1/112]</t>
  </si>
  <si>
    <t>09:37 [O]</t>
  </si>
  <si>
    <t>ZRJP_2023-19772_1-1</t>
  </si>
  <si>
    <t>2022-10-24 12:01:05</t>
  </si>
  <si>
    <t>643</t>
  </si>
  <si>
    <t>19771</t>
  </si>
  <si>
    <t>21.I-5.III (6)(7);  [kursuje/podstawa: 14/112]</t>
  </si>
  <si>
    <t>868.34</t>
  </si>
  <si>
    <t>ZRJP_2023-19771_1-1</t>
  </si>
  <si>
    <t>2022-10-24 12:01:04</t>
  </si>
  <si>
    <t>644</t>
  </si>
  <si>
    <t>19770</t>
  </si>
  <si>
    <t>17.XII.22, 18.XII.22;  [kursuje/podstawa: 2/112]</t>
  </si>
  <si>
    <t>09:29 [O]</t>
  </si>
  <si>
    <t>ZRJP_2023-19770_1-1</t>
  </si>
  <si>
    <t>2022-10-24 12:01:00</t>
  </si>
  <si>
    <t>645</t>
  </si>
  <si>
    <t>2022-09-19 14:23:27</t>
  </si>
  <si>
    <t>19769</t>
  </si>
  <si>
    <t>24.XII.22-1.I (1)(6)(7); 6.I-8.I; 14.I, 15.I;  [kursuje/podstawa: 10/112]</t>
  </si>
  <si>
    <t>620.24</t>
  </si>
  <si>
    <t>ZRJP_2023-19769_1-1</t>
  </si>
  <si>
    <t>2022-10-24 12:01:02</t>
  </si>
  <si>
    <t>646</t>
  </si>
  <si>
    <t>182/KD/R/23</t>
  </si>
  <si>
    <t>19768</t>
  </si>
  <si>
    <t>5065</t>
  </si>
  <si>
    <t>69405/4</t>
  </si>
  <si>
    <t>104.058</t>
  </si>
  <si>
    <t>43.6</t>
  </si>
  <si>
    <t>17.I-10.III w (A);  [kursuje/podstawa: 39/252]</t>
  </si>
  <si>
    <t>4,058.26</t>
  </si>
  <si>
    <t>ZRJP_2023-19768_1-1</t>
  </si>
  <si>
    <t>2022-10-31 16:50:43</t>
  </si>
  <si>
    <t>2022-10-24 12:01:03</t>
  </si>
  <si>
    <t>647</t>
  </si>
  <si>
    <t>19767</t>
  </si>
  <si>
    <t>12.XII.22-16.XII.22;  [kursuje/podstawa: 5/252]</t>
  </si>
  <si>
    <t>520.29</t>
  </si>
  <si>
    <t>ZRJP_2023-19767_1-1</t>
  </si>
  <si>
    <t>2022-10-24 12:00:58</t>
  </si>
  <si>
    <t>648</t>
  </si>
  <si>
    <t>2022-09-19 14:23:26</t>
  </si>
  <si>
    <t>19766</t>
  </si>
  <si>
    <t>19.XII.22-16.I w (D);  [kursuje/podstawa: 19/252]</t>
  </si>
  <si>
    <t>1,977.10</t>
  </si>
  <si>
    <t>ZRJP_2023-19766_1-1</t>
  </si>
  <si>
    <t>2022-10-24 12:01:01</t>
  </si>
  <si>
    <t>649</t>
  </si>
  <si>
    <t>178/KD/R/23</t>
  </si>
  <si>
    <t>19765</t>
  </si>
  <si>
    <t>5040</t>
  </si>
  <si>
    <t>78.1</t>
  </si>
  <si>
    <t>72.4</t>
  </si>
  <si>
    <t>20:13</t>
  </si>
  <si>
    <t>20:01 [O]</t>
  </si>
  <si>
    <t>ZRJP_2023-19765_1-1</t>
  </si>
  <si>
    <t>2022-10-31 16:50:40</t>
  </si>
  <si>
    <t>2022-10-20 09:52:20</t>
  </si>
  <si>
    <t>650</t>
  </si>
  <si>
    <t>381/KD/R/23</t>
  </si>
  <si>
    <t>2022-09-19 14:22:44</t>
  </si>
  <si>
    <t>19590</t>
  </si>
  <si>
    <t>4767</t>
  </si>
  <si>
    <t>69381/0</t>
  </si>
  <si>
    <t>3,199.74</t>
  </si>
  <si>
    <t>22:58</t>
  </si>
  <si>
    <t>23:47</t>
  </si>
  <si>
    <t>23:40 [O]</t>
  </si>
  <si>
    <t>ZRJP_2023-19590_1-1</t>
  </si>
  <si>
    <t>2022-10-31 16:50:27</t>
  </si>
  <si>
    <t>2022-10-12 08:39:53</t>
  </si>
  <si>
    <t>651</t>
  </si>
  <si>
    <t>379/KD/R/23</t>
  </si>
  <si>
    <t>2022-09-19 14:22:42</t>
  </si>
  <si>
    <t>19585</t>
  </si>
  <si>
    <t>4743</t>
  </si>
  <si>
    <t>69377/6</t>
  </si>
  <si>
    <t>20:46</t>
  </si>
  <si>
    <t>20:34 [O]</t>
  </si>
  <si>
    <t>ZRJP_2023-19585_1-1</t>
  </si>
  <si>
    <t>2022-10-31 16:57:36</t>
  </si>
  <si>
    <t>2022-10-18 09:47:25</t>
  </si>
  <si>
    <t>652</t>
  </si>
  <si>
    <t>377/KD/R/23</t>
  </si>
  <si>
    <t>2022-09-19 14:22:40</t>
  </si>
  <si>
    <t>19578</t>
  </si>
  <si>
    <t>4738</t>
  </si>
  <si>
    <t>69373/2</t>
  </si>
  <si>
    <t>17:30</t>
  </si>
  <si>
    <t>18:28</t>
  </si>
  <si>
    <t>18:20 [O]</t>
  </si>
  <si>
    <t>ZRJP_2023-19578_1-1</t>
  </si>
  <si>
    <t>2022-10-31 16:50:57</t>
  </si>
  <si>
    <t>2022-10-31 12:15:51</t>
  </si>
  <si>
    <t>653</t>
  </si>
  <si>
    <t>375/KD/R/23</t>
  </si>
  <si>
    <t>19577</t>
  </si>
  <si>
    <t>4730</t>
  </si>
  <si>
    <t>ZRJP_2023-19577_1-1</t>
  </si>
  <si>
    <t>2022-10-31 16:50:53</t>
  </si>
  <si>
    <t>2022-10-12 08:35:00</t>
  </si>
  <si>
    <t>654</t>
  </si>
  <si>
    <t>372/KD/R/23</t>
  </si>
  <si>
    <t>2022-09-19 14:22:23</t>
  </si>
  <si>
    <t>19520</t>
  </si>
  <si>
    <t>4708</t>
  </si>
  <si>
    <t>69363/2</t>
  </si>
  <si>
    <t>11:22</t>
  </si>
  <si>
    <t>ZRJP_2023-19520_1-1</t>
  </si>
  <si>
    <t>2022-10-31 16:50:45</t>
  </si>
  <si>
    <t>2022-10-07 08:58:25</t>
  </si>
  <si>
    <t>655</t>
  </si>
  <si>
    <t>370/KD/R/23</t>
  </si>
  <si>
    <t>2022-09-19 14:22:20</t>
  </si>
  <si>
    <t>19512</t>
  </si>
  <si>
    <t>4690</t>
  </si>
  <si>
    <t>69359/8</t>
  </si>
  <si>
    <t>08:41</t>
  </si>
  <si>
    <t>09:34 [O]</t>
  </si>
  <si>
    <t>ZRJP_2023-19512_1-1</t>
  </si>
  <si>
    <t>2022-10-31 16:57:40</t>
  </si>
  <si>
    <t>2022-10-27 12:21:41</t>
  </si>
  <si>
    <t>656</t>
  </si>
  <si>
    <t>368/KD/R/23</t>
  </si>
  <si>
    <t>2022-09-19 14:22:19</t>
  </si>
  <si>
    <t>19511</t>
  </si>
  <si>
    <t>4685</t>
  </si>
  <si>
    <t>69355/4</t>
  </si>
  <si>
    <t>40.6</t>
  </si>
  <si>
    <t>ZRJP_2023-19511_1-1</t>
  </si>
  <si>
    <t>2022-10-27 09:31:58</t>
  </si>
  <si>
    <t>657</t>
  </si>
  <si>
    <t>19510</t>
  </si>
  <si>
    <t>ZRJP_2023-19510_1-1</t>
  </si>
  <si>
    <t>658</t>
  </si>
  <si>
    <t>364/KD/R/23</t>
  </si>
  <si>
    <t>2022-09-19 14:21:41</t>
  </si>
  <si>
    <t>19371</t>
  </si>
  <si>
    <t>4404</t>
  </si>
  <si>
    <t>69329/8</t>
  </si>
  <si>
    <t>41.4</t>
  </si>
  <si>
    <t>3,202.75</t>
  </si>
  <si>
    <t>22:46</t>
  </si>
  <si>
    <t>21:55 [O]</t>
  </si>
  <si>
    <t>ZRJP_2023-19371_1-1</t>
  </si>
  <si>
    <t>2022-10-31 16:57:44</t>
  </si>
  <si>
    <t>2022-10-31 15:02:03</t>
  </si>
  <si>
    <t>659</t>
  </si>
  <si>
    <t>362/KD/R/23</t>
  </si>
  <si>
    <t>2022-09-19 14:21:33</t>
  </si>
  <si>
    <t>19338</t>
  </si>
  <si>
    <t>4338</t>
  </si>
  <si>
    <t>69325/4</t>
  </si>
  <si>
    <t>ZRJP_2023-19338_1-1</t>
  </si>
  <si>
    <t>2022-10-31 16:57:43</t>
  </si>
  <si>
    <t>2022-10-12 12:12:57</t>
  </si>
  <si>
    <t>660</t>
  </si>
  <si>
    <t>360/KD/R/23</t>
  </si>
  <si>
    <t>2022-09-19 14:21:31</t>
  </si>
  <si>
    <t>19327</t>
  </si>
  <si>
    <t>4327</t>
  </si>
  <si>
    <t>69321/0</t>
  </si>
  <si>
    <t>17:09</t>
  </si>
  <si>
    <t>16:20 [O]</t>
  </si>
  <si>
    <t>ZRJP_2023-19327_1-1</t>
  </si>
  <si>
    <t>2022-10-12 08:30:51</t>
  </si>
  <si>
    <t>661</t>
  </si>
  <si>
    <t>358/KD/R/23</t>
  </si>
  <si>
    <t>19326</t>
  </si>
  <si>
    <t>4319</t>
  </si>
  <si>
    <t>14:07 [O]</t>
  </si>
  <si>
    <t>ZRJP_2023-19326_1-1</t>
  </si>
  <si>
    <t>2022-10-04 12:42:16</t>
  </si>
  <si>
    <t>662</t>
  </si>
  <si>
    <t>355/KD/R/23</t>
  </si>
  <si>
    <t>2022-09-19 14:21:30</t>
  </si>
  <si>
    <t>19324</t>
  </si>
  <si>
    <t>4308</t>
  </si>
  <si>
    <t>69311/0</t>
  </si>
  <si>
    <t>10:50</t>
  </si>
  <si>
    <t>10:00 [O]</t>
  </si>
  <si>
    <t>ZRJP_2023-19324_1-1</t>
  </si>
  <si>
    <t>2022-10-31 16:57:42</t>
  </si>
  <si>
    <t>2022-10-20 13:45:46</t>
  </si>
  <si>
    <t>663</t>
  </si>
  <si>
    <t>353/KD/R/23</t>
  </si>
  <si>
    <t>2022-09-19 14:21:29</t>
  </si>
  <si>
    <t>19318</t>
  </si>
  <si>
    <t>4283</t>
  </si>
  <si>
    <t>69307/6</t>
  </si>
  <si>
    <t>44.0</t>
  </si>
  <si>
    <t>08:17</t>
  </si>
  <si>
    <t>ZRJP_2023-19318_1-1</t>
  </si>
  <si>
    <t>2022-10-31 16:57:41</t>
  </si>
  <si>
    <t>2022-10-17 10:52:35</t>
  </si>
  <si>
    <t>664</t>
  </si>
  <si>
    <t>351/KD/R/23</t>
  </si>
  <si>
    <t>2022-09-19 14:21:26</t>
  </si>
  <si>
    <t>19300</t>
  </si>
  <si>
    <t>4273</t>
  </si>
  <si>
    <t>69303/2</t>
  </si>
  <si>
    <t>06:07</t>
  </si>
  <si>
    <t>05:21 [O]</t>
  </si>
  <si>
    <t>ZRJP_2023-19300_1-1</t>
  </si>
  <si>
    <t>2022-10-31 16:58:22</t>
  </si>
  <si>
    <t>2022-09-28 11:49:04</t>
  </si>
  <si>
    <t>665</t>
  </si>
  <si>
    <t>117/KD/R/23</t>
  </si>
  <si>
    <t>2022-09-19 14:21:01</t>
  </si>
  <si>
    <t>19196</t>
  </si>
  <si>
    <t>3829</t>
  </si>
  <si>
    <t>69932/3</t>
  </si>
  <si>
    <t>3,042.59</t>
  </si>
  <si>
    <t>23:22</t>
  </si>
  <si>
    <t>ZRJP_2023-19196_1-1</t>
  </si>
  <si>
    <t>2022-10-31 16:58:12</t>
  </si>
  <si>
    <t>666</t>
  </si>
  <si>
    <t>116/KD/R/23</t>
  </si>
  <si>
    <t>19195</t>
  </si>
  <si>
    <t>3828</t>
  </si>
  <si>
    <t>69930/1</t>
  </si>
  <si>
    <t>2,106.41</t>
  </si>
  <si>
    <t>20:52</t>
  </si>
  <si>
    <t>21:26 [O]</t>
  </si>
  <si>
    <t>ZRJP_2023-19195_1-1</t>
  </si>
  <si>
    <t>2022-10-26 12:03:43</t>
  </si>
  <si>
    <t>667</t>
  </si>
  <si>
    <t>115/KD/R/23</t>
  </si>
  <si>
    <t>2022-09-19 14:21:00</t>
  </si>
  <si>
    <t>19194</t>
  </si>
  <si>
    <t>3827</t>
  </si>
  <si>
    <t>69926/7</t>
  </si>
  <si>
    <t>20:28 [O]</t>
  </si>
  <si>
    <t>ZRJP_2023-19194_1-1</t>
  </si>
  <si>
    <t>2022-10-31 16:58:11</t>
  </si>
  <si>
    <t>2022-10-26 10:25:42</t>
  </si>
  <si>
    <t>668</t>
  </si>
  <si>
    <t>113/KD/R/23</t>
  </si>
  <si>
    <t>19193</t>
  </si>
  <si>
    <t>3825</t>
  </si>
  <si>
    <t>69924/5</t>
  </si>
  <si>
    <t>40.9</t>
  </si>
  <si>
    <t>18:52</t>
  </si>
  <si>
    <t>19:41</t>
  </si>
  <si>
    <t>19:29 [O]</t>
  </si>
  <si>
    <t>ZRJP_2023-19193_1-1</t>
  </si>
  <si>
    <t>2022-10-31 12:40:47</t>
  </si>
  <si>
    <t>669</t>
  </si>
  <si>
    <t>112/KD/R/23</t>
  </si>
  <si>
    <t>19192</t>
  </si>
  <si>
    <t>3824</t>
  </si>
  <si>
    <t>69922/3</t>
  </si>
  <si>
    <t>17:52</t>
  </si>
  <si>
    <t>18:38</t>
  </si>
  <si>
    <t>ZRJP_2023-19192_1-1</t>
  </si>
  <si>
    <t>2022-10-31 16:58:10</t>
  </si>
  <si>
    <t>2022-10-31 12:36:33</t>
  </si>
  <si>
    <t>670</t>
  </si>
  <si>
    <t>111/KD/R/23</t>
  </si>
  <si>
    <t>19191</t>
  </si>
  <si>
    <t>3823</t>
  </si>
  <si>
    <t>69920/1</t>
  </si>
  <si>
    <t>16:48</t>
  </si>
  <si>
    <t>ZRJP_2023-19191_1-1</t>
  </si>
  <si>
    <t>2022-10-10 12:32:42</t>
  </si>
  <si>
    <t>671</t>
  </si>
  <si>
    <t>110/KD/R/23</t>
  </si>
  <si>
    <t>19190</t>
  </si>
  <si>
    <t>3822</t>
  </si>
  <si>
    <t>69918/9</t>
  </si>
  <si>
    <t>ROM ROJ</t>
  </si>
  <si>
    <t>16:23</t>
  </si>
  <si>
    <t>ZRJP_2023-19190_1-1</t>
  </si>
  <si>
    <t>2022-10-31 16:58:09</t>
  </si>
  <si>
    <t>2022-10-10 12:34:17</t>
  </si>
  <si>
    <t>672</t>
  </si>
  <si>
    <t>109/KD/R/23</t>
  </si>
  <si>
    <t>19189</t>
  </si>
  <si>
    <t>3821</t>
  </si>
  <si>
    <t>69916/7</t>
  </si>
  <si>
    <t>15:21 [O]</t>
  </si>
  <si>
    <t>ZRJP_2023-19189_1-1</t>
  </si>
  <si>
    <t>2022-10-31 16:58:08</t>
  </si>
  <si>
    <t>2022-10-31 12:14:16</t>
  </si>
  <si>
    <t>673</t>
  </si>
  <si>
    <t>108/KD/R/23</t>
  </si>
  <si>
    <t>2022-09-19 14:19:25</t>
  </si>
  <si>
    <t>18868</t>
  </si>
  <si>
    <t>3447</t>
  </si>
  <si>
    <t>69914/5</t>
  </si>
  <si>
    <t>14:17</t>
  </si>
  <si>
    <t>ZRJP_2023-18868_1-1</t>
  </si>
  <si>
    <t>2022-10-31 16:59:00</t>
  </si>
  <si>
    <t>2022-10-27 12:14:51</t>
  </si>
  <si>
    <t>674</t>
  </si>
  <si>
    <t>107/KD/R/23</t>
  </si>
  <si>
    <t>18867</t>
  </si>
  <si>
    <t>3446</t>
  </si>
  <si>
    <t>69912/3</t>
  </si>
  <si>
    <t>51.4</t>
  </si>
  <si>
    <t>12:30</t>
  </si>
  <si>
    <t>13:14</t>
  </si>
  <si>
    <t>13:17 [O]</t>
  </si>
  <si>
    <t>ZRJP_2023-18867_1-1</t>
  </si>
  <si>
    <t>2022-10-05 14:29:11</t>
  </si>
  <si>
    <t>675</t>
  </si>
  <si>
    <t>106/KD/R/23</t>
  </si>
  <si>
    <t>18866</t>
  </si>
  <si>
    <t>3445</t>
  </si>
  <si>
    <t>69910/1</t>
  </si>
  <si>
    <t>10:37</t>
  </si>
  <si>
    <t>11:21</t>
  </si>
  <si>
    <t>ZRJP_2023-18866_1-1</t>
  </si>
  <si>
    <t>2022-10-31 16:58:59</t>
  </si>
  <si>
    <t>2022-09-30 13:27:55</t>
  </si>
  <si>
    <t>676</t>
  </si>
  <si>
    <t>105/KD/R23</t>
  </si>
  <si>
    <t>2022-09-19 14:19:24</t>
  </si>
  <si>
    <t>18864</t>
  </si>
  <si>
    <t>3443</t>
  </si>
  <si>
    <t>69908/9</t>
  </si>
  <si>
    <t>09:34</t>
  </si>
  <si>
    <t>ZRJP_2023-18864_1-1</t>
  </si>
  <si>
    <t>2022-10-26 09:09:34</t>
  </si>
  <si>
    <t>677</t>
  </si>
  <si>
    <t>104/KD/R/23</t>
  </si>
  <si>
    <t>18863</t>
  </si>
  <si>
    <t>3441</t>
  </si>
  <si>
    <t>69906/7</t>
  </si>
  <si>
    <t>50.4</t>
  </si>
  <si>
    <t>08:28</t>
  </si>
  <si>
    <t>ZRJP_2023-18863_1-1</t>
  </si>
  <si>
    <t>2022-10-31 16:58:58</t>
  </si>
  <si>
    <t>2022-09-30 08:09:27</t>
  </si>
  <si>
    <t>678</t>
  </si>
  <si>
    <t>101/KD/R/22</t>
  </si>
  <si>
    <t>2022-09-19 14:19:23</t>
  </si>
  <si>
    <t>18856</t>
  </si>
  <si>
    <t>3415</t>
  </si>
  <si>
    <t>ZRJP_2023-18856_1-1</t>
  </si>
  <si>
    <t>2022-10-31 16:58:55</t>
  </si>
  <si>
    <t>2022-10-31 13:33:44</t>
  </si>
  <si>
    <t>679</t>
  </si>
  <si>
    <t>99/KD/R/23</t>
  </si>
  <si>
    <t>18854</t>
  </si>
  <si>
    <t>3413</t>
  </si>
  <si>
    <t>69900/1</t>
  </si>
  <si>
    <t>05:15 [O]</t>
  </si>
  <si>
    <t>ZRJP_2023-18854_1-1</t>
  </si>
  <si>
    <t>2022-10-07 07:59:19</t>
  </si>
  <si>
    <t>680</t>
  </si>
  <si>
    <t>98/KD/R/23</t>
  </si>
  <si>
    <t>2022-09-19 14:19:19</t>
  </si>
  <si>
    <t>18841</t>
  </si>
  <si>
    <t>3406</t>
  </si>
  <si>
    <t>69971/0</t>
  </si>
  <si>
    <t>3,045.59</t>
  </si>
  <si>
    <t>23:13</t>
  </si>
  <si>
    <t>23:57</t>
  </si>
  <si>
    <t>23:07 [O]</t>
  </si>
  <si>
    <t>ZRJP_2023-18841_1-1</t>
  </si>
  <si>
    <t>2022-10-31 16:58:50</t>
  </si>
  <si>
    <t>2022-10-13 13:37:06</t>
  </si>
  <si>
    <t>681</t>
  </si>
  <si>
    <t>96/KD/R/23</t>
  </si>
  <si>
    <t>18837</t>
  </si>
  <si>
    <t>3403</t>
  </si>
  <si>
    <t>69967/6</t>
  </si>
  <si>
    <t>19:57 [O]</t>
  </si>
  <si>
    <t>ZRJP_2023-18837_1-1</t>
  </si>
  <si>
    <t>2022-10-31 16:58:49</t>
  </si>
  <si>
    <t>2022-10-31 12:12:28</t>
  </si>
  <si>
    <t>682</t>
  </si>
  <si>
    <t>95/KD/R/23</t>
  </si>
  <si>
    <t>2022-09-19 14:19:18</t>
  </si>
  <si>
    <t>18834</t>
  </si>
  <si>
    <t>3401</t>
  </si>
  <si>
    <t>52.4</t>
  </si>
  <si>
    <t>18:56 [O]</t>
  </si>
  <si>
    <t>ZRJP_2023-18834_1-1</t>
  </si>
  <si>
    <t>2022-10-31 16:58:48</t>
  </si>
  <si>
    <t>2022-10-31 12:41:26</t>
  </si>
  <si>
    <t>683</t>
  </si>
  <si>
    <t>93/KD/R/23</t>
  </si>
  <si>
    <t>2022-09-19 14:19:17</t>
  </si>
  <si>
    <t>18829</t>
  </si>
  <si>
    <t>3397</t>
  </si>
  <si>
    <t>69963/2</t>
  </si>
  <si>
    <t>18:01</t>
  </si>
  <si>
    <t>17:54 [O]</t>
  </si>
  <si>
    <t>ZRJP_2023-18829_1-1</t>
  </si>
  <si>
    <t>2022-10-31 16:58:44</t>
  </si>
  <si>
    <t>2022-10-31 12:37:07</t>
  </si>
  <si>
    <t>684</t>
  </si>
  <si>
    <t>92/KD/R/23</t>
  </si>
  <si>
    <t>18828</t>
  </si>
  <si>
    <t>3396</t>
  </si>
  <si>
    <t>69961/0</t>
  </si>
  <si>
    <t>17:41</t>
  </si>
  <si>
    <t>16:55 [O]</t>
  </si>
  <si>
    <t>ZRJP_2023-18828_1-1</t>
  </si>
  <si>
    <t>2022-10-05 14:14:08</t>
  </si>
  <si>
    <t>685</t>
  </si>
  <si>
    <t>91/KD/R/23</t>
  </si>
  <si>
    <t>18827</t>
  </si>
  <si>
    <t>3395</t>
  </si>
  <si>
    <t>69959/8</t>
  </si>
  <si>
    <t>16:39</t>
  </si>
  <si>
    <t>ZRJP_2023-18827_1-1</t>
  </si>
  <si>
    <t>2022-10-31 16:58:43</t>
  </si>
  <si>
    <t>2022-10-04 13:19:54</t>
  </si>
  <si>
    <t>686</t>
  </si>
  <si>
    <t>18826</t>
  </si>
  <si>
    <t>3,012.12</t>
  </si>
  <si>
    <t>ZRJP_2023-18826_1-1</t>
  </si>
  <si>
    <t>2022-10-10 12:37:56</t>
  </si>
  <si>
    <t>687</t>
  </si>
  <si>
    <t>18825</t>
  </si>
  <si>
    <t>12.XII.22; 14.XII.22-16.XII.22; 19.XII.22; 20.XII.22-30.XII.22 (2)(3)(4)(5); 2.I-12.I (1)(2)(3)(4); 13.I-10.III w (A);  [kursuje/podstawa: 62/252]</t>
  </si>
  <si>
    <t>2,075.02</t>
  </si>
  <si>
    <t>13:48 [O]</t>
  </si>
  <si>
    <t>ZRJP_2023-18825_1-1</t>
  </si>
  <si>
    <t>2022-10-31 12:30:15</t>
  </si>
  <si>
    <t>688</t>
  </si>
  <si>
    <t>88/KD/R/23</t>
  </si>
  <si>
    <t>2022-09-19 14:19:16</t>
  </si>
  <si>
    <t>18824</t>
  </si>
  <si>
    <t>3392</t>
  </si>
  <si>
    <t>69953/2</t>
  </si>
  <si>
    <t>12:42</t>
  </si>
  <si>
    <t>12:47 [O]</t>
  </si>
  <si>
    <t>ZRJP_2023-18824_1-1</t>
  </si>
  <si>
    <t>2022-10-27 11:14:48</t>
  </si>
  <si>
    <t>689</t>
  </si>
  <si>
    <t>85/KD/R/23</t>
  </si>
  <si>
    <t>18823</t>
  </si>
  <si>
    <t>3389</t>
  </si>
  <si>
    <t>69947/6</t>
  </si>
  <si>
    <t>08:37</t>
  </si>
  <si>
    <t>07:51 [O]</t>
  </si>
  <si>
    <t>ZRJP_2023-18823_1-1</t>
  </si>
  <si>
    <t>2022-09-30 08:11:28</t>
  </si>
  <si>
    <t>690</t>
  </si>
  <si>
    <t>84/KD/R/23</t>
  </si>
  <si>
    <t>18822</t>
  </si>
  <si>
    <t>3388</t>
  </si>
  <si>
    <t>69945/4</t>
  </si>
  <si>
    <t>ZRJP_2023-18822_1-1</t>
  </si>
  <si>
    <t>2022-10-31 16:58:42</t>
  </si>
  <si>
    <t>2022-09-30 08:03:34</t>
  </si>
  <si>
    <t>691</t>
  </si>
  <si>
    <t>83/KD/R/23</t>
  </si>
  <si>
    <t>18821</t>
  </si>
  <si>
    <t>3387</t>
  </si>
  <si>
    <t>69941/0</t>
  </si>
  <si>
    <t>05:28</t>
  </si>
  <si>
    <t>04:46 [O]</t>
  </si>
  <si>
    <t>ZRJP_2023-18821_1-1</t>
  </si>
  <si>
    <t>2022-10-31 13:29:30</t>
  </si>
  <si>
    <t>692</t>
  </si>
  <si>
    <t>82/KD/R/23</t>
  </si>
  <si>
    <t>18820</t>
  </si>
  <si>
    <t>3386</t>
  </si>
  <si>
    <t>40.2</t>
  </si>
  <si>
    <t>435.08</t>
  </si>
  <si>
    <t>05:50 [O]</t>
  </si>
  <si>
    <t>ZRJP_2023-18820_1-1</t>
  </si>
  <si>
    <t>2022-10-31 13:34:32</t>
  </si>
  <si>
    <t>693</t>
  </si>
  <si>
    <t>81/KD/R/23</t>
  </si>
  <si>
    <t>18819</t>
  </si>
  <si>
    <t>3385</t>
  </si>
  <si>
    <t>ZRJP_2023-18819_1-1</t>
  </si>
  <si>
    <t>2022-10-31 13:29:38</t>
  </si>
  <si>
    <t>694</t>
  </si>
  <si>
    <t>77/KD/R/23</t>
  </si>
  <si>
    <t>2022-09-19 14:18:56</t>
  </si>
  <si>
    <t>18751</t>
  </si>
  <si>
    <t>3260</t>
  </si>
  <si>
    <t>5842</t>
  </si>
  <si>
    <t>77.5</t>
  </si>
  <si>
    <t>05:25</t>
  </si>
  <si>
    <t>05:25 [O]</t>
  </si>
  <si>
    <t>ZRJP_2023-18751_1-1</t>
  </si>
  <si>
    <t>2022-10-31 16:59:20</t>
  </si>
  <si>
    <t>2022-09-29 14:22:10</t>
  </si>
  <si>
    <t>695</t>
  </si>
  <si>
    <t>72/KD/R/23</t>
  </si>
  <si>
    <t>2022-09-19 14:18:55</t>
  </si>
  <si>
    <t>18746</t>
  </si>
  <si>
    <t>3247</t>
  </si>
  <si>
    <t>5313</t>
  </si>
  <si>
    <t>53.2</t>
  </si>
  <si>
    <t>9,697.58</t>
  </si>
  <si>
    <t>19:39</t>
  </si>
  <si>
    <t>22:41</t>
  </si>
  <si>
    <t>GOERLITZ - WAŁBRZYCH GŁÓWNY</t>
  </si>
  <si>
    <t>22:03 [O]</t>
  </si>
  <si>
    <t>ZRJP_2023-18746_1-1</t>
  </si>
  <si>
    <t>2022-10-31 16:59:18</t>
  </si>
  <si>
    <t>2022-10-05 08:08:48</t>
  </si>
  <si>
    <t>696</t>
  </si>
  <si>
    <t>18745</t>
  </si>
  <si>
    <t>1,616.26</t>
  </si>
  <si>
    <t>21:39 [O]</t>
  </si>
  <si>
    <t>ZRJP_2023-18745_1-1</t>
  </si>
  <si>
    <t>2022-10-24 09:55:17</t>
  </si>
  <si>
    <t>697</t>
  </si>
  <si>
    <t>2022-09-19 14:18:53</t>
  </si>
  <si>
    <t>18733</t>
  </si>
  <si>
    <t>1,491.94</t>
  </si>
  <si>
    <t>ZRJP_2023-18733_1-1</t>
  </si>
  <si>
    <t>2022-10-27 14:41:05</t>
  </si>
  <si>
    <t>698</t>
  </si>
  <si>
    <t>18732</t>
  </si>
  <si>
    <t>ZRJP_2023-18732_1-1</t>
  </si>
  <si>
    <t>2022-10-27 14:41:03</t>
  </si>
  <si>
    <t>699</t>
  </si>
  <si>
    <t>56/KD/R/23</t>
  </si>
  <si>
    <t>2022-09-19 14:18:38</t>
  </si>
  <si>
    <t>18629</t>
  </si>
  <si>
    <t>3163</t>
  </si>
  <si>
    <t>25410</t>
  </si>
  <si>
    <t>18:16</t>
  </si>
  <si>
    <t>18:46</t>
  </si>
  <si>
    <t>TRUTNOV HL.N. - SĘDZISŁAW</t>
  </si>
  <si>
    <t>ZRJP_2023-18629_1-1</t>
  </si>
  <si>
    <t>2022-10-31 16:59:44</t>
  </si>
  <si>
    <t>2022-10-17 08:21:12</t>
  </si>
  <si>
    <t>700</t>
  </si>
  <si>
    <t>55/KD/R/23</t>
  </si>
  <si>
    <t>18626</t>
  </si>
  <si>
    <t>3160</t>
  </si>
  <si>
    <t>25406</t>
  </si>
  <si>
    <t>13:47</t>
  </si>
  <si>
    <t>ZRJP_2023-18626_1-1</t>
  </si>
  <si>
    <t>2022-09-20 13:38:33</t>
  </si>
  <si>
    <t>701</t>
  </si>
  <si>
    <t>54/KD/R/23</t>
  </si>
  <si>
    <t>18625</t>
  </si>
  <si>
    <t>3159</t>
  </si>
  <si>
    <t>25402</t>
  </si>
  <si>
    <t>09:47</t>
  </si>
  <si>
    <t>09:25 [O]</t>
  </si>
  <si>
    <t>ZRJP_2023-18625_1-1</t>
  </si>
  <si>
    <t>2022-09-20 13:36:32</t>
  </si>
  <si>
    <t>702</t>
  </si>
  <si>
    <t>29/KD/R/23</t>
  </si>
  <si>
    <t>2022-09-19 14:18:33</t>
  </si>
  <si>
    <t>18591</t>
  </si>
  <si>
    <t>3102</t>
  </si>
  <si>
    <t>25408</t>
  </si>
  <si>
    <t>16:10</t>
  </si>
  <si>
    <t>16:40</t>
  </si>
  <si>
    <t>KRALOVEC - SĘDZISŁAW</t>
  </si>
  <si>
    <t>ZRJP_2023-18591_1-1</t>
  </si>
  <si>
    <t>2022-09-20 13:39:27</t>
  </si>
  <si>
    <t>703</t>
  </si>
  <si>
    <t>27A/KD/R/23</t>
  </si>
  <si>
    <t>2022-09-19 14:18:32</t>
  </si>
  <si>
    <t>18589</t>
  </si>
  <si>
    <t>3100</t>
  </si>
  <si>
    <t>25400</t>
  </si>
  <si>
    <t>06:04</t>
  </si>
  <si>
    <t>06:34</t>
  </si>
  <si>
    <t>06:12 [O]</t>
  </si>
  <si>
    <t>ZRJP_2023-18589_1-1</t>
  </si>
  <si>
    <t>2022-10-31 16:59:43</t>
  </si>
  <si>
    <t>2022-09-20 13:34:35</t>
  </si>
  <si>
    <t>704</t>
  </si>
  <si>
    <t>28/KD/R/23</t>
  </si>
  <si>
    <t>18588</t>
  </si>
  <si>
    <t>3098</t>
  </si>
  <si>
    <t>25404</t>
  </si>
  <si>
    <t>11:17</t>
  </si>
  <si>
    <t>11:47</t>
  </si>
  <si>
    <t>ZRJP_2023-18588_1-1</t>
  </si>
  <si>
    <t>2022-09-20 13:37:45</t>
  </si>
  <si>
    <t>705</t>
  </si>
  <si>
    <t>26/KD/R/23</t>
  </si>
  <si>
    <t>18586</t>
  </si>
  <si>
    <t>3090</t>
  </si>
  <si>
    <t>25411</t>
  </si>
  <si>
    <t>SĘDZISŁAW - TRUTNOV HL.N.</t>
  </si>
  <si>
    <t>ZRJP_2023-18586_1-1</t>
  </si>
  <si>
    <t>2022-10-17 08:21:45</t>
  </si>
  <si>
    <t>706</t>
  </si>
  <si>
    <t>25/KD/R/23</t>
  </si>
  <si>
    <t>2022-09-19 14:18:31</t>
  </si>
  <si>
    <t>18585</t>
  </si>
  <si>
    <t>3089</t>
  </si>
  <si>
    <t>11.XII.22-11.III ;  [kursuje/podstawa: 91/208]</t>
  </si>
  <si>
    <t>ZRJP_2023-18585_1-1</t>
  </si>
  <si>
    <t>2022-10-17 08:16:32</t>
  </si>
  <si>
    <t>707</t>
  </si>
  <si>
    <t>24/KD/R/23</t>
  </si>
  <si>
    <t>18584</t>
  </si>
  <si>
    <t>3088</t>
  </si>
  <si>
    <t>25407</t>
  </si>
  <si>
    <t>15:10 [O]</t>
  </si>
  <si>
    <t>ZRJP_2023-18584_1-1</t>
  </si>
  <si>
    <t>2022-10-31 16:59:42</t>
  </si>
  <si>
    <t>2022-09-20 13:39:16</t>
  </si>
  <si>
    <t>708</t>
  </si>
  <si>
    <t>18583</t>
  </si>
  <si>
    <t>11.XII.22-26.II ;  [kursuje/podstawa: 78/208]</t>
  </si>
  <si>
    <t>1,599.00</t>
  </si>
  <si>
    <t>12:14 [O]</t>
  </si>
  <si>
    <t>ZRJP_2023-18583_1-1</t>
  </si>
  <si>
    <t>2022-10-26 08:23:08</t>
  </si>
  <si>
    <t>709</t>
  </si>
  <si>
    <t>2022-09-19 14:18:30</t>
  </si>
  <si>
    <t>18582</t>
  </si>
  <si>
    <t>10:07 [O]</t>
  </si>
  <si>
    <t>ZRJP_2023-18582_1-1</t>
  </si>
  <si>
    <t>2022-10-25 14:22:50</t>
  </si>
  <si>
    <t>710</t>
  </si>
  <si>
    <t>59/PT/KD/23</t>
  </si>
  <si>
    <t>2022-09-16 07:37:48</t>
  </si>
  <si>
    <t>PLK004605</t>
  </si>
  <si>
    <t>18142</t>
  </si>
  <si>
    <t>15265</t>
  </si>
  <si>
    <t>60209/8</t>
  </si>
  <si>
    <t>ŚLĘŻA</t>
  </si>
  <si>
    <t>84.529</t>
  </si>
  <si>
    <t>44.1</t>
  </si>
  <si>
    <t>2,366.81</t>
  </si>
  <si>
    <t>12:31 [O]</t>
  </si>
  <si>
    <t>ZRJP_2023-18142_1-1</t>
  </si>
  <si>
    <t>2022-10-31 16:51:37</t>
  </si>
  <si>
    <t>2022-10-05 08:39:01</t>
  </si>
  <si>
    <t>711</t>
  </si>
  <si>
    <t>57/PT/KD/23</t>
  </si>
  <si>
    <t>2022-09-16 07:37:47</t>
  </si>
  <si>
    <t>18141</t>
  </si>
  <si>
    <t>15263</t>
  </si>
  <si>
    <t>60.500</t>
  </si>
  <si>
    <t>54.2</t>
  </si>
  <si>
    <t>1,694.00</t>
  </si>
  <si>
    <t>14:03 [O]</t>
  </si>
  <si>
    <t>ZRJP_2023-18141_1-1</t>
  </si>
  <si>
    <t>2022-10-31 16:51:34</t>
  </si>
  <si>
    <t>2022-09-26 13:59:23</t>
  </si>
  <si>
    <t>712</t>
  </si>
  <si>
    <t>339/KD/R/23</t>
  </si>
  <si>
    <t>2022-09-16 07:36:25</t>
  </si>
  <si>
    <t>17762</t>
  </si>
  <si>
    <t>13348</t>
  </si>
  <si>
    <t>129.950</t>
  </si>
  <si>
    <t>67.5</t>
  </si>
  <si>
    <t>8,186.85</t>
  </si>
  <si>
    <t>20:23 [O]</t>
  </si>
  <si>
    <t>ZRJP_2023-17762_1-1</t>
  </si>
  <si>
    <t>2022-10-31 16:54:15</t>
  </si>
  <si>
    <t>2022-09-29 11:31:31</t>
  </si>
  <si>
    <t>713</t>
  </si>
  <si>
    <t>490/KD/R/23</t>
  </si>
  <si>
    <t>2022-09-16 07:35:50</t>
  </si>
  <si>
    <t>17623</t>
  </si>
  <si>
    <t>11990</t>
  </si>
  <si>
    <t>WIEŻYCA</t>
  </si>
  <si>
    <t>70.469</t>
  </si>
  <si>
    <t>5,496.58</t>
  </si>
  <si>
    <t>20:44</t>
  </si>
  <si>
    <t>Jaworzyna Śląska</t>
  </si>
  <si>
    <t>21:53</t>
  </si>
  <si>
    <t>20:44 [O]</t>
  </si>
  <si>
    <t>ZRJP_2023-17623_1-1</t>
  </si>
  <si>
    <t>2022-10-31 16:53:57</t>
  </si>
  <si>
    <t>2022-09-26 14:16:25</t>
  </si>
  <si>
    <t>714</t>
  </si>
  <si>
    <t>489/KD/R/23</t>
  </si>
  <si>
    <t>17622</t>
  </si>
  <si>
    <t>11973</t>
  </si>
  <si>
    <t>53.4</t>
  </si>
  <si>
    <t>5,505.50</t>
  </si>
  <si>
    <t>19:58</t>
  </si>
  <si>
    <t>ZRJP_2023-17622_1-1</t>
  </si>
  <si>
    <t>2022-10-13 12:30:13</t>
  </si>
  <si>
    <t>715</t>
  </si>
  <si>
    <t>488/KD/R/23</t>
  </si>
  <si>
    <t>17621</t>
  </si>
  <si>
    <t>11972</t>
  </si>
  <si>
    <t>96.037</t>
  </si>
  <si>
    <t>59.1</t>
  </si>
  <si>
    <t>8,739.37</t>
  </si>
  <si>
    <t>ZRJP_2023-17621_1-1</t>
  </si>
  <si>
    <t>2022-10-05 14:37:33</t>
  </si>
  <si>
    <t>716</t>
  </si>
  <si>
    <t>487/KD/R/23</t>
  </si>
  <si>
    <t>2022-09-16 07:35:49</t>
  </si>
  <si>
    <t>17620</t>
  </si>
  <si>
    <t>11970</t>
  </si>
  <si>
    <t>59.5</t>
  </si>
  <si>
    <t>15:40 [O]</t>
  </si>
  <si>
    <t>ZRJP_2023-17620_1-1</t>
  </si>
  <si>
    <t>2022-10-31 16:53:56</t>
  </si>
  <si>
    <t>2022-10-20 12:19:00</t>
  </si>
  <si>
    <t>717</t>
  </si>
  <si>
    <t>486/KD/R/23</t>
  </si>
  <si>
    <t>17618</t>
  </si>
  <si>
    <t>11967</t>
  </si>
  <si>
    <t>3,811.50</t>
  </si>
  <si>
    <t>ZRJP_2023-17618_1-1</t>
  </si>
  <si>
    <t>2022-09-26 13:59:26</t>
  </si>
  <si>
    <t>718</t>
  </si>
  <si>
    <t>292/KD/R/23</t>
  </si>
  <si>
    <t>17617</t>
  </si>
  <si>
    <t>11966</t>
  </si>
  <si>
    <t>16:58</t>
  </si>
  <si>
    <t>18:07</t>
  </si>
  <si>
    <t>ZRJP_2023-17617_1-1</t>
  </si>
  <si>
    <t>2022-10-31 16:53:55</t>
  </si>
  <si>
    <t>2022-10-20 12:18:49</t>
  </si>
  <si>
    <t>719</t>
  </si>
  <si>
    <t>484/KD/R/23</t>
  </si>
  <si>
    <t>2022-09-16 07:35:48</t>
  </si>
  <si>
    <t>17616</t>
  </si>
  <si>
    <t>11962</t>
  </si>
  <si>
    <t>12:33</t>
  </si>
  <si>
    <t>ZRJP_2023-17616_1-1</t>
  </si>
  <si>
    <t>2022-10-20 09:53:35</t>
  </si>
  <si>
    <t>720</t>
  </si>
  <si>
    <t>290/KD/R/23</t>
  </si>
  <si>
    <t>17615</t>
  </si>
  <si>
    <t>11959</t>
  </si>
  <si>
    <t>BORSUK</t>
  </si>
  <si>
    <t>71.7</t>
  </si>
  <si>
    <t>11.XII.22-11.III w (C);  [kursuje/podstawa: 28/62]</t>
  </si>
  <si>
    <t>16:25</t>
  </si>
  <si>
    <t>15:28 [O]</t>
  </si>
  <si>
    <t>ZRJP_2023-17615_1-1</t>
  </si>
  <si>
    <t>2022-10-31 16:53:54</t>
  </si>
  <si>
    <t>2022-09-26 14:04:31</t>
  </si>
  <si>
    <t>721</t>
  </si>
  <si>
    <t>289/KD/R/23</t>
  </si>
  <si>
    <t>17614</t>
  </si>
  <si>
    <t>11953</t>
  </si>
  <si>
    <t>15:20</t>
  </si>
  <si>
    <t>15:20 [O]</t>
  </si>
  <si>
    <t>ZRJP_2023-17614_1-1</t>
  </si>
  <si>
    <t>2022-09-26 14:04:35</t>
  </si>
  <si>
    <t>722</t>
  </si>
  <si>
    <t>482/KD/R/23</t>
  </si>
  <si>
    <t>17613</t>
  </si>
  <si>
    <t>11947</t>
  </si>
  <si>
    <t>17.XII.22-11.III (6);  [kursuje/podstawa: 13/364]</t>
  </si>
  <si>
    <t>786.50</t>
  </si>
  <si>
    <t>07:31 [O]</t>
  </si>
  <si>
    <t>ZRJP_2023-17613_1-1</t>
  </si>
  <si>
    <t>2022-10-31 16:53:53</t>
  </si>
  <si>
    <t>2022-09-29 10:38:43</t>
  </si>
  <si>
    <t>723</t>
  </si>
  <si>
    <t>288/KD/R/23</t>
  </si>
  <si>
    <t>2022-09-16 07:35:47</t>
  </si>
  <si>
    <t>17612</t>
  </si>
  <si>
    <t>11946</t>
  </si>
  <si>
    <t>61.5</t>
  </si>
  <si>
    <t>13:53</t>
  </si>
  <si>
    <t>ZRJP_2023-17612_1-1</t>
  </si>
  <si>
    <t>2022-09-26 13:53:27</t>
  </si>
  <si>
    <t>724</t>
  </si>
  <si>
    <t>286/KD/R/23</t>
  </si>
  <si>
    <t>17611</t>
  </si>
  <si>
    <t>11922</t>
  </si>
  <si>
    <t>10:11</t>
  </si>
  <si>
    <t>ZRJP_2023-17611_1-1</t>
  </si>
  <si>
    <t>2022-10-31 16:53:43</t>
  </si>
  <si>
    <t>2022-10-25 09:24:52</t>
  </si>
  <si>
    <t>725</t>
  </si>
  <si>
    <t>285/KD/R/23</t>
  </si>
  <si>
    <t>17610</t>
  </si>
  <si>
    <t>11920</t>
  </si>
  <si>
    <t>71.9</t>
  </si>
  <si>
    <t>ZRJP_2023-17610_1-1</t>
  </si>
  <si>
    <t>2022-10-31 16:53:41</t>
  </si>
  <si>
    <t>2022-09-26 13:03:05</t>
  </si>
  <si>
    <t>726</t>
  </si>
  <si>
    <t>284/KD/R/23</t>
  </si>
  <si>
    <t>2022-09-16 07:35:46</t>
  </si>
  <si>
    <t>17609</t>
  </si>
  <si>
    <t>11917</t>
  </si>
  <si>
    <t>46.8</t>
  </si>
  <si>
    <t>07:21</t>
  </si>
  <si>
    <t>ZRJP_2023-17609_1-1</t>
  </si>
  <si>
    <t>2022-10-31 16:53:38</t>
  </si>
  <si>
    <t>2022-10-20 12:16:44</t>
  </si>
  <si>
    <t>727</t>
  </si>
  <si>
    <t>481/KD/R/23</t>
  </si>
  <si>
    <t>17608</t>
  </si>
  <si>
    <t>11914</t>
  </si>
  <si>
    <t>06:31 [O]</t>
  </si>
  <si>
    <t>ZRJP_2023-17608_1-1</t>
  </si>
  <si>
    <t>2022-10-31 16:53:37</t>
  </si>
  <si>
    <t>2022-09-26 12:50:59</t>
  </si>
  <si>
    <t>728</t>
  </si>
  <si>
    <t>283/KD/R/23</t>
  </si>
  <si>
    <t>17607</t>
  </si>
  <si>
    <t>11911</t>
  </si>
  <si>
    <t>05:00 [O]</t>
  </si>
  <si>
    <t>ZRJP_2023-17607_1-1</t>
  </si>
  <si>
    <t>2022-10-20 12:15:22</t>
  </si>
  <si>
    <t>729</t>
  </si>
  <si>
    <t>224/KD/R/23</t>
  </si>
  <si>
    <t>2022-09-16 07:33:57</t>
  </si>
  <si>
    <t>17192</t>
  </si>
  <si>
    <t>8502</t>
  </si>
  <si>
    <t>8,506.50</t>
  </si>
  <si>
    <t>23:02</t>
  </si>
  <si>
    <t>[1] 00:31</t>
  </si>
  <si>
    <t>22:59 [O]</t>
  </si>
  <si>
    <t>ZRJP_2023-17192_1-1</t>
  </si>
  <si>
    <t>2022-10-31 16:54:28</t>
  </si>
  <si>
    <t>2022-10-03 10:43:39</t>
  </si>
  <si>
    <t>730</t>
  </si>
  <si>
    <t>223/KD/R/23</t>
  </si>
  <si>
    <t>17190</t>
  </si>
  <si>
    <t>8478</t>
  </si>
  <si>
    <t>69.8</t>
  </si>
  <si>
    <t>ZRJP_2023-17190_1-1</t>
  </si>
  <si>
    <t>2022-10-31 16:54:26</t>
  </si>
  <si>
    <t>2022-10-03 13:28:21</t>
  </si>
  <si>
    <t>731</t>
  </si>
  <si>
    <t>222/KD/R/23</t>
  </si>
  <si>
    <t>2022-09-16 07:33:56</t>
  </si>
  <si>
    <t>17187</t>
  </si>
  <si>
    <t>8463</t>
  </si>
  <si>
    <t>3,638.60</t>
  </si>
  <si>
    <t>ZRJP_2023-17187_1-1</t>
  </si>
  <si>
    <t>2022-09-29 11:31:30</t>
  </si>
  <si>
    <t>732</t>
  </si>
  <si>
    <t>220/KD/R/23</t>
  </si>
  <si>
    <t>17184</t>
  </si>
  <si>
    <t>8428</t>
  </si>
  <si>
    <t>59.0</t>
  </si>
  <si>
    <t>18:56</t>
  </si>
  <si>
    <t>18:51 [O]</t>
  </si>
  <si>
    <t>ZRJP_2023-17184_1-1</t>
  </si>
  <si>
    <t>2022-10-31 16:54:25</t>
  </si>
  <si>
    <t>2022-10-13 12:00:25</t>
  </si>
  <si>
    <t>733</t>
  </si>
  <si>
    <t>214/KD/R/23</t>
  </si>
  <si>
    <t>2022-09-16 07:32:58</t>
  </si>
  <si>
    <t>17027</t>
  </si>
  <si>
    <t>7753</t>
  </si>
  <si>
    <t>10,136.10</t>
  </si>
  <si>
    <t>ZRJP_2023-17027_1-1</t>
  </si>
  <si>
    <t>2022-10-31 16:55:38</t>
  </si>
  <si>
    <t>2022-10-14 09:31:21</t>
  </si>
  <si>
    <t>734</t>
  </si>
  <si>
    <t>213/KD/R/23</t>
  </si>
  <si>
    <t>2022-09-16 07:32:56</t>
  </si>
  <si>
    <t>17017</t>
  </si>
  <si>
    <t>7731</t>
  </si>
  <si>
    <t>36.984</t>
  </si>
  <si>
    <t>2,329.99</t>
  </si>
  <si>
    <t>14:39</t>
  </si>
  <si>
    <t>14:41 [O]</t>
  </si>
  <si>
    <t>ZRJP_2023-17017_1-1</t>
  </si>
  <si>
    <t>2022-10-18 11:59:55</t>
  </si>
  <si>
    <t>735</t>
  </si>
  <si>
    <t>211/KD/R/23</t>
  </si>
  <si>
    <t>2022-09-16 07:32:53</t>
  </si>
  <si>
    <t>17010</t>
  </si>
  <si>
    <t>7718</t>
  </si>
  <si>
    <t>5,238.14</t>
  </si>
  <si>
    <t>12:28</t>
  </si>
  <si>
    <t>ZRJP_2023-17010_1-1</t>
  </si>
  <si>
    <t>2022-10-31 16:55:37</t>
  </si>
  <si>
    <t>2022-10-25 09:54:13</t>
  </si>
  <si>
    <t>736</t>
  </si>
  <si>
    <t>2022-09-16 07:32:49</t>
  </si>
  <si>
    <t>19.XII.22-10.III w (D);  [kursuje/podstawa: 58/252]</t>
  </si>
  <si>
    <t>3,338.77</t>
  </si>
  <si>
    <t>13:21 [O]</t>
  </si>
  <si>
    <t>ZRJP_2023-16999_1-1</t>
  </si>
  <si>
    <t>2022-09-20 14:37:10</t>
  </si>
  <si>
    <t>737</t>
  </si>
  <si>
    <t>206/KD/R/23</t>
  </si>
  <si>
    <t>2022-09-16 07:32:47</t>
  </si>
  <si>
    <t>16984</t>
  </si>
  <si>
    <t>7654</t>
  </si>
  <si>
    <t>3,877.94</t>
  </si>
  <si>
    <t>WROCŁAW GŁÓWNY - LICHKOV</t>
  </si>
  <si>
    <t>08:14 [O]</t>
  </si>
  <si>
    <t>ZRJP_2023-16984_1-1</t>
  </si>
  <si>
    <t>2022-09-20 13:43:10</t>
  </si>
  <si>
    <t>738</t>
  </si>
  <si>
    <t>204A/KD/R/23</t>
  </si>
  <si>
    <t>2022-09-16 07:32:33</t>
  </si>
  <si>
    <t>16935</t>
  </si>
  <si>
    <t>7204</t>
  </si>
  <si>
    <t>6281</t>
  </si>
  <si>
    <t>69.5</t>
  </si>
  <si>
    <t>08:23</t>
  </si>
  <si>
    <t>ZRJP_2023-16935_1-1</t>
  </si>
  <si>
    <t>2022-10-31 16:55:36</t>
  </si>
  <si>
    <t>2022-10-11 11:13:38</t>
  </si>
  <si>
    <t>739</t>
  </si>
  <si>
    <t>190/KD/R/23</t>
  </si>
  <si>
    <t>2022-09-16 07:31:23</t>
  </si>
  <si>
    <t>16612</t>
  </si>
  <si>
    <t>5080</t>
  </si>
  <si>
    <t>KD SPRINTER BŁĘDNE SKAŁY</t>
  </si>
  <si>
    <t>137.440</t>
  </si>
  <si>
    <t>12,507.04</t>
  </si>
  <si>
    <t>20:18</t>
  </si>
  <si>
    <t>ZRJP_2023-16612_1-1</t>
  </si>
  <si>
    <t>2022-10-31 16:55:45</t>
  </si>
  <si>
    <t>2022-10-03 10:47:42</t>
  </si>
  <si>
    <t>740</t>
  </si>
  <si>
    <t>189/KD/R/23</t>
  </si>
  <si>
    <t>16611</t>
  </si>
  <si>
    <t>5079</t>
  </si>
  <si>
    <t>KD SPRINTER SZCZELINIEC</t>
  </si>
  <si>
    <t>3,848.32</t>
  </si>
  <si>
    <t>07:56</t>
  </si>
  <si>
    <t>10:32</t>
  </si>
  <si>
    <t>ZRJP_2023-16611_1-1</t>
  </si>
  <si>
    <t>2022-09-29 08:17:18</t>
  </si>
  <si>
    <t>741</t>
  </si>
  <si>
    <t>2022-09-16 07:31:22</t>
  </si>
  <si>
    <t>14,985.14</t>
  </si>
  <si>
    <t>17:58 [O]</t>
  </si>
  <si>
    <t>ZRJP_2023-16606_1-1</t>
  </si>
  <si>
    <t>2022-09-26 14:34:42</t>
  </si>
  <si>
    <t>742</t>
  </si>
  <si>
    <t>2022-09-16 07:31:21</t>
  </si>
  <si>
    <t>9,281.68</t>
  </si>
  <si>
    <t>ZRJP_2023-16605_1-1</t>
  </si>
  <si>
    <t>2022-10-31 16:38:13</t>
  </si>
  <si>
    <t>2022-10-03 12:41:23</t>
  </si>
  <si>
    <t>743</t>
  </si>
  <si>
    <t>11,328.18</t>
  </si>
  <si>
    <t>ZRJP_2023-16603_1-1</t>
  </si>
  <si>
    <t>2022-10-31 16:38:11</t>
  </si>
  <si>
    <t>2022-10-24 14:27:53</t>
  </si>
  <si>
    <t>744</t>
  </si>
  <si>
    <t>14,640.66</t>
  </si>
  <si>
    <t>11:39 [O]</t>
  </si>
  <si>
    <t>ZRJP_2023-16601_1-1</t>
  </si>
  <si>
    <t>2022-10-05 08:25:28</t>
  </si>
  <si>
    <t>745</t>
  </si>
  <si>
    <t>17.XII.22-11.III w (C);  [kursuje/podstawa: 27/112]</t>
  </si>
  <si>
    <t>3,515.64</t>
  </si>
  <si>
    <t>11:09 [O]</t>
  </si>
  <si>
    <t>ZRJP_2023-16600_1-1</t>
  </si>
  <si>
    <t>2022-10-31 16:38:07</t>
  </si>
  <si>
    <t>2022-09-26 10:40:51</t>
  </si>
  <si>
    <t>746</t>
  </si>
  <si>
    <t>6,294.47</t>
  </si>
  <si>
    <t>11:35 [O]</t>
  </si>
  <si>
    <t>ZRJP_2023-16599_1-1</t>
  </si>
  <si>
    <t>2022-10-31 16:38:03</t>
  </si>
  <si>
    <t>2022-09-26 10:40:50</t>
  </si>
  <si>
    <t>747</t>
  </si>
  <si>
    <t>2022-09-16 07:31:20</t>
  </si>
  <si>
    <t>ZRJP_2023-16598_1-1</t>
  </si>
  <si>
    <t>2022-10-25 13:46:00</t>
  </si>
  <si>
    <t>748</t>
  </si>
  <si>
    <t>2,880.52</t>
  </si>
  <si>
    <t>ZRJP_2023-16597_1-1</t>
  </si>
  <si>
    <t>2022-10-25 13:46:03</t>
  </si>
  <si>
    <t>749</t>
  </si>
  <si>
    <t>ZRJP_2023-16596_1-1</t>
  </si>
  <si>
    <t>2022-10-14 13:38:22</t>
  </si>
  <si>
    <t>750</t>
  </si>
  <si>
    <t>06:30 [O]</t>
  </si>
  <si>
    <t>ZRJP_2023-16594_1-1</t>
  </si>
  <si>
    <t>2022-10-31 16:37:57</t>
  </si>
  <si>
    <t>2022-10-14 13:38:21</t>
  </si>
  <si>
    <t>751</t>
  </si>
  <si>
    <t>162/KD/R/23</t>
  </si>
  <si>
    <t>16593</t>
  </si>
  <si>
    <t>4966</t>
  </si>
  <si>
    <t>69800/1</t>
  </si>
  <si>
    <t>53.190</t>
  </si>
  <si>
    <t>3,350.97</t>
  </si>
  <si>
    <t>Dzierżoniów Śląski</t>
  </si>
  <si>
    <t>ZRJP_2023-16593_1-1</t>
  </si>
  <si>
    <t>2022-10-31 16:55:43</t>
  </si>
  <si>
    <t>2022-09-26 10:01:26</t>
  </si>
  <si>
    <t>752</t>
  </si>
  <si>
    <t>2022-09-16 07:31:07</t>
  </si>
  <si>
    <t>ZRJP_2023-16537_1-1</t>
  </si>
  <si>
    <t>2022-09-29 12:09:41</t>
  </si>
  <si>
    <t>753</t>
  </si>
  <si>
    <t>ZRJP_2023-16536_1-1</t>
  </si>
  <si>
    <t>2022-09-26 12:26:34</t>
  </si>
  <si>
    <t>754</t>
  </si>
  <si>
    <t>14,812.90</t>
  </si>
  <si>
    <t>ZRJP_2023-16534_1-1</t>
  </si>
  <si>
    <t>2022-10-10 07:45:26</t>
  </si>
  <si>
    <t>755</t>
  </si>
  <si>
    <t>11,197.97</t>
  </si>
  <si>
    <t>13:01 [O]</t>
  </si>
  <si>
    <t>ZRJP_2023-16533_1-1</t>
  </si>
  <si>
    <t>2022-10-25 13:45:54</t>
  </si>
  <si>
    <t>756</t>
  </si>
  <si>
    <t>2022-09-16 07:31:06</t>
  </si>
  <si>
    <t>ZRJP_2023-16532_1-1</t>
  </si>
  <si>
    <t>2022-10-31 16:38:44</t>
  </si>
  <si>
    <t>2022-10-27 13:47:37</t>
  </si>
  <si>
    <t>757</t>
  </si>
  <si>
    <t>4,650.56</t>
  </si>
  <si>
    <t>ZRJP_2023-16531_1-1</t>
  </si>
  <si>
    <t>2022-10-24 13:07:15</t>
  </si>
  <si>
    <t>758</t>
  </si>
  <si>
    <t>ZRJP_2023-16530_1-1</t>
  </si>
  <si>
    <t>2022-10-31 16:38:41</t>
  </si>
  <si>
    <t>2022-10-14 14:19:16</t>
  </si>
  <si>
    <t>759</t>
  </si>
  <si>
    <t>ZRJP_2023-16529_1-1</t>
  </si>
  <si>
    <t>2022-10-14 14:19:14</t>
  </si>
  <si>
    <t>760</t>
  </si>
  <si>
    <t>146/KD/R/23</t>
  </si>
  <si>
    <t>16528</t>
  </si>
  <si>
    <t>4675</t>
  </si>
  <si>
    <t>31.595</t>
  </si>
  <si>
    <t>46.9</t>
  </si>
  <si>
    <t>1,990.49</t>
  </si>
  <si>
    <t>05:26</t>
  </si>
  <si>
    <t>05:26 [O]</t>
  </si>
  <si>
    <t>ZRJP_2023-16528_1-1</t>
  </si>
  <si>
    <t>2022-10-31 16:56:10</t>
  </si>
  <si>
    <t>2022-09-26 10:02:02</t>
  </si>
  <si>
    <t>761</t>
  </si>
  <si>
    <t>145/KD/R/23</t>
  </si>
  <si>
    <t>2022-09-16 07:30:25</t>
  </si>
  <si>
    <t>16321</t>
  </si>
  <si>
    <t>4033</t>
  </si>
  <si>
    <t>60261/0</t>
  </si>
  <si>
    <t>7,692.14</t>
  </si>
  <si>
    <t>17:39 [O]</t>
  </si>
  <si>
    <t>ZRJP_2023-16321_1-1</t>
  </si>
  <si>
    <t>2022-10-31 16:56:02</t>
  </si>
  <si>
    <t>2022-10-13 12:30:16</t>
  </si>
  <si>
    <t>762</t>
  </si>
  <si>
    <t>144/KD/R/23</t>
  </si>
  <si>
    <t>16319</t>
  </si>
  <si>
    <t>4028</t>
  </si>
  <si>
    <t>60253/2</t>
  </si>
  <si>
    <t>15:30</t>
  </si>
  <si>
    <t>ZRJP_2023-16319_1-1</t>
  </si>
  <si>
    <t>2022-09-26 13:57:20</t>
  </si>
  <si>
    <t>763</t>
  </si>
  <si>
    <t>138/KD/R/23</t>
  </si>
  <si>
    <t>2022-09-16 07:30:17</t>
  </si>
  <si>
    <t>16254</t>
  </si>
  <si>
    <t>3944</t>
  </si>
  <si>
    <t>6.048</t>
  </si>
  <si>
    <t>45.4</t>
  </si>
  <si>
    <t>550.37</t>
  </si>
  <si>
    <t>23:15</t>
  </si>
  <si>
    <t>ZRJP_2023-16254_1-1</t>
  </si>
  <si>
    <t>2022-10-31 16:56:41</t>
  </si>
  <si>
    <t>2022-10-21 10:44:04</t>
  </si>
  <si>
    <t>764</t>
  </si>
  <si>
    <t>15.XII.22-10.III w (D);  [kursuje/podstawa: 60/252]</t>
  </si>
  <si>
    <t>4,868.34</t>
  </si>
  <si>
    <t>ZRJP_2023-16253_1-1</t>
  </si>
  <si>
    <t>2022-10-24 14:28:16</t>
  </si>
  <si>
    <t>765</t>
  </si>
  <si>
    <t>136/KD/R/23</t>
  </si>
  <si>
    <t>16252</t>
  </si>
  <si>
    <t>3939</t>
  </si>
  <si>
    <t>381.02</t>
  </si>
  <si>
    <t>14:43 [O]</t>
  </si>
  <si>
    <t>ZRJP_2023-16252_1-1</t>
  </si>
  <si>
    <t>2022-09-26 10:37:42</t>
  </si>
  <si>
    <t>766</t>
  </si>
  <si>
    <t>135/KD/R/23</t>
  </si>
  <si>
    <t>16251</t>
  </si>
  <si>
    <t>3938</t>
  </si>
  <si>
    <t>12:11</t>
  </si>
  <si>
    <t>ZRJP_2023-16251_1-1</t>
  </si>
  <si>
    <t>2022-10-31 16:56:40</t>
  </si>
  <si>
    <t>2022-10-06 11:25:21</t>
  </si>
  <si>
    <t>767</t>
  </si>
  <si>
    <t>6,977.95</t>
  </si>
  <si>
    <t>ZRJP_2023-16250_1-1</t>
  </si>
  <si>
    <t>2022-10-25 10:07:18</t>
  </si>
  <si>
    <t>768</t>
  </si>
  <si>
    <t>133/KD/R/23</t>
  </si>
  <si>
    <t>16248</t>
  </si>
  <si>
    <t>3935</t>
  </si>
  <si>
    <t>169.34</t>
  </si>
  <si>
    <t>ZRJP_2023-16248_1-1</t>
  </si>
  <si>
    <t>2022-10-24 14:25:59</t>
  </si>
  <si>
    <t>769</t>
  </si>
  <si>
    <t>132/KD/R/23</t>
  </si>
  <si>
    <t>2022-09-16 07:30:16</t>
  </si>
  <si>
    <t>16245</t>
  </si>
  <si>
    <t>3931</t>
  </si>
  <si>
    <t>60223/2</t>
  </si>
  <si>
    <t>[1] 00:13</t>
  </si>
  <si>
    <t>22:31 [O]</t>
  </si>
  <si>
    <t>ZRJP_2023-16245_1-1</t>
  </si>
  <si>
    <t>2022-09-26 14:17:41</t>
  </si>
  <si>
    <t>770</t>
  </si>
  <si>
    <t>131/KD/R/23</t>
  </si>
  <si>
    <t>16244</t>
  </si>
  <si>
    <t>3928</t>
  </si>
  <si>
    <t>5,325.33</t>
  </si>
  <si>
    <t>ZRJP_2023-16244_1-1</t>
  </si>
  <si>
    <t>2022-10-31 16:56:39</t>
  </si>
  <si>
    <t>2022-10-05 08:39:02</t>
  </si>
  <si>
    <t>771</t>
  </si>
  <si>
    <t>130/KD/R/23</t>
  </si>
  <si>
    <t>16243</t>
  </si>
  <si>
    <t>3925</t>
  </si>
  <si>
    <t>60205/4</t>
  </si>
  <si>
    <t>46.5</t>
  </si>
  <si>
    <t>ZRJP_2023-16243_1-1</t>
  </si>
  <si>
    <t>2022-10-25 09:25:38</t>
  </si>
  <si>
    <t>772</t>
  </si>
  <si>
    <t>2022-09-16 07:30:06</t>
  </si>
  <si>
    <t>7,059.09</t>
  </si>
  <si>
    <t>ZRJP_2023-16174_1-1</t>
  </si>
  <si>
    <t>2022-10-21 10:44:21</t>
  </si>
  <si>
    <t>773</t>
  </si>
  <si>
    <t>16173</t>
  </si>
  <si>
    <t>3840</t>
  </si>
  <si>
    <t>69845/4</t>
  </si>
  <si>
    <t>37.643</t>
  </si>
  <si>
    <t>42.6</t>
  </si>
  <si>
    <t>3,425.51</t>
  </si>
  <si>
    <t>ZRJP_2023-16173_1-1</t>
  </si>
  <si>
    <t>2022-10-31 16:57:04</t>
  </si>
  <si>
    <t>2022-10-20 09:51:51</t>
  </si>
  <si>
    <t>774</t>
  </si>
  <si>
    <t>ZRJP_2023-16172_1-1</t>
  </si>
  <si>
    <t>2022-10-24 14:28:04</t>
  </si>
  <si>
    <t>775</t>
  </si>
  <si>
    <t>122/KD/R/23</t>
  </si>
  <si>
    <t>16171</t>
  </si>
  <si>
    <t>3838</t>
  </si>
  <si>
    <t>15:08</t>
  </si>
  <si>
    <t>15:00 [O]</t>
  </si>
  <si>
    <t>ZRJP_2023-16171_1-1</t>
  </si>
  <si>
    <t>2022-10-31 16:57:02</t>
  </si>
  <si>
    <t>2022-10-10 07:46:16</t>
  </si>
  <si>
    <t>776</t>
  </si>
  <si>
    <t>121/KD/R/23</t>
  </si>
  <si>
    <t>2022-09-16 07:30:05</t>
  </si>
  <si>
    <t>16170</t>
  </si>
  <si>
    <t>3837</t>
  </si>
  <si>
    <t>12:21</t>
  </si>
  <si>
    <t>12:21 [O]</t>
  </si>
  <si>
    <t>ZRJP_2023-16170_1-1</t>
  </si>
  <si>
    <t>2022-10-31 16:57:01</t>
  </si>
  <si>
    <t>2022-10-06 11:25:36</t>
  </si>
  <si>
    <t>777</t>
  </si>
  <si>
    <t>120/KD/R/23</t>
  </si>
  <si>
    <t>16168</t>
  </si>
  <si>
    <t>3834</t>
  </si>
  <si>
    <t>06:05</t>
  </si>
  <si>
    <t>06:06 [O]</t>
  </si>
  <si>
    <t>ZRJP_2023-16168_1-1</t>
  </si>
  <si>
    <t>2022-10-25 10:07:23</t>
  </si>
  <si>
    <t>778</t>
  </si>
  <si>
    <t>4,787.20</t>
  </si>
  <si>
    <t>ZRJP_2023-16167_1-1</t>
  </si>
  <si>
    <t>2022-10-25 10:07:00</t>
  </si>
  <si>
    <t>779</t>
  </si>
  <si>
    <t>118/KD/R/23</t>
  </si>
  <si>
    <t>16165</t>
  </si>
  <si>
    <t>3830</t>
  </si>
  <si>
    <t>05:21</t>
  </si>
  <si>
    <t>05:29</t>
  </si>
  <si>
    <t>ZRJP_2023-16165_1-1</t>
  </si>
  <si>
    <t>2022-10-25 10:06:49</t>
  </si>
  <si>
    <t>780</t>
  </si>
  <si>
    <t>61/PT/KD/23</t>
  </si>
  <si>
    <t>2022-09-15 11:55:28</t>
  </si>
  <si>
    <t>15776</t>
  </si>
  <si>
    <t>2658</t>
  </si>
  <si>
    <t>840CD</t>
  </si>
  <si>
    <t>15.871</t>
  </si>
  <si>
    <t>39.7</t>
  </si>
  <si>
    <t>20.II-17.III w (A);  [kursuje/podstawa: 20/20]</t>
  </si>
  <si>
    <t>317.42</t>
  </si>
  <si>
    <t>Harrachov</t>
  </si>
  <si>
    <t>HARRACHOV - SZKLARSKA PORĘBA GÓRNA</t>
  </si>
  <si>
    <t>12:21 [P]</t>
  </si>
  <si>
    <t>Zafakturowane</t>
  </si>
  <si>
    <t>IRJ_2023_15776</t>
  </si>
  <si>
    <t>2022-09-15 12:29:16</t>
  </si>
  <si>
    <t>Tabakiernik Patrycjusz dnia 2022-09-15</t>
  </si>
  <si>
    <t>2022-09-15 12:23:02</t>
  </si>
  <si>
    <t>UZUPEŁNIENIE TERMINU KURSOWANIA</t>
  </si>
  <si>
    <t>781</t>
  </si>
  <si>
    <t>12/KD/I/23</t>
  </si>
  <si>
    <t>2022-07-18 13:05:54</t>
  </si>
  <si>
    <t>14103</t>
  </si>
  <si>
    <t>485.86</t>
  </si>
  <si>
    <t>05:47</t>
  </si>
  <si>
    <t>05:50</t>
  </si>
  <si>
    <t>RRJ_2023_14103_7</t>
  </si>
  <si>
    <t>2022-09-08 07:40:35</t>
  </si>
  <si>
    <t>2022-07-18 13:36:44</t>
  </si>
  <si>
    <t>po pociąg 69660.</t>
  </si>
  <si>
    <t>782</t>
  </si>
  <si>
    <t>11/KD/I/23</t>
  </si>
  <si>
    <t>2022-07-18 13:02:36</t>
  </si>
  <si>
    <t>14102</t>
  </si>
  <si>
    <t>701.79</t>
  </si>
  <si>
    <t>20:45 [O]</t>
  </si>
  <si>
    <t>RRJ_2023_14102_7</t>
  </si>
  <si>
    <t>2022-07-20 14:42:40</t>
  </si>
  <si>
    <t>zwrot składu po poc. 69641.</t>
  </si>
  <si>
    <t>783</t>
  </si>
  <si>
    <t>10/KD/I/23</t>
  </si>
  <si>
    <t>2022-07-18 12:55:28</t>
  </si>
  <si>
    <t>14101</t>
  </si>
  <si>
    <t>11.XII.22-3.XII.23 (7);  [kursuje/podstawa: 52/52]</t>
  </si>
  <si>
    <t>100.26</t>
  </si>
  <si>
    <t>07:07</t>
  </si>
  <si>
    <t>07:20 [O]</t>
  </si>
  <si>
    <t>RRJ_2023_14101_7</t>
  </si>
  <si>
    <t>2022-09-08 07:40:40</t>
  </si>
  <si>
    <t>2022-07-20 09:59:46</t>
  </si>
  <si>
    <t>po pociąg 69666.</t>
  </si>
  <si>
    <t>784</t>
  </si>
  <si>
    <t>09/KD/I/23</t>
  </si>
  <si>
    <t>2022-07-18 12:51:01</t>
  </si>
  <si>
    <t>14100</t>
  </si>
  <si>
    <t>23:33</t>
  </si>
  <si>
    <t>23:30 [O]</t>
  </si>
  <si>
    <t>RRJ_2023_14100_7</t>
  </si>
  <si>
    <t>2022-09-08 07:41:03</t>
  </si>
  <si>
    <t>2022-07-18 13:08:19</t>
  </si>
  <si>
    <t>zwrot składu po pociągu 69647</t>
  </si>
  <si>
    <t>785</t>
  </si>
  <si>
    <t>06/KD/I/23</t>
  </si>
  <si>
    <t>2022-07-18 12:22:55</t>
  </si>
  <si>
    <t>14094</t>
  </si>
  <si>
    <t>28.9</t>
  </si>
  <si>
    <t>05:29 [O]</t>
  </si>
  <si>
    <t>RRJ_2023_14094_7</t>
  </si>
  <si>
    <t>2022-09-08 07:40:59</t>
  </si>
  <si>
    <t>2022-07-20 14:40:37</t>
  </si>
  <si>
    <t>po pociąg 69420</t>
  </si>
  <si>
    <t>786</t>
  </si>
  <si>
    <t>05/KD/I/23</t>
  </si>
  <si>
    <t>2022-07-18 12:18:21</t>
  </si>
  <si>
    <t>14092</t>
  </si>
  <si>
    <t>21:48</t>
  </si>
  <si>
    <t>RRJ_2023_14092_7</t>
  </si>
  <si>
    <t>2022-07-20 14:43:35</t>
  </si>
  <si>
    <t xml:space="preserve"> zwrot składu po pociągu 66219.</t>
  </si>
  <si>
    <t>787</t>
  </si>
  <si>
    <t>04/KD/I/23</t>
  </si>
  <si>
    <t>2022-07-18 12:03:59</t>
  </si>
  <si>
    <t>14086</t>
  </si>
  <si>
    <t>215.94</t>
  </si>
  <si>
    <t>RRJ_2023_14086_7</t>
  </si>
  <si>
    <t>2022-09-08 07:41:01</t>
  </si>
  <si>
    <t>2022-07-20 14:41:02</t>
  </si>
  <si>
    <t>po pociąg 69806.</t>
  </si>
  <si>
    <t>788</t>
  </si>
  <si>
    <t>2022-04-11 11:03:50</t>
  </si>
  <si>
    <t>11.XII.22-12.III w (C); 13.III-9.XII.23 ;  [kursuje/podstawa: 301/364]</t>
  </si>
  <si>
    <t>41,687.00</t>
  </si>
  <si>
    <t>14:17 [P]</t>
  </si>
  <si>
    <t>RRJ_2023_8861_3</t>
  </si>
  <si>
    <t>2022-09-08 07:41:26</t>
  </si>
  <si>
    <t>2022-07-19 12:59:27</t>
  </si>
  <si>
    <t>789</t>
  </si>
  <si>
    <t>199/KD/R/23</t>
  </si>
  <si>
    <t>2022-04-06 09:17:20</t>
  </si>
  <si>
    <t>5244</t>
  </si>
  <si>
    <t>137.443</t>
  </si>
  <si>
    <t>50,029.25</t>
  </si>
  <si>
    <t>22:57</t>
  </si>
  <si>
    <t>20:29 [O]</t>
  </si>
  <si>
    <t>RRJ_2023_5244_3</t>
  </si>
  <si>
    <t>2022-09-08 07:41:29</t>
  </si>
  <si>
    <t>2022-07-19 13:20:49</t>
  </si>
  <si>
    <t>790</t>
  </si>
  <si>
    <t>198/KD/R/23</t>
  </si>
  <si>
    <t>2022-04-06 09:14:19</t>
  </si>
  <si>
    <t>5241</t>
  </si>
  <si>
    <t>59.3</t>
  </si>
  <si>
    <t>15,393.62</t>
  </si>
  <si>
    <t>17:24</t>
  </si>
  <si>
    <t>19:51</t>
  </si>
  <si>
    <t>RRJ_2023_5241_3</t>
  </si>
  <si>
    <t>2022-07-19 13:20:15</t>
  </si>
  <si>
    <t>791</t>
  </si>
  <si>
    <t>180/KD/R/23</t>
  </si>
  <si>
    <t>2022-04-05 15:56:43</t>
  </si>
  <si>
    <t>5056</t>
  </si>
  <si>
    <t>43.962</t>
  </si>
  <si>
    <t>38.2</t>
  </si>
  <si>
    <t>36.6</t>
  </si>
  <si>
    <t>16,002.17</t>
  </si>
  <si>
    <t>06:12</t>
  </si>
  <si>
    <t>05:06 [O]</t>
  </si>
  <si>
    <t>RRJ_2023_5056_3</t>
  </si>
  <si>
    <t>2022-09-08 07:41:48</t>
  </si>
  <si>
    <t>2022-07-20 14:05:07</t>
  </si>
  <si>
    <t>792</t>
  </si>
  <si>
    <t>2022-03-30 11:46:44</t>
  </si>
  <si>
    <t>17.XII.22-11.III (6); 12.III-9.XII.23 ;  [kursuje/podstawa: 286/364]</t>
  </si>
  <si>
    <t>28,399.51</t>
  </si>
  <si>
    <t>RRJ_2023_3235_3</t>
  </si>
  <si>
    <t>2022-09-08 07:40:19</t>
  </si>
  <si>
    <t>2022-08-24 09:17:14</t>
  </si>
  <si>
    <t>793</t>
  </si>
  <si>
    <t>63/KD/R/23</t>
  </si>
  <si>
    <t>2022-03-30 11:42:22</t>
  </si>
  <si>
    <t>3234</t>
  </si>
  <si>
    <t>5314</t>
  </si>
  <si>
    <t>28,185.25</t>
  </si>
  <si>
    <t>RRJ_2023_3234_3</t>
  </si>
  <si>
    <t>2022-06-08 16:18:35</t>
  </si>
  <si>
    <t>794</t>
  </si>
  <si>
    <t>51/KD/R/23</t>
  </si>
  <si>
    <t>2022-03-29 10:25:35</t>
  </si>
  <si>
    <t>3145</t>
  </si>
  <si>
    <t>2671</t>
  </si>
  <si>
    <t>38.1</t>
  </si>
  <si>
    <t>25.XII.22, 26.XII.22; 27.XII.22-6.I w (B); 7.I-19.III ; 25.III-2.IV (6)(7); 7.IV-10.IV; 15.IV-1.V w (C); 2.V, 3.V; 6.V-8.V; 13.V-4.VI (6)(7); 5.VI-1.X ; 7.X-29.X (6)(7);  [kursuje/podstawa: 239/239]</t>
  </si>
  <si>
    <t>3,793.17</t>
  </si>
  <si>
    <t>SZKLARSKA PORĘBA GÓRNA - HARRACHOV</t>
  </si>
  <si>
    <t>RRJ_2023_3145_3</t>
  </si>
  <si>
    <t>2022-09-08 07:40:53</t>
  </si>
  <si>
    <t>2022-06-28 13:52:41</t>
  </si>
  <si>
    <t>795</t>
  </si>
  <si>
    <t>50/KD/R/23</t>
  </si>
  <si>
    <t>2022-03-29 10:22:42</t>
  </si>
  <si>
    <t>3143</t>
  </si>
  <si>
    <t>2669</t>
  </si>
  <si>
    <t>5,777.04</t>
  </si>
  <si>
    <t>18:30</t>
  </si>
  <si>
    <t>18:29 [O]</t>
  </si>
  <si>
    <t>RRJ_2023_3143_3</t>
  </si>
  <si>
    <t>2022-05-27 08:35:43</t>
  </si>
  <si>
    <t>796</t>
  </si>
  <si>
    <t>49/KD/R/23</t>
  </si>
  <si>
    <t>2022-03-29 10:21:39</t>
  </si>
  <si>
    <t>3142</t>
  </si>
  <si>
    <t>2667</t>
  </si>
  <si>
    <t>11.XII.22-2.IV w (C); 7.IV-10.IV; 15.IV-1.V w (C); 2.V, 3.V; 6.V-8.V; 13.V-8.VI w (C); 9.VI-11.VI; 17.VI-2.VII (6)(7); 5.VII-9.VII; 15.VII-13.VIII (6)(7); 14.VIII, 15.VIII; 19.VIII, 20.VIII; 26.VIII-24.IX (6)(7); 28.IX-1.X; 7.X-12.XI w (C); 17.XI-19.XI; 25.XI-9.XII.23 (6)(7);  [kursuje/podstawa: 123/123]</t>
  </si>
  <si>
    <t>1,952.13</t>
  </si>
  <si>
    <t>17:55</t>
  </si>
  <si>
    <t>RRJ_2023_3142_3</t>
  </si>
  <si>
    <t>2022-09-08 07:40:54</t>
  </si>
  <si>
    <t>2022-05-27 08:35:56</t>
  </si>
  <si>
    <t>797</t>
  </si>
  <si>
    <t>48/KD/R/23</t>
  </si>
  <si>
    <t>2022-03-29 10:19:43</t>
  </si>
  <si>
    <t>3140</t>
  </si>
  <si>
    <t>2665</t>
  </si>
  <si>
    <t>24.XII.22-19.III ; 25.III-2.IV (6)(7); 7.IV-10.IV; 15.IV-1.V w (C); 2.V, 3.V; 6.V-8.V; 13.V-4.VI (6)(7); 5.VI-1.X ; 7.X-29.X (6)(7);  [kursuje/podstawa: 241/241]</t>
  </si>
  <si>
    <t>3,824.91</t>
  </si>
  <si>
    <t>16:30</t>
  </si>
  <si>
    <t>16:29 [O]</t>
  </si>
  <si>
    <t>RRJ_2023_3140_3</t>
  </si>
  <si>
    <t>2022-05-27 08:36:17</t>
  </si>
  <si>
    <t>798</t>
  </si>
  <si>
    <t>47/KD/R/23</t>
  </si>
  <si>
    <t>2022-03-29 10:17:54</t>
  </si>
  <si>
    <t>3138</t>
  </si>
  <si>
    <t>2663</t>
  </si>
  <si>
    <t>15:29 [O]</t>
  </si>
  <si>
    <t>RRJ_2023_3138_3</t>
  </si>
  <si>
    <t>2022-09-08 07:40:55</t>
  </si>
  <si>
    <t>2022-05-27 08:36:37</t>
  </si>
  <si>
    <t>799</t>
  </si>
  <si>
    <t>46/KD/R/23</t>
  </si>
  <si>
    <t>2022-03-29 10:15:58</t>
  </si>
  <si>
    <t>3136</t>
  </si>
  <si>
    <t>2661</t>
  </si>
  <si>
    <t>14:30</t>
  </si>
  <si>
    <t>RRJ_2023_3136_3</t>
  </si>
  <si>
    <t>2022-09-08 07:41:04</t>
  </si>
  <si>
    <t>2022-05-27 08:36:55</t>
  </si>
  <si>
    <t>800</t>
  </si>
  <si>
    <t>45/KD/R/23</t>
  </si>
  <si>
    <t>2022-03-29 10:14:53</t>
  </si>
  <si>
    <t>3135</t>
  </si>
  <si>
    <t>2659</t>
  </si>
  <si>
    <t>RRJ_2023_3135_3</t>
  </si>
  <si>
    <t>2022-09-08 07:41:05</t>
  </si>
  <si>
    <t>2022-05-27 08:37:12</t>
  </si>
  <si>
    <t>801</t>
  </si>
  <si>
    <t>44/KD/R/23</t>
  </si>
  <si>
    <t>2022-03-29 10:13:11</t>
  </si>
  <si>
    <t>3133</t>
  </si>
  <si>
    <t>2657</t>
  </si>
  <si>
    <t>11:55</t>
  </si>
  <si>
    <t>RRJ_2023_3133_3</t>
  </si>
  <si>
    <t>2022-09-08 07:41:06</t>
  </si>
  <si>
    <t>2022-05-27 08:37:29</t>
  </si>
  <si>
    <t>802</t>
  </si>
  <si>
    <t>43/KD/R/23</t>
  </si>
  <si>
    <t>2022-03-29 10:11:03</t>
  </si>
  <si>
    <t>3130</t>
  </si>
  <si>
    <t>2655</t>
  </si>
  <si>
    <t>10:29 [O]</t>
  </si>
  <si>
    <t>RRJ_2023_3130_3</t>
  </si>
  <si>
    <t>2022-09-08 07:41:07</t>
  </si>
  <si>
    <t>2022-05-27 08:37:47</t>
  </si>
  <si>
    <t>803</t>
  </si>
  <si>
    <t>42/KD/R/23</t>
  </si>
  <si>
    <t>2022-03-29 10:01:37</t>
  </si>
  <si>
    <t>3127</t>
  </si>
  <si>
    <t>2653</t>
  </si>
  <si>
    <t>09:55</t>
  </si>
  <si>
    <t>RRJ_2023_3127_3</t>
  </si>
  <si>
    <t>2022-05-27 08:38:05</t>
  </si>
  <si>
    <t>804</t>
  </si>
  <si>
    <t>41/KD/R/23</t>
  </si>
  <si>
    <t>2022-03-29 09:58:47</t>
  </si>
  <si>
    <t>3126</t>
  </si>
  <si>
    <t>2651</t>
  </si>
  <si>
    <t>RRJ_2023_3126_3</t>
  </si>
  <si>
    <t>2022-05-27 08:38:20</t>
  </si>
  <si>
    <t>805</t>
  </si>
  <si>
    <t>40/KD/R/23</t>
  </si>
  <si>
    <t>2022-03-29 08:46:41</t>
  </si>
  <si>
    <t>3116</t>
  </si>
  <si>
    <t>2670</t>
  </si>
  <si>
    <t>19:57</t>
  </si>
  <si>
    <t>20:21</t>
  </si>
  <si>
    <t>20:22 [P]</t>
  </si>
  <si>
    <t>RRJ_2023_3116_3</t>
  </si>
  <si>
    <t>2022-09-08 07:41:00</t>
  </si>
  <si>
    <t>2022-06-28 13:52:52</t>
  </si>
  <si>
    <t>806</t>
  </si>
  <si>
    <t>39/KD/R/23</t>
  </si>
  <si>
    <t>2022-03-29 08:44:23</t>
  </si>
  <si>
    <t>3115</t>
  </si>
  <si>
    <t>2668</t>
  </si>
  <si>
    <t>17:57</t>
  </si>
  <si>
    <t>18:21</t>
  </si>
  <si>
    <t>18:22 [P]</t>
  </si>
  <si>
    <t>RRJ_2023_3115_3</t>
  </si>
  <si>
    <t>2022-05-27 08:35:52</t>
  </si>
  <si>
    <t>807</t>
  </si>
  <si>
    <t>38/KD/R/23</t>
  </si>
  <si>
    <t>2022-03-29 08:43:13</t>
  </si>
  <si>
    <t>3114</t>
  </si>
  <si>
    <t>2666</t>
  </si>
  <si>
    <t>17:21</t>
  </si>
  <si>
    <t>17:22 [P]</t>
  </si>
  <si>
    <t>RRJ_2023_3114_3</t>
  </si>
  <si>
    <t>2022-09-08 07:41:02</t>
  </si>
  <si>
    <t>2022-05-27 08:36:09</t>
  </si>
  <si>
    <t>808</t>
  </si>
  <si>
    <t>37/KD/R/23</t>
  </si>
  <si>
    <t>2022-03-29 08:40:32</t>
  </si>
  <si>
    <t>3113</t>
  </si>
  <si>
    <t>2664</t>
  </si>
  <si>
    <t>15:57</t>
  </si>
  <si>
    <t>16:22 [P]</t>
  </si>
  <si>
    <t>RRJ_2023_3113_3</t>
  </si>
  <si>
    <t>2022-05-27 08:36:25</t>
  </si>
  <si>
    <t>809</t>
  </si>
  <si>
    <t>36/KD/R/23</t>
  </si>
  <si>
    <t>2022-03-29 08:38:00</t>
  </si>
  <si>
    <t>3112</t>
  </si>
  <si>
    <t>2662</t>
  </si>
  <si>
    <t>14:57</t>
  </si>
  <si>
    <t>15:21</t>
  </si>
  <si>
    <t>15:22 [P]</t>
  </si>
  <si>
    <t>RRJ_2023_3112_3</t>
  </si>
  <si>
    <t>2022-05-27 08:36:49</t>
  </si>
  <si>
    <t>35/KD/R/23</t>
  </si>
  <si>
    <t>2022-03-29 08:34:49</t>
  </si>
  <si>
    <t>3110</t>
  </si>
  <si>
    <t>2660</t>
  </si>
  <si>
    <t>13:57</t>
  </si>
  <si>
    <t>14:21</t>
  </si>
  <si>
    <t>14:22 [P]</t>
  </si>
  <si>
    <t>RRJ_2023_3110_3</t>
  </si>
  <si>
    <t>2022-05-27 08:37:05</t>
  </si>
  <si>
    <t>811</t>
  </si>
  <si>
    <t>34/KD/R/23</t>
  </si>
  <si>
    <t>2022-03-29 08:32:54</t>
  </si>
  <si>
    <t>3108</t>
  </si>
  <si>
    <t>24.XII.22-19.II ; 25.II-2.IV (6)(7); 7.IV-10.IV; 15.IV-1.V w (C); 2.V, 3.V; 6.V-8.V; 13.V-4.VI (6)(7); 5.VI-1.X ; 7.X-29.X (6)(7);  [kursuje/podstawa: 221/221]</t>
  </si>
  <si>
    <t>3,507.49</t>
  </si>
  <si>
    <t>12:22 [P]</t>
  </si>
  <si>
    <t>RRJ_2023_3108_3</t>
  </si>
  <si>
    <t>2022-09-08 07:40:34</t>
  </si>
  <si>
    <t>2022-05-27 08:37:22</t>
  </si>
  <si>
    <t>812</t>
  </si>
  <si>
    <t>33/KD/R/23</t>
  </si>
  <si>
    <t>2022-03-29 08:27:30</t>
  </si>
  <si>
    <t>3107</t>
  </si>
  <si>
    <t>2656</t>
  </si>
  <si>
    <t>10:57</t>
  </si>
  <si>
    <t>11:22 [P]</t>
  </si>
  <si>
    <t>RRJ_2023_3107_3</t>
  </si>
  <si>
    <t>2022-05-27 08:37:40</t>
  </si>
  <si>
    <t>813</t>
  </si>
  <si>
    <t>32/KD/R/23</t>
  </si>
  <si>
    <t>2022-03-29 08:24:48</t>
  </si>
  <si>
    <t>3106</t>
  </si>
  <si>
    <t>2654</t>
  </si>
  <si>
    <t>09:57</t>
  </si>
  <si>
    <t>10:22 [P]</t>
  </si>
  <si>
    <t>RRJ_2023_3106_3</t>
  </si>
  <si>
    <t>2022-05-27 08:37:59</t>
  </si>
  <si>
    <t>814</t>
  </si>
  <si>
    <t>31/KD/R/23</t>
  </si>
  <si>
    <t>2022-03-29 08:19:40</t>
  </si>
  <si>
    <t>3105</t>
  </si>
  <si>
    <t>2652</t>
  </si>
  <si>
    <t>08:57</t>
  </si>
  <si>
    <t>09:22 [P]</t>
  </si>
  <si>
    <t>RRJ_2023_3105_3</t>
  </si>
  <si>
    <t>2022-05-27 08:38:13</t>
  </si>
  <si>
    <t>815</t>
  </si>
  <si>
    <t>30/KD/R/23</t>
  </si>
  <si>
    <t>2022-03-29 08:16:39</t>
  </si>
  <si>
    <t>3104</t>
  </si>
  <si>
    <t>2650</t>
  </si>
  <si>
    <t>07:57</t>
  </si>
  <si>
    <t>08:21</t>
  </si>
  <si>
    <t>08:22 [P]</t>
  </si>
  <si>
    <t>RRJ_2023_3104_3</t>
  </si>
  <si>
    <t>2022-05-27 08:38:29</t>
  </si>
  <si>
    <t>B</t>
  </si>
  <si>
    <t>D od 02 I</t>
  </si>
  <si>
    <t>(6) i 26 XII i 06 I</t>
  </si>
  <si>
    <t>(5) i (7) oraz 26 XII i 05 I oprócz 25 XII i 06 I</t>
  </si>
  <si>
    <t>1-4 i 6 oraz 25 XII i 06 I oprócz 26 XII i 05 I</t>
  </si>
  <si>
    <t>[1-6]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</si>
</sst>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sz val="11"/>
      <color rgb="FF000000"/>
      <name val="Calibri"/>
      <family val="2"/>
      <charset val="238"/>
    </font>
    <font>
      <i/>
      <sz val="11"/>
      <color theme="1"/>
      <name val="Calibri"/>
      <family val="2"/>
      <charset val="238"/>
      <scheme val="minor"/>
    </font>
    <font>
      <sz val="11"/>
      <name val="Consolas"/>
      <family val="3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3" fillId="0" borderId="0"/>
    <xf numFmtId="0" fontId="1" fillId="0" borderId="0"/>
    <xf numFmtId="0" fontId="1" fillId="0" borderId="0"/>
    <xf numFmtId="0" fontId="2" fillId="0" borderId="0"/>
    <xf numFmtId="0" fontId="4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right"/>
    </xf>
  </cellXfs>
  <cellStyles count="13">
    <cellStyle name="Normalny" xfId="0" builtinId="0"/>
    <cellStyle name="Normalny 10" xfId="4" xr:uid="{909B3158-93D6-453E-9B9D-787E38991550}"/>
    <cellStyle name="Normalny 11 2" xfId="8" xr:uid="{DB78B739-D2C8-4671-884C-735C83407315}"/>
    <cellStyle name="Normalny 11 2 2" xfId="12" xr:uid="{A9CCE554-1522-4220-AAD7-25D8BBD9D365}"/>
    <cellStyle name="Normalny 2 5" xfId="5" xr:uid="{36F8803C-0043-40CB-8377-3BBFD99B6D4B}"/>
    <cellStyle name="Normalny 7 10 4 4 2 3" xfId="10" xr:uid="{9BA9C417-1C62-4597-9096-F452E9CA6227}"/>
    <cellStyle name="Normalny 7 10 4 4 3 2" xfId="2" xr:uid="{371DE339-E6E1-4960-AEE7-B17610CFE43F}"/>
    <cellStyle name="Normalny 7 10 4 5" xfId="9" xr:uid="{608E3258-705F-41EB-A691-8DAAB2EC0A82}"/>
    <cellStyle name="Normalny 8 3" xfId="1" xr:uid="{2A51E2C3-CA8D-4FFF-A4E6-4DB878ADCE4A}"/>
    <cellStyle name="Normalny 8 3 2" xfId="11" xr:uid="{AAE1D1D0-5C83-46DB-AA31-F9BF3FAA9EBB}"/>
    <cellStyle name="Normalny 8 4" xfId="7" xr:uid="{FC6FE2FC-6D32-46C2-9B30-094BBB593C8E}"/>
    <cellStyle name="Normalny 9" xfId="3" xr:uid="{869B50CE-D05A-48E4-ADBD-00F0FCF4A9DE}"/>
    <cellStyle name="Normalny 9 3" xfId="6" xr:uid="{FA821228-ED1C-46BC-B690-3316194C502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4"/>
  <sheetViews>
    <sheetView tabSelected="1" topLeftCell="A130" zoomScale="70" zoomScaleNormal="70" workbookViewId="0">
      <selection activeCell="G175" sqref="G175"/>
    </sheetView>
  </sheetViews>
  <sheetFormatPr defaultRowHeight="15" x14ac:dyDescent="0.25"/>
  <cols>
    <col min="1" max="3" width="12.28515625" style="1" bestFit="1" customWidth="1"/>
    <col min="4" max="4" width="12.28515625" customWidth="1"/>
    <col min="5" max="5" width="9.5703125" bestFit="1" customWidth="1"/>
    <col min="6" max="6" width="8.7109375" style="1" bestFit="1" customWidth="1"/>
    <col min="7" max="7" width="18" style="1" bestFit="1" customWidth="1"/>
    <col min="8" max="8" width="14" style="6" bestFit="1" customWidth="1"/>
    <col min="9" max="9" width="13.28515625" customWidth="1"/>
    <col min="10" max="10" width="12.7109375" bestFit="1" customWidth="1"/>
    <col min="11" max="11" width="5.7109375" bestFit="1" customWidth="1"/>
    <col min="12" max="12" width="13.140625" bestFit="1" customWidth="1"/>
    <col min="13" max="13" width="27.7109375" bestFit="1" customWidth="1"/>
    <col min="14" max="14" width="27.28515625" bestFit="1" customWidth="1"/>
    <col min="15" max="15" width="6.28515625" bestFit="1" customWidth="1"/>
    <col min="16" max="16" width="16.28515625" bestFit="1" customWidth="1"/>
    <col min="17" max="17" width="15" bestFit="1" customWidth="1"/>
    <col min="18" max="18" width="7.5703125" bestFit="1" customWidth="1"/>
    <col min="19" max="19" width="7.28515625" bestFit="1" customWidth="1"/>
    <col min="20" max="20" width="6.28515625" bestFit="1" customWidth="1"/>
    <col min="21" max="21" width="5.7109375" bestFit="1" customWidth="1"/>
  </cols>
  <sheetData>
    <row r="1" spans="1:21" x14ac:dyDescent="0.25">
      <c r="A1" s="2" t="s">
        <v>2</v>
      </c>
      <c r="B1" s="2" t="s">
        <v>3</v>
      </c>
      <c r="C1" s="2" t="s">
        <v>0</v>
      </c>
      <c r="D1" s="3" t="s">
        <v>1</v>
      </c>
      <c r="E1" s="3" t="s">
        <v>4</v>
      </c>
      <c r="F1" s="2" t="s">
        <v>5</v>
      </c>
      <c r="G1" s="4" t="s">
        <v>6</v>
      </c>
      <c r="H1" s="6" t="s">
        <v>10</v>
      </c>
      <c r="I1" s="5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</row>
    <row r="2" spans="1:21" x14ac:dyDescent="0.25">
      <c r="A2" s="1">
        <v>1</v>
      </c>
      <c r="B2" s="8">
        <v>1</v>
      </c>
      <c r="C2"/>
      <c r="D2">
        <v>69828</v>
      </c>
      <c r="E2" t="s">
        <v>9</v>
      </c>
      <c r="F2"/>
      <c r="G2" s="1">
        <v>1</v>
      </c>
      <c r="H2" s="6">
        <f>COUNTIF(wnioski!$M$2:$M$816,pot!D2)</f>
        <v>2</v>
      </c>
      <c r="I2" t="str">
        <f>VLOOKUP(D2,wnioski!$M$2:$AZ$816,5,0)</f>
        <v>SA139</v>
      </c>
      <c r="J2" t="str">
        <f>VLOOKUP(D2,wnioski!$M$2:$AZ$816,4,0)</f>
        <v>ROM</v>
      </c>
      <c r="L2">
        <f t="shared" ref="L2" si="0">D2</f>
        <v>69828</v>
      </c>
      <c r="M2" t="str">
        <f>IF(VLOOKUP(D2,wnioski!$M$2:$AZ$816,2,0)=0,"",VLOOKUP(D2,wnioski!$M$2:$AZ$816,2,0))</f>
        <v/>
      </c>
      <c r="N2" t="str">
        <f>IF(VLOOKUP(D2,wnioski!$M$2:$AZ$816,3,0)=0,"",VLOOKUP(D2,wnioski!$M$2:$AZ$816,3,0))</f>
        <v/>
      </c>
      <c r="O2" t="str">
        <f>VLOOKUP(D2,wnioski!$M$2:$AZ$816,15,0)</f>
        <v>04:16</v>
      </c>
      <c r="P2" t="str">
        <f>VLOOKUP(D2,wnioski!$M$2:$AZ$816,14,0)</f>
        <v>Legnica</v>
      </c>
      <c r="Q2" t="str">
        <f>VLOOKUP(D2,wnioski!$M$2:$AZ$816,16,0)</f>
        <v>Bielawa Zachodnia</v>
      </c>
      <c r="R2" t="str">
        <f>VLOOKUP(D2,wnioski!$M$2:$AZ$816,17,0)</f>
        <v>06:13</v>
      </c>
    </row>
    <row r="3" spans="1:21" x14ac:dyDescent="0.25">
      <c r="A3" s="1">
        <v>2</v>
      </c>
      <c r="B3" s="8">
        <v>1</v>
      </c>
      <c r="D3" t="s">
        <v>4707</v>
      </c>
      <c r="E3" t="s">
        <v>9</v>
      </c>
      <c r="F3"/>
      <c r="G3" s="1">
        <v>1</v>
      </c>
      <c r="H3" s="6">
        <f>COUNTIF(wnioski!$M$2:$M$816,pot!D3)</f>
        <v>1</v>
      </c>
      <c r="I3" t="str">
        <f>VLOOKUP(D3,wnioski!$M$2:$AZ$816,5,0)</f>
        <v>SA139</v>
      </c>
      <c r="J3" t="str">
        <f>VLOOKUP(D3,wnioski!$M$2:$AZ$816,4,0)</f>
        <v>ROM</v>
      </c>
      <c r="L3" t="str">
        <f t="shared" ref="L3:L64" si="1">D3</f>
        <v>69213/2</v>
      </c>
      <c r="M3" t="str">
        <f>IF(VLOOKUP(D3,wnioski!$M$2:$AZ$816,2,0)=0,"",VLOOKUP(D3,wnioski!$M$2:$AZ$816,2,0))</f>
        <v/>
      </c>
      <c r="N3" t="str">
        <f>IF(VLOOKUP(D3,wnioski!$M$2:$AZ$816,3,0)=0,"",VLOOKUP(D3,wnioski!$M$2:$AZ$816,3,0))</f>
        <v>WILHELM ROTKIEWICZ</v>
      </c>
      <c r="O3" t="str">
        <f>VLOOKUP(D3,wnioski!$M$2:$AZ$816,15,0)</f>
        <v>06:42</v>
      </c>
      <c r="P3" t="str">
        <f>VLOOKUP(D3,wnioski!$M$2:$AZ$816,14,0)</f>
        <v>Bielawa Zachodnia</v>
      </c>
      <c r="Q3" t="str">
        <f>VLOOKUP(D3,wnioski!$M$2:$AZ$816,16,0)</f>
        <v>Wrocław Główny</v>
      </c>
      <c r="R3" t="str">
        <f>VLOOKUP(D3,wnioski!$M$2:$AZ$816,17,0)</f>
        <v>08:09</v>
      </c>
    </row>
    <row r="4" spans="1:21" x14ac:dyDescent="0.25">
      <c r="A4" s="1">
        <v>3</v>
      </c>
      <c r="B4" s="8">
        <v>1</v>
      </c>
      <c r="D4">
        <v>60235</v>
      </c>
      <c r="E4" t="s">
        <v>8401</v>
      </c>
      <c r="F4"/>
      <c r="G4" s="1">
        <v>1</v>
      </c>
      <c r="H4" s="6">
        <f>COUNTIF(wnioski!$M$2:$M$816,pot!D4)</f>
        <v>1</v>
      </c>
      <c r="I4" t="str">
        <f>VLOOKUP(D4,wnioski!$M$2:$AZ$816,5,0)</f>
        <v>SA139</v>
      </c>
      <c r="J4" t="str">
        <f>VLOOKUP(D4,wnioski!$M$2:$AZ$816,4,0)</f>
        <v>ROM</v>
      </c>
      <c r="L4">
        <f t="shared" si="1"/>
        <v>60235</v>
      </c>
      <c r="M4" t="str">
        <f>IF(VLOOKUP(D4,wnioski!$M$2:$AZ$816,2,0)=0,"",VLOOKUP(D4,wnioski!$M$2:$AZ$816,2,0))</f>
        <v/>
      </c>
      <c r="N4" t="str">
        <f>IF(VLOOKUP(D4,wnioski!$M$2:$AZ$816,3,0)=0,"",VLOOKUP(D4,wnioski!$M$2:$AZ$816,3,0))</f>
        <v/>
      </c>
      <c r="O4" t="str">
        <f>VLOOKUP(D4,wnioski!$M$2:$AZ$816,15,0)</f>
        <v>10:30</v>
      </c>
      <c r="P4" t="str">
        <f>VLOOKUP(D4,wnioski!$M$2:$AZ$816,14,0)</f>
        <v>Wrocław Główny</v>
      </c>
      <c r="Q4" t="str">
        <f>VLOOKUP(D4,wnioski!$M$2:$AZ$816,16,0)</f>
        <v>Kobierzyce</v>
      </c>
      <c r="R4" t="str">
        <f>VLOOKUP(D4,wnioski!$M$2:$AZ$816,17,0)</f>
        <v>10:56</v>
      </c>
    </row>
    <row r="5" spans="1:21" x14ac:dyDescent="0.25">
      <c r="A5" s="1">
        <v>4</v>
      </c>
      <c r="B5" s="8">
        <v>1</v>
      </c>
      <c r="D5">
        <v>60268</v>
      </c>
      <c r="E5" t="s">
        <v>8401</v>
      </c>
      <c r="F5"/>
      <c r="G5" s="1">
        <v>1</v>
      </c>
      <c r="H5" s="6">
        <f>COUNTIF(wnioski!$M$2:$M$816,pot!D5)</f>
        <v>1</v>
      </c>
      <c r="I5" t="str">
        <f>VLOOKUP(D5,wnioski!$M$2:$AZ$816,5,0)</f>
        <v>SA139</v>
      </c>
      <c r="J5" t="str">
        <f>VLOOKUP(D5,wnioski!$M$2:$AZ$816,4,0)</f>
        <v>ROM</v>
      </c>
      <c r="L5">
        <f t="shared" si="1"/>
        <v>60268</v>
      </c>
      <c r="M5" t="str">
        <f>IF(VLOOKUP(D5,wnioski!$M$2:$AZ$816,2,0)=0,"",VLOOKUP(D5,wnioski!$M$2:$AZ$816,2,0))</f>
        <v/>
      </c>
      <c r="N5" t="str">
        <f>IF(VLOOKUP(D5,wnioski!$M$2:$AZ$816,3,0)=0,"",VLOOKUP(D5,wnioski!$M$2:$AZ$816,3,0))</f>
        <v/>
      </c>
      <c r="O5" t="str">
        <f>VLOOKUP(D5,wnioski!$M$2:$AZ$816,15,0)</f>
        <v>11:30</v>
      </c>
      <c r="P5" t="str">
        <f>VLOOKUP(D5,wnioski!$M$2:$AZ$816,14,0)</f>
        <v>Kobierzyce</v>
      </c>
      <c r="Q5" t="str">
        <f>VLOOKUP(D5,wnioski!$M$2:$AZ$816,16,0)</f>
        <v>Wrocław Główny</v>
      </c>
      <c r="R5" t="str">
        <f>VLOOKUP(D5,wnioski!$M$2:$AZ$816,17,0)</f>
        <v>11:57</v>
      </c>
    </row>
    <row r="6" spans="1:21" x14ac:dyDescent="0.25">
      <c r="A6" s="1">
        <v>5</v>
      </c>
      <c r="B6" s="8">
        <v>1</v>
      </c>
      <c r="D6">
        <v>60757</v>
      </c>
      <c r="E6" t="s">
        <v>9</v>
      </c>
      <c r="F6"/>
      <c r="G6" s="1">
        <v>1</v>
      </c>
      <c r="H6" s="6">
        <f>COUNTIF(wnioski!$M$2:$M$816,pot!D6)</f>
        <v>1</v>
      </c>
      <c r="I6" t="str">
        <f>VLOOKUP(D6,wnioski!$M$2:$AZ$816,5,0)</f>
        <v>SA139</v>
      </c>
      <c r="J6" t="str">
        <f>VLOOKUP(D6,wnioski!$M$2:$AZ$816,4,0)</f>
        <v>ROM</v>
      </c>
      <c r="L6">
        <f t="shared" si="1"/>
        <v>60757</v>
      </c>
      <c r="M6" t="str">
        <f>IF(VLOOKUP(D6,wnioski!$M$2:$AZ$816,2,0)=0,"",VLOOKUP(D6,wnioski!$M$2:$AZ$816,2,0))</f>
        <v/>
      </c>
      <c r="N6" t="str">
        <f>IF(VLOOKUP(D6,wnioski!$M$2:$AZ$816,3,0)=0,"",VLOOKUP(D6,wnioski!$M$2:$AZ$816,3,0))</f>
        <v/>
      </c>
      <c r="O6" t="str">
        <f>VLOOKUP(D6,wnioski!$M$2:$AZ$816,15,0)</f>
        <v>12:10</v>
      </c>
      <c r="P6" t="str">
        <f>VLOOKUP(D6,wnioski!$M$2:$AZ$816,14,0)</f>
        <v>Wrocław Główny</v>
      </c>
      <c r="Q6" t="str">
        <f>VLOOKUP(D6,wnioski!$M$2:$AZ$816,16,0)</f>
        <v>Kąty Wrocławskie</v>
      </c>
      <c r="R6" t="str">
        <f>VLOOKUP(D6,wnioski!$M$2:$AZ$816,17,0)</f>
        <v>12:34</v>
      </c>
    </row>
    <row r="7" spans="1:21" x14ac:dyDescent="0.25">
      <c r="A7" s="1">
        <v>6</v>
      </c>
      <c r="B7" s="8">
        <v>1</v>
      </c>
      <c r="D7">
        <v>60776</v>
      </c>
      <c r="E7" t="s">
        <v>9</v>
      </c>
      <c r="F7"/>
      <c r="G7" s="1">
        <v>1</v>
      </c>
      <c r="H7" s="6">
        <f>COUNTIF(wnioski!$M$2:$M$816,pot!D7)</f>
        <v>1</v>
      </c>
      <c r="I7" t="str">
        <f>VLOOKUP(D7,wnioski!$M$2:$AZ$816,5,0)</f>
        <v>SA139</v>
      </c>
      <c r="J7" t="str">
        <f>VLOOKUP(D7,wnioski!$M$2:$AZ$816,4,0)</f>
        <v>ROM</v>
      </c>
      <c r="L7">
        <f t="shared" si="1"/>
        <v>60776</v>
      </c>
      <c r="M7" t="str">
        <f>IF(VLOOKUP(D7,wnioski!$M$2:$AZ$816,2,0)=0,"",VLOOKUP(D7,wnioski!$M$2:$AZ$816,2,0))</f>
        <v/>
      </c>
      <c r="N7" t="str">
        <f>IF(VLOOKUP(D7,wnioski!$M$2:$AZ$816,3,0)=0,"",VLOOKUP(D7,wnioski!$M$2:$AZ$816,3,0))</f>
        <v/>
      </c>
      <c r="O7" t="str">
        <f>VLOOKUP(D7,wnioski!$M$2:$AZ$816,15,0)</f>
        <v>12:44</v>
      </c>
      <c r="P7" t="str">
        <f>VLOOKUP(D7,wnioski!$M$2:$AZ$816,14,0)</f>
        <v>Kąty Wrocławskie</v>
      </c>
      <c r="Q7" t="str">
        <f>VLOOKUP(D7,wnioski!$M$2:$AZ$816,16,0)</f>
        <v>Wrocław Główny</v>
      </c>
      <c r="R7" t="str">
        <f>VLOOKUP(D7,wnioski!$M$2:$AZ$816,17,0)</f>
        <v>13:08</v>
      </c>
    </row>
    <row r="8" spans="1:21" x14ac:dyDescent="0.25">
      <c r="A8" s="1">
        <v>7</v>
      </c>
      <c r="B8" s="8">
        <v>1</v>
      </c>
      <c r="D8">
        <v>69500</v>
      </c>
      <c r="E8" t="s">
        <v>7</v>
      </c>
      <c r="F8"/>
      <c r="G8" s="1">
        <v>1</v>
      </c>
      <c r="H8" s="6">
        <f>COUNTIF(wnioski!$M$2:$M$816,pot!D8)</f>
        <v>2</v>
      </c>
      <c r="I8" t="str">
        <f>VLOOKUP(D8,wnioski!$M$2:$AZ$816,5,0)</f>
        <v>31WE</v>
      </c>
      <c r="J8" t="str">
        <f>VLOOKUP(D8,wnioski!$M$2:$AZ$816,4,0)</f>
        <v>ROJ</v>
      </c>
      <c r="L8">
        <f t="shared" si="1"/>
        <v>69500</v>
      </c>
      <c r="M8" t="str">
        <f>IF(VLOOKUP(D8,wnioski!$M$2:$AZ$816,2,0)=0,"",VLOOKUP(D8,wnioski!$M$2:$AZ$816,2,0))</f>
        <v/>
      </c>
      <c r="N8" t="str">
        <f>IF(VLOOKUP(D8,wnioski!$M$2:$AZ$816,3,0)=0,"",VLOOKUP(D8,wnioski!$M$2:$AZ$816,3,0))</f>
        <v/>
      </c>
      <c r="O8" t="str">
        <f>VLOOKUP(D8,wnioski!$M$2:$AZ$816,15,0)</f>
        <v>04:02</v>
      </c>
      <c r="P8" t="str">
        <f>VLOOKUP(D8,wnioski!$M$2:$AZ$816,14,0)</f>
        <v>Legnica</v>
      </c>
      <c r="Q8" t="str">
        <f>VLOOKUP(D8,wnioski!$M$2:$AZ$816,16,0)</f>
        <v>Wrocław Główny</v>
      </c>
      <c r="R8" t="str">
        <f>VLOOKUP(D8,wnioski!$M$2:$AZ$816,17,0)</f>
        <v>05:00</v>
      </c>
    </row>
    <row r="9" spans="1:21" x14ac:dyDescent="0.25">
      <c r="A9" s="1">
        <v>8</v>
      </c>
      <c r="B9" s="8">
        <v>1</v>
      </c>
      <c r="D9">
        <v>67001</v>
      </c>
      <c r="E9" t="s">
        <v>7</v>
      </c>
      <c r="F9"/>
      <c r="G9" s="1">
        <v>1</v>
      </c>
      <c r="H9" s="6">
        <f>COUNTIF(wnioski!$M$2:$M$816,pot!D9)</f>
        <v>1</v>
      </c>
      <c r="I9" t="str">
        <f>VLOOKUP(D9,wnioski!$M$2:$AZ$816,5,0)</f>
        <v>SA139</v>
      </c>
      <c r="J9" t="str">
        <f>VLOOKUP(D9,wnioski!$M$2:$AZ$816,4,0)</f>
        <v>MMM</v>
      </c>
      <c r="L9">
        <f t="shared" si="1"/>
        <v>67001</v>
      </c>
      <c r="M9" t="str">
        <f>IF(VLOOKUP(D9,wnioski!$M$2:$AZ$816,2,0)=0,"",VLOOKUP(D9,wnioski!$M$2:$AZ$816,2,0))</f>
        <v>5842</v>
      </c>
      <c r="N9" t="str">
        <f>IF(VLOOKUP(D9,wnioski!$M$2:$AZ$816,3,0)=0,"",VLOOKUP(D9,wnioski!$M$2:$AZ$816,3,0))</f>
        <v>KD SPRINTER TELEMANN</v>
      </c>
      <c r="O9" t="str">
        <f>VLOOKUP(D9,wnioski!$M$2:$AZ$816,15,0)</f>
        <v>05:25</v>
      </c>
      <c r="P9" t="str">
        <f>VLOOKUP(D9,wnioski!$M$2:$AZ$816,14,0)</f>
        <v>Wrocław Główny</v>
      </c>
      <c r="Q9" t="str">
        <f>VLOOKUP(D9,wnioski!$M$2:$AZ$816,16,0)</f>
        <v>Forst Lausitz</v>
      </c>
      <c r="R9" t="str">
        <f>VLOOKUP(D9,wnioski!$M$2:$AZ$816,17,0)</f>
        <v>08:09</v>
      </c>
    </row>
    <row r="10" spans="1:21" x14ac:dyDescent="0.25">
      <c r="A10" s="1">
        <v>9</v>
      </c>
      <c r="B10" s="8">
        <v>1</v>
      </c>
      <c r="D10">
        <v>76000</v>
      </c>
      <c r="E10" t="s">
        <v>7</v>
      </c>
      <c r="F10"/>
      <c r="G10" s="1">
        <v>1</v>
      </c>
      <c r="H10" s="6">
        <f>COUNTIF(wnioski!$M$2:$M$816,pot!D10)</f>
        <v>1</v>
      </c>
      <c r="I10" t="str">
        <f>VLOOKUP(D10,wnioski!$M$2:$AZ$816,5,0)</f>
        <v>SA139</v>
      </c>
      <c r="J10" t="str">
        <f>VLOOKUP(D10,wnioski!$M$2:$AZ$816,4,0)</f>
        <v>MMM</v>
      </c>
      <c r="L10">
        <f t="shared" si="1"/>
        <v>76000</v>
      </c>
      <c r="M10" t="str">
        <f>IF(VLOOKUP(D10,wnioski!$M$2:$AZ$816,2,0)=0,"",VLOOKUP(D10,wnioski!$M$2:$AZ$816,2,0))</f>
        <v>5843</v>
      </c>
      <c r="N10" t="str">
        <f>IF(VLOOKUP(D10,wnioski!$M$2:$AZ$816,3,0)=0,"",VLOOKUP(D10,wnioski!$M$2:$AZ$816,3,0))</f>
        <v>KD SPRINTER WITELON</v>
      </c>
      <c r="O10" t="str">
        <f>VLOOKUP(D10,wnioski!$M$2:$AZ$816,15,0)</f>
        <v>08:45</v>
      </c>
      <c r="P10" t="str">
        <f>VLOOKUP(D10,wnioski!$M$2:$AZ$816,14,0)</f>
        <v>Forst Lausitz</v>
      </c>
      <c r="Q10" t="str">
        <f>VLOOKUP(D10,wnioski!$M$2:$AZ$816,16,0)</f>
        <v>Wrocław Główny</v>
      </c>
      <c r="R10" t="str">
        <f>VLOOKUP(D10,wnioski!$M$2:$AZ$816,17,0)</f>
        <v>11:36</v>
      </c>
    </row>
    <row r="11" spans="1:21" x14ac:dyDescent="0.25">
      <c r="A11" s="1">
        <v>10</v>
      </c>
      <c r="B11" s="8">
        <v>1</v>
      </c>
      <c r="D11">
        <v>67101</v>
      </c>
      <c r="E11" t="s">
        <v>8</v>
      </c>
      <c r="F11"/>
      <c r="G11" s="1">
        <v>1</v>
      </c>
      <c r="H11" s="6">
        <f>COUNTIF(wnioski!$M$2:$M$816,pot!D11)</f>
        <v>1</v>
      </c>
      <c r="I11" t="str">
        <f>VLOOKUP(D11,wnioski!$M$2:$AZ$816,5,0)</f>
        <v>SA139</v>
      </c>
      <c r="J11" t="str">
        <f>VLOOKUP(D11,wnioski!$M$2:$AZ$816,4,0)</f>
        <v>RPM</v>
      </c>
      <c r="L11">
        <f t="shared" si="1"/>
        <v>67101</v>
      </c>
      <c r="M11" t="str">
        <f>IF(VLOOKUP(D11,wnioski!$M$2:$AZ$816,2,0)=0,"",VLOOKUP(D11,wnioski!$M$2:$AZ$816,2,0))</f>
        <v/>
      </c>
      <c r="N11" t="str">
        <f>IF(VLOOKUP(D11,wnioski!$M$2:$AZ$816,3,0)=0,"",VLOOKUP(D11,wnioski!$M$2:$AZ$816,3,0))</f>
        <v>KD SPRINTER BÓBR</v>
      </c>
      <c r="O11" t="str">
        <f>VLOOKUP(D11,wnioski!$M$2:$AZ$816,15,0)</f>
        <v>13:37</v>
      </c>
      <c r="P11" t="str">
        <f>VLOOKUP(D11,wnioski!$M$2:$AZ$816,14,0)</f>
        <v>Wrocław Główny</v>
      </c>
      <c r="Q11" t="str">
        <f>VLOOKUP(D11,wnioski!$M$2:$AZ$816,16,0)</f>
        <v>Tuplice</v>
      </c>
      <c r="R11" t="str">
        <f>VLOOKUP(D11,wnioski!$M$2:$AZ$816,17,0)</f>
        <v>16:00</v>
      </c>
    </row>
    <row r="12" spans="1:21" x14ac:dyDescent="0.25">
      <c r="A12" s="1">
        <v>11</v>
      </c>
      <c r="B12" s="8">
        <v>1</v>
      </c>
      <c r="D12">
        <v>76316</v>
      </c>
      <c r="E12" t="s">
        <v>8404</v>
      </c>
      <c r="F12"/>
      <c r="G12" s="1">
        <v>1</v>
      </c>
      <c r="H12" s="6">
        <f>COUNTIF(wnioski!$M$2:$M$816,pot!D12)</f>
        <v>1</v>
      </c>
      <c r="I12" t="str">
        <f>VLOOKUP(D12,wnioski!$M$2:$AZ$816,5,0)</f>
        <v>SA139</v>
      </c>
      <c r="J12" t="str">
        <f>VLOOKUP(D12,wnioski!$M$2:$AZ$816,4,0)</f>
        <v>ROM</v>
      </c>
      <c r="L12">
        <f t="shared" si="1"/>
        <v>76316</v>
      </c>
      <c r="M12" t="str">
        <f>IF(VLOOKUP(D12,wnioski!$M$2:$AZ$816,2,0)=0,"",VLOOKUP(D12,wnioski!$M$2:$AZ$816,2,0))</f>
        <v/>
      </c>
      <c r="N12" t="str">
        <f>IF(VLOOKUP(D12,wnioski!$M$2:$AZ$816,3,0)=0,"",VLOOKUP(D12,wnioski!$M$2:$AZ$816,3,0))</f>
        <v/>
      </c>
      <c r="O12" t="str">
        <f>VLOOKUP(D12,wnioski!$M$2:$AZ$816,15,0)</f>
        <v>16:28</v>
      </c>
      <c r="P12" t="str">
        <f>VLOOKUP(D12,wnioski!$M$2:$AZ$816,14,0)</f>
        <v>Tuplice</v>
      </c>
      <c r="Q12" t="str">
        <f>VLOOKUP(D12,wnioski!$M$2:$AZ$816,16,0)</f>
        <v>Legnica</v>
      </c>
      <c r="R12" t="str">
        <f>VLOOKUP(D12,wnioski!$M$2:$AZ$816,17,0)</f>
        <v>18:10</v>
      </c>
    </row>
    <row r="13" spans="1:21" x14ac:dyDescent="0.25">
      <c r="A13" s="1">
        <v>12</v>
      </c>
      <c r="B13" s="8">
        <v>1</v>
      </c>
      <c r="D13">
        <v>76102</v>
      </c>
      <c r="E13" t="s">
        <v>8403</v>
      </c>
      <c r="F13"/>
      <c r="G13" s="1">
        <v>1</v>
      </c>
      <c r="H13" s="6">
        <f>COUNTIF(wnioski!$M$2:$M$816,pot!D13)</f>
        <v>1</v>
      </c>
      <c r="I13" t="str">
        <f>VLOOKUP(D13,wnioski!$M$2:$AZ$816,5,0)</f>
        <v>SA139</v>
      </c>
      <c r="J13" t="str">
        <f>VLOOKUP(D13,wnioski!$M$2:$AZ$816,4,0)</f>
        <v>RPM</v>
      </c>
      <c r="L13">
        <f t="shared" si="1"/>
        <v>76102</v>
      </c>
      <c r="M13" t="str">
        <f>IF(VLOOKUP(D13,wnioski!$M$2:$AZ$816,2,0)=0,"",VLOOKUP(D13,wnioski!$M$2:$AZ$816,2,0))</f>
        <v/>
      </c>
      <c r="N13" t="str">
        <f>IF(VLOOKUP(D13,wnioski!$M$2:$AZ$816,3,0)=0,"",VLOOKUP(D13,wnioski!$M$2:$AZ$816,3,0))</f>
        <v>KD SPRINTER KEPLER</v>
      </c>
      <c r="O13" t="str">
        <f>VLOOKUP(D13,wnioski!$M$2:$AZ$816,15,0)</f>
        <v>16:28</v>
      </c>
      <c r="P13" t="str">
        <f>VLOOKUP(D13,wnioski!$M$2:$AZ$816,14,0)</f>
        <v>Tuplice</v>
      </c>
      <c r="Q13" t="str">
        <f>VLOOKUP(D13,wnioski!$M$2:$AZ$816,16,0)</f>
        <v>Wrocław Główny</v>
      </c>
      <c r="R13" t="str">
        <f>VLOOKUP(D13,wnioski!$M$2:$AZ$816,17,0)</f>
        <v>18:54</v>
      </c>
    </row>
    <row r="14" spans="1:21" x14ac:dyDescent="0.25">
      <c r="A14" s="1">
        <v>13</v>
      </c>
      <c r="B14" s="8">
        <v>1</v>
      </c>
      <c r="D14">
        <v>67103</v>
      </c>
      <c r="E14" t="s">
        <v>8403</v>
      </c>
      <c r="F14"/>
      <c r="G14" s="1">
        <v>1</v>
      </c>
      <c r="H14" s="6">
        <f>COUNTIF(wnioski!$M$2:$M$816,pot!D14)</f>
        <v>1</v>
      </c>
      <c r="I14" t="str">
        <f>VLOOKUP(D14,wnioski!$M$2:$AZ$816,5,0)</f>
        <v>SA139</v>
      </c>
      <c r="J14" t="str">
        <f>VLOOKUP(D14,wnioski!$M$2:$AZ$816,4,0)</f>
        <v>RPM</v>
      </c>
      <c r="L14">
        <f t="shared" si="1"/>
        <v>67103</v>
      </c>
      <c r="M14" t="str">
        <f>IF(VLOOKUP(D14,wnioski!$M$2:$AZ$816,2,0)=0,"",VLOOKUP(D14,wnioski!$M$2:$AZ$816,2,0))</f>
        <v/>
      </c>
      <c r="N14" t="str">
        <f>IF(VLOOKUP(D14,wnioski!$M$2:$AZ$816,3,0)=0,"",VLOOKUP(D14,wnioski!$M$2:$AZ$816,3,0))</f>
        <v>KD SPRINTER KEPLER</v>
      </c>
      <c r="O14" t="str">
        <f>VLOOKUP(D14,wnioski!$M$2:$AZ$816,15,0)</f>
        <v>20:13</v>
      </c>
      <c r="P14" t="str">
        <f>VLOOKUP(D14,wnioski!$M$2:$AZ$816,14,0)</f>
        <v>Wrocław Główny</v>
      </c>
      <c r="Q14" t="str">
        <f>VLOOKUP(D14,wnioski!$M$2:$AZ$816,16,0)</f>
        <v>Tuplice</v>
      </c>
      <c r="R14" t="str">
        <f>VLOOKUP(D14,wnioski!$M$2:$AZ$816,17,0)</f>
        <v>22:37</v>
      </c>
    </row>
    <row r="15" spans="1:21" x14ac:dyDescent="0.25">
      <c r="A15" s="1">
        <v>14</v>
      </c>
      <c r="B15" s="8">
        <v>1</v>
      </c>
      <c r="D15">
        <v>67329</v>
      </c>
      <c r="E15" t="s">
        <v>8404</v>
      </c>
      <c r="F15"/>
      <c r="G15" s="1">
        <v>1</v>
      </c>
      <c r="H15" s="6">
        <f>COUNTIF(wnioski!$M$2:$M$816,pot!D15)</f>
        <v>2</v>
      </c>
      <c r="I15" t="str">
        <f>VLOOKUP(D15,wnioski!$M$2:$AZ$816,5,0)</f>
        <v>SA139</v>
      </c>
      <c r="J15" t="str">
        <f>VLOOKUP(D15,wnioski!$M$2:$AZ$816,4,0)</f>
        <v>ROM</v>
      </c>
      <c r="L15">
        <f t="shared" si="1"/>
        <v>67329</v>
      </c>
      <c r="M15" t="str">
        <f>IF(VLOOKUP(D15,wnioski!$M$2:$AZ$816,2,0)=0,"",VLOOKUP(D15,wnioski!$M$2:$AZ$816,2,0))</f>
        <v/>
      </c>
      <c r="N15" t="str">
        <f>IF(VLOOKUP(D15,wnioski!$M$2:$AZ$816,3,0)=0,"",VLOOKUP(D15,wnioski!$M$2:$AZ$816,3,0))</f>
        <v/>
      </c>
      <c r="O15" t="str">
        <f>VLOOKUP(D15,wnioski!$M$2:$AZ$816,15,0)</f>
        <v>20:59</v>
      </c>
      <c r="P15" t="str">
        <f>VLOOKUP(D15,wnioski!$M$2:$AZ$816,14,0)</f>
        <v>Legnica</v>
      </c>
      <c r="Q15" t="str">
        <f>VLOOKUP(D15,wnioski!$M$2:$AZ$816,16,0)</f>
        <v>Tuplice</v>
      </c>
      <c r="R15" t="str">
        <f>VLOOKUP(D15,wnioski!$M$2:$AZ$816,17,0)</f>
        <v>22:38</v>
      </c>
    </row>
    <row r="16" spans="1:21" x14ac:dyDescent="0.25">
      <c r="A16" s="1">
        <v>15</v>
      </c>
      <c r="B16" s="8">
        <v>1</v>
      </c>
      <c r="D16">
        <v>76100</v>
      </c>
      <c r="E16" t="s">
        <v>8</v>
      </c>
      <c r="F16"/>
      <c r="G16" s="1">
        <v>2</v>
      </c>
      <c r="H16" s="6">
        <f>COUNTIF(wnioski!$M$2:$M$816,pot!D16)</f>
        <v>1</v>
      </c>
      <c r="I16" t="str">
        <f>VLOOKUP(D16,wnioski!$M$2:$AZ$816,5,0)</f>
        <v>SA139</v>
      </c>
      <c r="J16" t="str">
        <f>VLOOKUP(D16,wnioski!$M$2:$AZ$816,4,0)</f>
        <v>RPM</v>
      </c>
      <c r="L16">
        <f t="shared" si="1"/>
        <v>76100</v>
      </c>
      <c r="M16" t="str">
        <f>IF(VLOOKUP(D16,wnioski!$M$2:$AZ$816,2,0)=0,"",VLOOKUP(D16,wnioski!$M$2:$AZ$816,2,0))</f>
        <v/>
      </c>
      <c r="N16" t="str">
        <f>IF(VLOOKUP(D16,wnioski!$M$2:$AZ$816,3,0)=0,"",VLOOKUP(D16,wnioski!$M$2:$AZ$816,3,0))</f>
        <v>KD SPRINTER BÓBR</v>
      </c>
      <c r="O16" t="str">
        <f>VLOOKUP(D16,wnioski!$M$2:$AZ$816,15,0)</f>
        <v>05:16</v>
      </c>
      <c r="P16" t="str">
        <f>VLOOKUP(D16,wnioski!$M$2:$AZ$816,14,0)</f>
        <v>Tuplice</v>
      </c>
      <c r="Q16" t="str">
        <f>VLOOKUP(D16,wnioski!$M$2:$AZ$816,16,0)</f>
        <v>Wrocław Główny</v>
      </c>
      <c r="R16" t="str">
        <f>VLOOKUP(D16,wnioski!$M$2:$AZ$816,17,0)</f>
        <v>07:48</v>
      </c>
    </row>
    <row r="17" spans="1:18" x14ac:dyDescent="0.25">
      <c r="A17" s="1">
        <v>16</v>
      </c>
      <c r="B17" s="8">
        <v>1</v>
      </c>
      <c r="D17">
        <v>60233</v>
      </c>
      <c r="E17" t="s">
        <v>8401</v>
      </c>
      <c r="F17"/>
      <c r="G17" s="1">
        <v>2</v>
      </c>
      <c r="H17" s="6">
        <f>COUNTIF(wnioski!$M$2:$M$816,pot!D17)</f>
        <v>1</v>
      </c>
      <c r="I17" t="str">
        <f>VLOOKUP(D17,wnioski!$M$2:$AZ$816,5,0)</f>
        <v>SA139</v>
      </c>
      <c r="J17" t="str">
        <f>VLOOKUP(D17,wnioski!$M$2:$AZ$816,4,0)</f>
        <v>ROM</v>
      </c>
      <c r="L17">
        <f t="shared" si="1"/>
        <v>60233</v>
      </c>
      <c r="M17" t="str">
        <f>IF(VLOOKUP(D17,wnioski!$M$2:$AZ$816,2,0)=0,"",VLOOKUP(D17,wnioski!$M$2:$AZ$816,2,0))</f>
        <v/>
      </c>
      <c r="N17" t="str">
        <f>IF(VLOOKUP(D17,wnioski!$M$2:$AZ$816,3,0)=0,"",VLOOKUP(D17,wnioski!$M$2:$AZ$816,3,0))</f>
        <v/>
      </c>
      <c r="O17" t="str">
        <f>VLOOKUP(D17,wnioski!$M$2:$AZ$816,15,0)</f>
        <v>08:16</v>
      </c>
      <c r="P17" t="str">
        <f>VLOOKUP(D17,wnioski!$M$2:$AZ$816,14,0)</f>
        <v>Wrocław Główny</v>
      </c>
      <c r="Q17" t="str">
        <f>VLOOKUP(D17,wnioski!$M$2:$AZ$816,16,0)</f>
        <v>Kobierzyce</v>
      </c>
      <c r="R17" t="str">
        <f>VLOOKUP(D17,wnioski!$M$2:$AZ$816,17,0)</f>
        <v>08:42</v>
      </c>
    </row>
    <row r="18" spans="1:18" x14ac:dyDescent="0.25">
      <c r="A18" s="1">
        <v>17</v>
      </c>
      <c r="B18" s="8">
        <v>1</v>
      </c>
      <c r="D18">
        <v>60266</v>
      </c>
      <c r="E18" t="s">
        <v>8401</v>
      </c>
      <c r="F18"/>
      <c r="G18" s="1">
        <v>2</v>
      </c>
      <c r="H18" s="6">
        <f>COUNTIF(wnioski!$M$2:$M$816,pot!D18)</f>
        <v>1</v>
      </c>
      <c r="I18" t="str">
        <f>VLOOKUP(D18,wnioski!$M$2:$AZ$816,5,0)</f>
        <v>SA139</v>
      </c>
      <c r="J18" t="str">
        <f>VLOOKUP(D18,wnioski!$M$2:$AZ$816,4,0)</f>
        <v>ROM</v>
      </c>
      <c r="L18">
        <f t="shared" si="1"/>
        <v>60266</v>
      </c>
      <c r="M18" t="str">
        <f>IF(VLOOKUP(D18,wnioski!$M$2:$AZ$816,2,0)=0,"",VLOOKUP(D18,wnioski!$M$2:$AZ$816,2,0))</f>
        <v/>
      </c>
      <c r="N18" t="str">
        <f>IF(VLOOKUP(D18,wnioski!$M$2:$AZ$816,3,0)=0,"",VLOOKUP(D18,wnioski!$M$2:$AZ$816,3,0))</f>
        <v/>
      </c>
      <c r="O18" t="str">
        <f>VLOOKUP(D18,wnioski!$M$2:$AZ$816,15,0)</f>
        <v>09:08</v>
      </c>
      <c r="P18" t="str">
        <f>VLOOKUP(D18,wnioski!$M$2:$AZ$816,14,0)</f>
        <v>Kobierzyce</v>
      </c>
      <c r="Q18" t="str">
        <f>VLOOKUP(D18,wnioski!$M$2:$AZ$816,16,0)</f>
        <v>Wrocław Główny</v>
      </c>
      <c r="R18" t="str">
        <f>VLOOKUP(D18,wnioski!$M$2:$AZ$816,17,0)</f>
        <v>09:30</v>
      </c>
    </row>
    <row r="19" spans="1:18" x14ac:dyDescent="0.25">
      <c r="A19" s="1">
        <v>18</v>
      </c>
      <c r="B19" s="8">
        <v>1</v>
      </c>
      <c r="D19" t="s">
        <v>7985</v>
      </c>
      <c r="E19" t="s">
        <v>9</v>
      </c>
      <c r="F19"/>
      <c r="G19" s="1">
        <v>2</v>
      </c>
      <c r="H19" s="6">
        <f>COUNTIF(wnioski!$M$2:$M$816,pot!D19)</f>
        <v>1</v>
      </c>
      <c r="I19" t="str">
        <f>VLOOKUP(D19,wnioski!$M$2:$AZ$816,5,0)</f>
        <v>SA139</v>
      </c>
      <c r="J19" t="str">
        <f>VLOOKUP(D19,wnioski!$M$2:$AZ$816,4,0)</f>
        <v>ROM</v>
      </c>
      <c r="L19" t="str">
        <f t="shared" si="1"/>
        <v>60205/4</v>
      </c>
      <c r="M19" t="str">
        <f>IF(VLOOKUP(D19,wnioski!$M$2:$AZ$816,2,0)=0,"",VLOOKUP(D19,wnioski!$M$2:$AZ$816,2,0))</f>
        <v/>
      </c>
      <c r="N19" t="str">
        <f>IF(VLOOKUP(D19,wnioski!$M$2:$AZ$816,3,0)=0,"",VLOOKUP(D19,wnioski!$M$2:$AZ$816,3,0))</f>
        <v/>
      </c>
      <c r="O19" t="str">
        <f>VLOOKUP(D19,wnioski!$M$2:$AZ$816,15,0)</f>
        <v>09:41</v>
      </c>
      <c r="P19" t="str">
        <f>VLOOKUP(D19,wnioski!$M$2:$AZ$816,14,0)</f>
        <v>Wrocław Główny</v>
      </c>
      <c r="Q19" t="str">
        <f>VLOOKUP(D19,wnioski!$M$2:$AZ$816,16,0)</f>
        <v>Bielawa Zachodnia</v>
      </c>
      <c r="R19" t="str">
        <f>VLOOKUP(D19,wnioski!$M$2:$AZ$816,17,0)</f>
        <v>11:30</v>
      </c>
    </row>
    <row r="20" spans="1:18" x14ac:dyDescent="0.25">
      <c r="A20" s="1">
        <v>19</v>
      </c>
      <c r="B20" s="8">
        <v>1</v>
      </c>
      <c r="D20">
        <v>66893</v>
      </c>
      <c r="E20" t="s">
        <v>9</v>
      </c>
      <c r="F20"/>
      <c r="G20" s="1">
        <v>2</v>
      </c>
      <c r="H20" s="6">
        <f>COUNTIF(wnioski!$M$2:$M$816,pot!D20)</f>
        <v>1</v>
      </c>
      <c r="I20" t="str">
        <f>VLOOKUP(D20,wnioski!$M$2:$AZ$816,5,0)</f>
        <v>SA139</v>
      </c>
      <c r="J20" t="str">
        <f>VLOOKUP(D20,wnioski!$M$2:$AZ$816,4,0)</f>
        <v>ROM</v>
      </c>
      <c r="L20">
        <f t="shared" si="1"/>
        <v>66893</v>
      </c>
      <c r="M20" t="str">
        <f>IF(VLOOKUP(D20,wnioski!$M$2:$AZ$816,2,0)=0,"",VLOOKUP(D20,wnioski!$M$2:$AZ$816,2,0))</f>
        <v/>
      </c>
      <c r="N20" t="str">
        <f>IF(VLOOKUP(D20,wnioski!$M$2:$AZ$816,3,0)=0,"",VLOOKUP(D20,wnioski!$M$2:$AZ$816,3,0))</f>
        <v/>
      </c>
      <c r="O20" t="str">
        <f>VLOOKUP(D20,wnioski!$M$2:$AZ$816,15,0)</f>
        <v>12:03</v>
      </c>
      <c r="P20" t="str">
        <f>VLOOKUP(D20,wnioski!$M$2:$AZ$816,14,0)</f>
        <v>Bielawa Zachodnia</v>
      </c>
      <c r="Q20" t="str">
        <f>VLOOKUP(D20,wnioski!$M$2:$AZ$816,16,0)</f>
        <v>Dzierżoniów Śląski</v>
      </c>
      <c r="R20" t="str">
        <f>VLOOKUP(D20,wnioski!$M$2:$AZ$816,17,0)</f>
        <v>12:11</v>
      </c>
    </row>
    <row r="21" spans="1:18" x14ac:dyDescent="0.25">
      <c r="A21" s="1">
        <v>20</v>
      </c>
      <c r="B21" s="8">
        <v>1</v>
      </c>
      <c r="D21">
        <v>69894</v>
      </c>
      <c r="E21" t="s">
        <v>9</v>
      </c>
      <c r="F21"/>
      <c r="G21" s="1">
        <v>2</v>
      </c>
      <c r="H21" s="6">
        <f>COUNTIF(wnioski!$M$2:$M$816,pot!D21)</f>
        <v>1</v>
      </c>
      <c r="I21" t="str">
        <f>VLOOKUP(D21,wnioski!$M$2:$AZ$816,5,0)</f>
        <v>SA139</v>
      </c>
      <c r="J21" t="str">
        <f>VLOOKUP(D21,wnioski!$M$2:$AZ$816,4,0)</f>
        <v>ROM</v>
      </c>
      <c r="L21">
        <f t="shared" si="1"/>
        <v>69894</v>
      </c>
      <c r="M21" t="str">
        <f>IF(VLOOKUP(D21,wnioski!$M$2:$AZ$816,2,0)=0,"",VLOOKUP(D21,wnioski!$M$2:$AZ$816,2,0))</f>
        <v/>
      </c>
      <c r="N21" t="str">
        <f>IF(VLOOKUP(D21,wnioski!$M$2:$AZ$816,3,0)=0,"",VLOOKUP(D21,wnioski!$M$2:$AZ$816,3,0))</f>
        <v/>
      </c>
      <c r="O21" t="str">
        <f>VLOOKUP(D21,wnioski!$M$2:$AZ$816,15,0)</f>
        <v>12:21</v>
      </c>
      <c r="P21" t="str">
        <f>VLOOKUP(D21,wnioski!$M$2:$AZ$816,14,0)</f>
        <v>Dzierżoniów Śląski</v>
      </c>
      <c r="Q21" t="str">
        <f>VLOOKUP(D21,wnioski!$M$2:$AZ$816,16,0)</f>
        <v>Bielawa Zachodnia</v>
      </c>
      <c r="R21" t="str">
        <f>VLOOKUP(D21,wnioski!$M$2:$AZ$816,17,0)</f>
        <v>12:29</v>
      </c>
    </row>
    <row r="22" spans="1:18" x14ac:dyDescent="0.25">
      <c r="A22" s="1">
        <v>21</v>
      </c>
      <c r="B22" s="8">
        <v>1</v>
      </c>
      <c r="D22" t="s">
        <v>7915</v>
      </c>
      <c r="E22" t="s">
        <v>9</v>
      </c>
      <c r="F22"/>
      <c r="G22" s="1">
        <v>2</v>
      </c>
      <c r="H22" s="6">
        <f>COUNTIF(wnioski!$M$2:$M$816,pot!D22)</f>
        <v>1</v>
      </c>
      <c r="I22" t="str">
        <f>VLOOKUP(D22,wnioski!$M$2:$AZ$816,5,0)</f>
        <v>SA139</v>
      </c>
      <c r="J22" t="str">
        <f>VLOOKUP(D22,wnioski!$M$2:$AZ$816,4,0)</f>
        <v>ROM</v>
      </c>
      <c r="L22" t="str">
        <f t="shared" si="1"/>
        <v>60253/2</v>
      </c>
      <c r="M22" t="str">
        <f>IF(VLOOKUP(D22,wnioski!$M$2:$AZ$816,2,0)=0,"",VLOOKUP(D22,wnioski!$M$2:$AZ$816,2,0))</f>
        <v/>
      </c>
      <c r="N22" t="str">
        <f>IF(VLOOKUP(D22,wnioski!$M$2:$AZ$816,3,0)=0,"",VLOOKUP(D22,wnioski!$M$2:$AZ$816,3,0))</f>
        <v/>
      </c>
      <c r="O22" t="str">
        <f>VLOOKUP(D22,wnioski!$M$2:$AZ$816,15,0)</f>
        <v>13:37</v>
      </c>
      <c r="P22" t="str">
        <f>VLOOKUP(D22,wnioski!$M$2:$AZ$816,14,0)</f>
        <v>Bielawa Zachodnia</v>
      </c>
      <c r="Q22" t="str">
        <f>VLOOKUP(D22,wnioski!$M$2:$AZ$816,16,0)</f>
        <v>Wrocław Główny</v>
      </c>
      <c r="R22" t="str">
        <f>VLOOKUP(D22,wnioski!$M$2:$AZ$816,17,0)</f>
        <v>15:30</v>
      </c>
    </row>
    <row r="23" spans="1:18" x14ac:dyDescent="0.25">
      <c r="A23" s="1">
        <v>22</v>
      </c>
      <c r="B23" s="8">
        <v>1</v>
      </c>
      <c r="D23" t="s">
        <v>4763</v>
      </c>
      <c r="E23" t="s">
        <v>9</v>
      </c>
      <c r="F23"/>
      <c r="G23" s="1">
        <v>2</v>
      </c>
      <c r="H23" s="6">
        <f>COUNTIF(wnioski!$M$2:$M$816,pot!D23)</f>
        <v>1</v>
      </c>
      <c r="I23" t="str">
        <f>VLOOKUP(D23,wnioski!$M$2:$AZ$816,5,0)</f>
        <v>SA139</v>
      </c>
      <c r="J23" t="str">
        <f>VLOOKUP(D23,wnioski!$M$2:$AZ$816,4,0)</f>
        <v>ROM</v>
      </c>
      <c r="L23" t="str">
        <f t="shared" si="1"/>
        <v>69205/4</v>
      </c>
      <c r="M23" t="str">
        <f>IF(VLOOKUP(D23,wnioski!$M$2:$AZ$816,2,0)=0,"",VLOOKUP(D23,wnioski!$M$2:$AZ$816,2,0))</f>
        <v/>
      </c>
      <c r="N23" t="str">
        <f>IF(VLOOKUP(D23,wnioski!$M$2:$AZ$816,3,0)=0,"",VLOOKUP(D23,wnioski!$M$2:$AZ$816,3,0))</f>
        <v>WILHELM ROTKIEWICZ</v>
      </c>
      <c r="O23" t="str">
        <f>VLOOKUP(D23,wnioski!$M$2:$AZ$816,15,0)</f>
        <v>15:58</v>
      </c>
      <c r="P23" t="str">
        <f>VLOOKUP(D23,wnioski!$M$2:$AZ$816,14,0)</f>
        <v>Wrocław Główny</v>
      </c>
      <c r="Q23" t="str">
        <f>VLOOKUP(D23,wnioski!$M$2:$AZ$816,16,0)</f>
        <v>Bielawa Zachodnia</v>
      </c>
      <c r="R23" t="str">
        <f>VLOOKUP(D23,wnioski!$M$2:$AZ$816,17,0)</f>
        <v>17:31</v>
      </c>
    </row>
    <row r="24" spans="1:18" x14ac:dyDescent="0.25">
      <c r="A24" s="1">
        <v>23</v>
      </c>
      <c r="B24" s="8">
        <v>1</v>
      </c>
      <c r="D24" t="s">
        <v>7905</v>
      </c>
      <c r="E24" t="s">
        <v>9</v>
      </c>
      <c r="F24"/>
      <c r="G24" s="1">
        <v>2</v>
      </c>
      <c r="H24" s="6">
        <f>COUNTIF(wnioski!$M$2:$M$816,pot!D24)</f>
        <v>1</v>
      </c>
      <c r="I24" t="str">
        <f>VLOOKUP(D24,wnioski!$M$2:$AZ$816,5,0)</f>
        <v>SA139</v>
      </c>
      <c r="J24" t="str">
        <f>VLOOKUP(D24,wnioski!$M$2:$AZ$816,4,0)</f>
        <v>ROM</v>
      </c>
      <c r="L24" t="str">
        <f t="shared" si="1"/>
        <v>60261/0</v>
      </c>
      <c r="M24" t="str">
        <f>IF(VLOOKUP(D24,wnioski!$M$2:$AZ$816,2,0)=0,"",VLOOKUP(D24,wnioski!$M$2:$AZ$816,2,0))</f>
        <v/>
      </c>
      <c r="N24" t="str">
        <f>IF(VLOOKUP(D24,wnioski!$M$2:$AZ$816,3,0)=0,"",VLOOKUP(D24,wnioski!$M$2:$AZ$816,3,0))</f>
        <v>ŚLĘŻA</v>
      </c>
      <c r="O24" t="str">
        <f>VLOOKUP(D24,wnioski!$M$2:$AZ$816,15,0)</f>
        <v>17:39</v>
      </c>
      <c r="P24" t="str">
        <f>VLOOKUP(D24,wnioski!$M$2:$AZ$816,14,0)</f>
        <v>Bielawa Zachodnia</v>
      </c>
      <c r="Q24" t="str">
        <f>VLOOKUP(D24,wnioski!$M$2:$AZ$816,16,0)</f>
        <v>Wrocław Główny</v>
      </c>
      <c r="R24" t="str">
        <f>VLOOKUP(D24,wnioski!$M$2:$AZ$816,17,0)</f>
        <v>19:17</v>
      </c>
    </row>
    <row r="25" spans="1:18" x14ac:dyDescent="0.25">
      <c r="A25" s="1">
        <v>24</v>
      </c>
      <c r="B25" s="8">
        <v>1</v>
      </c>
      <c r="D25">
        <v>60215</v>
      </c>
      <c r="E25" t="s">
        <v>7</v>
      </c>
      <c r="F25"/>
      <c r="G25" s="1">
        <v>2</v>
      </c>
      <c r="H25" s="6">
        <f>COUNTIF(wnioski!$M$2:$M$816,pot!D25)</f>
        <v>1</v>
      </c>
      <c r="I25" t="str">
        <f>VLOOKUP(D25,wnioski!$M$2:$AZ$816,5,0)</f>
        <v>36WEh</v>
      </c>
      <c r="J25" t="str">
        <f>VLOOKUP(D25,wnioski!$M$2:$AZ$816,4,0)</f>
        <v>ROM</v>
      </c>
      <c r="L25">
        <f t="shared" si="1"/>
        <v>60215</v>
      </c>
      <c r="M25" t="str">
        <f>IF(VLOOKUP(D25,wnioski!$M$2:$AZ$816,2,0)=0,"",VLOOKUP(D25,wnioski!$M$2:$AZ$816,2,0))</f>
        <v/>
      </c>
      <c r="N25" t="str">
        <f>IF(VLOOKUP(D25,wnioski!$M$2:$AZ$816,3,0)=0,"",VLOOKUP(D25,wnioski!$M$2:$AZ$816,3,0))</f>
        <v/>
      </c>
      <c r="O25" t="str">
        <f>VLOOKUP(D25,wnioski!$M$2:$AZ$816,15,0)</f>
        <v>15:40</v>
      </c>
      <c r="P25" t="str">
        <f>VLOOKUP(D25,wnioski!$M$2:$AZ$816,14,0)</f>
        <v>Wrocław Główny</v>
      </c>
      <c r="Q25" t="str">
        <f>VLOOKUP(D25,wnioski!$M$2:$AZ$816,16,0)</f>
        <v>Świdnica Miasto</v>
      </c>
      <c r="R25" t="str">
        <f>VLOOKUP(D25,wnioski!$M$2:$AZ$816,17,0)</f>
        <v>16:48</v>
      </c>
    </row>
    <row r="26" spans="1:18" x14ac:dyDescent="0.25">
      <c r="A26" s="1">
        <v>25</v>
      </c>
      <c r="B26" s="8">
        <v>1</v>
      </c>
      <c r="D26">
        <v>60258</v>
      </c>
      <c r="E26" t="s">
        <v>7</v>
      </c>
      <c r="F26"/>
      <c r="G26" s="1">
        <v>2</v>
      </c>
      <c r="H26" s="6">
        <f>COUNTIF(wnioski!$M$2:$M$816,pot!D26)</f>
        <v>1</v>
      </c>
      <c r="I26" t="str">
        <f>VLOOKUP(D26,wnioski!$M$2:$AZ$816,5,0)</f>
        <v>36WEh</v>
      </c>
      <c r="J26" t="str">
        <f>VLOOKUP(D26,wnioski!$M$2:$AZ$816,4,0)</f>
        <v>ROM</v>
      </c>
      <c r="L26">
        <f t="shared" si="1"/>
        <v>60258</v>
      </c>
      <c r="M26" t="str">
        <f>IF(VLOOKUP(D26,wnioski!$M$2:$AZ$816,2,0)=0,"",VLOOKUP(D26,wnioski!$M$2:$AZ$816,2,0))</f>
        <v/>
      </c>
      <c r="N26" t="str">
        <f>IF(VLOOKUP(D26,wnioski!$M$2:$AZ$816,3,0)=0,"",VLOOKUP(D26,wnioski!$M$2:$AZ$816,3,0))</f>
        <v/>
      </c>
      <c r="O26" t="str">
        <f>VLOOKUP(D26,wnioski!$M$2:$AZ$816,15,0)</f>
        <v>16:58</v>
      </c>
      <c r="P26" t="str">
        <f>VLOOKUP(D26,wnioski!$M$2:$AZ$816,14,0)</f>
        <v>Świdnica Miasto</v>
      </c>
      <c r="Q26" t="str">
        <f>VLOOKUP(D26,wnioski!$M$2:$AZ$816,16,0)</f>
        <v>Wrocław Główny</v>
      </c>
      <c r="R26" t="str">
        <f>VLOOKUP(D26,wnioski!$M$2:$AZ$816,17,0)</f>
        <v>18:07</v>
      </c>
    </row>
    <row r="27" spans="1:18" x14ac:dyDescent="0.25">
      <c r="A27" s="1">
        <v>26</v>
      </c>
      <c r="B27" s="8">
        <v>1</v>
      </c>
      <c r="D27">
        <v>60221</v>
      </c>
      <c r="E27" t="s">
        <v>8400</v>
      </c>
      <c r="F27"/>
      <c r="G27" s="1">
        <v>2</v>
      </c>
      <c r="H27" s="6">
        <f>COUNTIF(wnioski!$M$2:$M$816,pot!D27)</f>
        <v>1</v>
      </c>
      <c r="I27" t="str">
        <f>VLOOKUP(D27,wnioski!$M$2:$AZ$816,5,0)</f>
        <v>36WEh</v>
      </c>
      <c r="J27" t="str">
        <f>VLOOKUP(D27,wnioski!$M$2:$AZ$816,4,0)</f>
        <v>ROM</v>
      </c>
      <c r="L27">
        <f t="shared" si="1"/>
        <v>60221</v>
      </c>
      <c r="M27" t="str">
        <f>IF(VLOOKUP(D27,wnioski!$M$2:$AZ$816,2,0)=0,"",VLOOKUP(D27,wnioski!$M$2:$AZ$816,2,0))</f>
        <v/>
      </c>
      <c r="N27" t="str">
        <f>IF(VLOOKUP(D27,wnioski!$M$2:$AZ$816,3,0)=0,"",VLOOKUP(D27,wnioski!$M$2:$AZ$816,3,0))</f>
        <v>WIEŻYCA</v>
      </c>
      <c r="O27" t="str">
        <f>VLOOKUP(D27,wnioski!$M$2:$AZ$816,15,0)</f>
        <v>20:44</v>
      </c>
      <c r="P27" t="str">
        <f>VLOOKUP(D27,wnioski!$M$2:$AZ$816,14,0)</f>
        <v>Wrocław Główny</v>
      </c>
      <c r="Q27" t="str">
        <f>VLOOKUP(D27,wnioski!$M$2:$AZ$816,16,0)</f>
        <v>Jaworzyna Śląska</v>
      </c>
      <c r="R27" t="str">
        <f>VLOOKUP(D27,wnioski!$M$2:$AZ$816,17,0)</f>
        <v>21:53</v>
      </c>
    </row>
    <row r="28" spans="1:18" x14ac:dyDescent="0.25">
      <c r="A28" s="1">
        <v>27</v>
      </c>
      <c r="B28" s="8">
        <v>1</v>
      </c>
      <c r="D28">
        <v>60240</v>
      </c>
      <c r="E28" t="s">
        <v>8405</v>
      </c>
      <c r="F28"/>
      <c r="G28" s="1">
        <v>3</v>
      </c>
      <c r="H28" s="6">
        <f>COUNTIF(wnioski!$M$2:$M$816,pot!D28)</f>
        <v>1</v>
      </c>
      <c r="I28" t="str">
        <f>VLOOKUP(D28,wnioski!$M$2:$AZ$816,5,0)</f>
        <v>36WEh</v>
      </c>
      <c r="J28" t="str">
        <f>VLOOKUP(D28,wnioski!$M$2:$AZ$816,4,0)</f>
        <v>ROM</v>
      </c>
      <c r="L28">
        <f t="shared" si="1"/>
        <v>60240</v>
      </c>
      <c r="M28" t="str">
        <f>IF(VLOOKUP(D28,wnioski!$M$2:$AZ$816,2,0)=0,"",VLOOKUP(D28,wnioski!$M$2:$AZ$816,2,0))</f>
        <v/>
      </c>
      <c r="N28" t="str">
        <f>IF(VLOOKUP(D28,wnioski!$M$2:$AZ$816,3,0)=0,"",VLOOKUP(D28,wnioski!$M$2:$AZ$816,3,0))</f>
        <v/>
      </c>
      <c r="O28" t="str">
        <f>VLOOKUP(D28,wnioski!$M$2:$AZ$816,15,0)</f>
        <v>05:00</v>
      </c>
      <c r="P28" t="str">
        <f>VLOOKUP(D28,wnioski!$M$2:$AZ$816,14,0)</f>
        <v>Jaworzyna Śląska</v>
      </c>
      <c r="Q28" t="str">
        <f>VLOOKUP(D28,wnioski!$M$2:$AZ$816,16,0)</f>
        <v>Wrocław Główny</v>
      </c>
      <c r="R28" t="str">
        <f>VLOOKUP(D28,wnioski!$M$2:$AZ$816,17,0)</f>
        <v>06:20</v>
      </c>
    </row>
    <row r="29" spans="1:18" x14ac:dyDescent="0.25">
      <c r="A29" s="1">
        <v>28</v>
      </c>
      <c r="B29" s="8">
        <v>1</v>
      </c>
      <c r="D29">
        <v>60751</v>
      </c>
      <c r="E29" t="s">
        <v>9</v>
      </c>
      <c r="F29"/>
      <c r="G29" s="1">
        <v>3</v>
      </c>
      <c r="H29" s="6">
        <f>COUNTIF(wnioski!$M$2:$M$816,pot!D29)</f>
        <v>1</v>
      </c>
      <c r="I29" t="str">
        <f>VLOOKUP(D29,wnioski!$M$2:$AZ$816,5,0)</f>
        <v>SA139</v>
      </c>
      <c r="J29" t="str">
        <f>VLOOKUP(D29,wnioski!$M$2:$AZ$816,4,0)</f>
        <v>ROM</v>
      </c>
      <c r="L29">
        <f t="shared" si="1"/>
        <v>60751</v>
      </c>
      <c r="M29" t="str">
        <f>IF(VLOOKUP(D29,wnioski!$M$2:$AZ$816,2,0)=0,"",VLOOKUP(D29,wnioski!$M$2:$AZ$816,2,0))</f>
        <v/>
      </c>
      <c r="N29" t="str">
        <f>IF(VLOOKUP(D29,wnioski!$M$2:$AZ$816,3,0)=0,"",VLOOKUP(D29,wnioski!$M$2:$AZ$816,3,0))</f>
        <v/>
      </c>
      <c r="O29" t="str">
        <f>VLOOKUP(D29,wnioski!$M$2:$AZ$816,15,0)</f>
        <v>06:29</v>
      </c>
      <c r="P29" t="str">
        <f>VLOOKUP(D29,wnioski!$M$2:$AZ$816,14,0)</f>
        <v>Wrocław Główny</v>
      </c>
      <c r="Q29" t="str">
        <f>VLOOKUP(D29,wnioski!$M$2:$AZ$816,16,0)</f>
        <v>Kąty Wrocławskie</v>
      </c>
      <c r="R29" t="str">
        <f>VLOOKUP(D29,wnioski!$M$2:$AZ$816,17,0)</f>
        <v>06:53</v>
      </c>
    </row>
    <row r="30" spans="1:18" x14ac:dyDescent="0.25">
      <c r="A30" s="1">
        <v>29</v>
      </c>
      <c r="B30" s="8">
        <v>1</v>
      </c>
      <c r="D30">
        <v>60770</v>
      </c>
      <c r="E30" t="s">
        <v>9</v>
      </c>
      <c r="F30"/>
      <c r="G30" s="1">
        <v>3</v>
      </c>
      <c r="H30" s="6">
        <f>COUNTIF(wnioski!$M$2:$M$816,pot!D30)</f>
        <v>1</v>
      </c>
      <c r="I30" t="str">
        <f>VLOOKUP(D30,wnioski!$M$2:$AZ$816,5,0)</f>
        <v>SA139</v>
      </c>
      <c r="J30" t="str">
        <f>VLOOKUP(D30,wnioski!$M$2:$AZ$816,4,0)</f>
        <v>ROM</v>
      </c>
      <c r="L30">
        <f t="shared" si="1"/>
        <v>60770</v>
      </c>
      <c r="M30" t="str">
        <f>IF(VLOOKUP(D30,wnioski!$M$2:$AZ$816,2,0)=0,"",VLOOKUP(D30,wnioski!$M$2:$AZ$816,2,0))</f>
        <v/>
      </c>
      <c r="N30" t="str">
        <f>IF(VLOOKUP(D30,wnioski!$M$2:$AZ$816,3,0)=0,"",VLOOKUP(D30,wnioski!$M$2:$AZ$816,3,0))</f>
        <v/>
      </c>
      <c r="O30" t="str">
        <f>VLOOKUP(D30,wnioski!$M$2:$AZ$816,15,0)</f>
        <v>07:00</v>
      </c>
      <c r="P30" t="str">
        <f>VLOOKUP(D30,wnioski!$M$2:$AZ$816,14,0)</f>
        <v>Kąty Wrocławskie</v>
      </c>
      <c r="Q30" t="str">
        <f>VLOOKUP(D30,wnioski!$M$2:$AZ$816,16,0)</f>
        <v>Wrocław Główny</v>
      </c>
      <c r="R30" t="str">
        <f>VLOOKUP(D30,wnioski!$M$2:$AZ$816,17,0)</f>
        <v>07:26</v>
      </c>
    </row>
    <row r="31" spans="1:18" x14ac:dyDescent="0.25">
      <c r="A31" s="1">
        <v>30</v>
      </c>
      <c r="B31" s="8">
        <v>1</v>
      </c>
      <c r="D31" t="s">
        <v>4776</v>
      </c>
      <c r="E31" t="s">
        <v>8</v>
      </c>
      <c r="F31"/>
      <c r="G31" s="1">
        <v>3</v>
      </c>
      <c r="H31" s="6">
        <f>COUNTIF(wnioski!$M$2:$M$816,pot!D31)</f>
        <v>1</v>
      </c>
      <c r="I31" t="str">
        <f>VLOOKUP(D31,wnioski!$M$2:$AZ$816,5,0)</f>
        <v>SA139</v>
      </c>
      <c r="J31" t="str">
        <f>VLOOKUP(D31,wnioski!$M$2:$AZ$816,4,0)</f>
        <v>ROM</v>
      </c>
      <c r="L31" t="str">
        <f t="shared" si="1"/>
        <v>69201/0</v>
      </c>
      <c r="M31" t="str">
        <f>IF(VLOOKUP(D31,wnioski!$M$2:$AZ$816,2,0)=0,"",VLOOKUP(D31,wnioski!$M$2:$AZ$816,2,0))</f>
        <v/>
      </c>
      <c r="N31" t="str">
        <f>IF(VLOOKUP(D31,wnioski!$M$2:$AZ$816,3,0)=0,"",VLOOKUP(D31,wnioski!$M$2:$AZ$816,3,0))</f>
        <v>WIELKA SOWA</v>
      </c>
      <c r="O31" t="str">
        <f>VLOOKUP(D31,wnioski!$M$2:$AZ$816,15,0)</f>
        <v>07:50</v>
      </c>
      <c r="P31" t="str">
        <f>VLOOKUP(D31,wnioski!$M$2:$AZ$816,14,0)</f>
        <v>Wrocław Główny</v>
      </c>
      <c r="Q31" t="str">
        <f>VLOOKUP(D31,wnioski!$M$2:$AZ$816,16,0)</f>
        <v>Bielawa Zachodnia</v>
      </c>
      <c r="R31" t="str">
        <f>VLOOKUP(D31,wnioski!$M$2:$AZ$816,17,0)</f>
        <v>09:15</v>
      </c>
    </row>
    <row r="32" spans="1:18" x14ac:dyDescent="0.25">
      <c r="A32" s="1">
        <v>31</v>
      </c>
      <c r="B32" s="8">
        <v>1</v>
      </c>
      <c r="D32" t="s">
        <v>1743</v>
      </c>
      <c r="E32" t="s">
        <v>8</v>
      </c>
      <c r="F32"/>
      <c r="G32" s="1">
        <v>3</v>
      </c>
      <c r="H32" s="6">
        <f>COUNTIF(wnioski!$M$2:$M$816,pot!D32)</f>
        <v>1</v>
      </c>
      <c r="I32" t="str">
        <f>VLOOKUP(D32,wnioski!$M$2:$AZ$816,5,0)</f>
        <v>SA139</v>
      </c>
      <c r="J32" t="str">
        <f>VLOOKUP(D32,wnioski!$M$2:$AZ$816,4,0)</f>
        <v>ROM</v>
      </c>
      <c r="L32" t="str">
        <f t="shared" si="1"/>
        <v>60249/8</v>
      </c>
      <c r="M32" t="str">
        <f>IF(VLOOKUP(D32,wnioski!$M$2:$AZ$816,2,0)=0,"",VLOOKUP(D32,wnioski!$M$2:$AZ$816,2,0))</f>
        <v/>
      </c>
      <c r="N32" t="str">
        <f>IF(VLOOKUP(D32,wnioski!$M$2:$AZ$816,3,0)=0,"",VLOOKUP(D32,wnioski!$M$2:$AZ$816,3,0))</f>
        <v>RADUNIA</v>
      </c>
      <c r="O32" t="str">
        <f>VLOOKUP(D32,wnioski!$M$2:$AZ$816,15,0)</f>
        <v>09:28</v>
      </c>
      <c r="P32" t="str">
        <f>VLOOKUP(D32,wnioski!$M$2:$AZ$816,14,0)</f>
        <v>Bielawa Zachodnia</v>
      </c>
      <c r="Q32" t="str">
        <f>VLOOKUP(D32,wnioski!$M$2:$AZ$816,16,0)</f>
        <v>Wrocław Główny</v>
      </c>
      <c r="R32" t="str">
        <f>VLOOKUP(D32,wnioski!$M$2:$AZ$816,17,0)</f>
        <v>10:58</v>
      </c>
    </row>
    <row r="33" spans="1:18" x14ac:dyDescent="0.25">
      <c r="A33" s="1">
        <v>32</v>
      </c>
      <c r="B33" s="8">
        <v>1</v>
      </c>
      <c r="D33" t="s">
        <v>7496</v>
      </c>
      <c r="E33" t="s">
        <v>9</v>
      </c>
      <c r="F33"/>
      <c r="G33" s="1">
        <v>3</v>
      </c>
      <c r="H33" s="6">
        <f>COUNTIF(wnioski!$M$2:$M$816,pot!D33)</f>
        <v>2</v>
      </c>
      <c r="I33" t="str">
        <f>VLOOKUP(D33,wnioski!$M$2:$AZ$816,5,0)</f>
        <v>SA139</v>
      </c>
      <c r="J33" t="str">
        <f>VLOOKUP(D33,wnioski!$M$2:$AZ$816,4,0)</f>
        <v>ROM</v>
      </c>
      <c r="L33" t="str">
        <f t="shared" si="1"/>
        <v>60209/8</v>
      </c>
      <c r="M33" t="str">
        <f>IF(VLOOKUP(D33,wnioski!$M$2:$AZ$816,2,0)=0,"",VLOOKUP(D33,wnioski!$M$2:$AZ$816,2,0))</f>
        <v/>
      </c>
      <c r="N33" t="str">
        <f>IF(VLOOKUP(D33,wnioski!$M$2:$AZ$816,3,0)=0,"",VLOOKUP(D33,wnioski!$M$2:$AZ$816,3,0))</f>
        <v>ŚLĘŻA</v>
      </c>
      <c r="O33" t="str">
        <f>VLOOKUP(D33,wnioski!$M$2:$AZ$816,15,0)</f>
        <v>12:31</v>
      </c>
      <c r="P33" t="str">
        <f>VLOOKUP(D33,wnioski!$M$2:$AZ$816,14,0)</f>
        <v>Wrocław Główny</v>
      </c>
      <c r="Q33" t="str">
        <f>VLOOKUP(D33,wnioski!$M$2:$AZ$816,16,0)</f>
        <v>Bielawa Zachodnia</v>
      </c>
      <c r="R33" t="str">
        <f>VLOOKUP(D33,wnioski!$M$2:$AZ$816,17,0)</f>
        <v>14:26</v>
      </c>
    </row>
    <row r="34" spans="1:18" x14ac:dyDescent="0.25">
      <c r="A34" s="1">
        <v>33</v>
      </c>
      <c r="B34" s="8">
        <v>1</v>
      </c>
      <c r="D34">
        <v>66895</v>
      </c>
      <c r="E34" t="s">
        <v>9</v>
      </c>
      <c r="F34"/>
      <c r="G34" s="1">
        <v>3</v>
      </c>
      <c r="H34" s="6">
        <f>COUNTIF(wnioski!$M$2:$M$816,pot!D34)</f>
        <v>1</v>
      </c>
      <c r="I34" t="str">
        <f>VLOOKUP(D34,wnioski!$M$2:$AZ$816,5,0)</f>
        <v>SA139</v>
      </c>
      <c r="J34" t="str">
        <f>VLOOKUP(D34,wnioski!$M$2:$AZ$816,4,0)</f>
        <v>ROM</v>
      </c>
      <c r="L34">
        <f t="shared" si="1"/>
        <v>66895</v>
      </c>
      <c r="M34" t="str">
        <f>IF(VLOOKUP(D34,wnioski!$M$2:$AZ$816,2,0)=0,"",VLOOKUP(D34,wnioski!$M$2:$AZ$816,2,0))</f>
        <v/>
      </c>
      <c r="N34" t="str">
        <f>IF(VLOOKUP(D34,wnioski!$M$2:$AZ$816,3,0)=0,"",VLOOKUP(D34,wnioski!$M$2:$AZ$816,3,0))</f>
        <v/>
      </c>
      <c r="O34" t="str">
        <f>VLOOKUP(D34,wnioski!$M$2:$AZ$816,15,0)</f>
        <v>14:42</v>
      </c>
      <c r="P34" t="str">
        <f>VLOOKUP(D34,wnioski!$M$2:$AZ$816,14,0)</f>
        <v>Bielawa Zachodnia</v>
      </c>
      <c r="Q34" t="str">
        <f>VLOOKUP(D34,wnioski!$M$2:$AZ$816,16,0)</f>
        <v>Dzierżoniów Śląski</v>
      </c>
      <c r="R34" t="str">
        <f>VLOOKUP(D34,wnioski!$M$2:$AZ$816,17,0)</f>
        <v>14:50</v>
      </c>
    </row>
    <row r="35" spans="1:18" x14ac:dyDescent="0.25">
      <c r="A35" s="1">
        <v>34</v>
      </c>
      <c r="B35" s="8">
        <v>1</v>
      </c>
      <c r="D35">
        <v>69896</v>
      </c>
      <c r="E35" t="s">
        <v>9</v>
      </c>
      <c r="F35"/>
      <c r="G35" s="1">
        <v>3</v>
      </c>
      <c r="H35" s="6">
        <f>COUNTIF(wnioski!$M$2:$M$816,pot!D35)</f>
        <v>1</v>
      </c>
      <c r="I35" t="str">
        <f>VLOOKUP(D35,wnioski!$M$2:$AZ$816,5,0)</f>
        <v>SA139</v>
      </c>
      <c r="J35" t="str">
        <f>VLOOKUP(D35,wnioski!$M$2:$AZ$816,4,0)</f>
        <v>ROM</v>
      </c>
      <c r="L35">
        <f t="shared" si="1"/>
        <v>69896</v>
      </c>
      <c r="M35" t="str">
        <f>IF(VLOOKUP(D35,wnioski!$M$2:$AZ$816,2,0)=0,"",VLOOKUP(D35,wnioski!$M$2:$AZ$816,2,0))</f>
        <v/>
      </c>
      <c r="N35" t="str">
        <f>IF(VLOOKUP(D35,wnioski!$M$2:$AZ$816,3,0)=0,"",VLOOKUP(D35,wnioski!$M$2:$AZ$816,3,0))</f>
        <v/>
      </c>
      <c r="O35" t="str">
        <f>VLOOKUP(D35,wnioski!$M$2:$AZ$816,15,0)</f>
        <v>15:00</v>
      </c>
      <c r="P35" t="str">
        <f>VLOOKUP(D35,wnioski!$M$2:$AZ$816,14,0)</f>
        <v>Dzierżoniów Śląski</v>
      </c>
      <c r="Q35" t="str">
        <f>VLOOKUP(D35,wnioski!$M$2:$AZ$816,16,0)</f>
        <v>Bielawa Zachodnia</v>
      </c>
      <c r="R35" t="str">
        <f>VLOOKUP(D35,wnioski!$M$2:$AZ$816,17,0)</f>
        <v>15:08</v>
      </c>
    </row>
    <row r="36" spans="1:18" x14ac:dyDescent="0.25">
      <c r="A36" s="1">
        <v>35</v>
      </c>
      <c r="B36" s="8">
        <v>1</v>
      </c>
      <c r="D36">
        <v>69817</v>
      </c>
      <c r="E36" t="s">
        <v>9</v>
      </c>
      <c r="F36"/>
      <c r="G36" s="1">
        <v>3</v>
      </c>
      <c r="H36" s="6">
        <f>COUNTIF(wnioski!$M$2:$M$816,pot!D36)</f>
        <v>2</v>
      </c>
      <c r="I36" t="str">
        <f>VLOOKUP(D36,wnioski!$M$2:$AZ$816,5,0)</f>
        <v>SA139</v>
      </c>
      <c r="J36" t="str">
        <f>VLOOKUP(D36,wnioski!$M$2:$AZ$816,4,0)</f>
        <v>ROM</v>
      </c>
      <c r="L36">
        <f t="shared" si="1"/>
        <v>69817</v>
      </c>
      <c r="M36" t="str">
        <f>IF(VLOOKUP(D36,wnioski!$M$2:$AZ$816,2,0)=0,"",VLOOKUP(D36,wnioski!$M$2:$AZ$816,2,0))</f>
        <v/>
      </c>
      <c r="N36" t="str">
        <f>IF(VLOOKUP(D36,wnioski!$M$2:$AZ$816,3,0)=0,"",VLOOKUP(D36,wnioski!$M$2:$AZ$816,3,0))</f>
        <v/>
      </c>
      <c r="O36" t="str">
        <f>VLOOKUP(D36,wnioski!$M$2:$AZ$816,15,0)</f>
        <v>15:14</v>
      </c>
      <c r="P36" t="str">
        <f>VLOOKUP(D36,wnioski!$M$2:$AZ$816,14,0)</f>
        <v>Bielawa Zachodnia</v>
      </c>
      <c r="Q36" t="str">
        <f>VLOOKUP(D36,wnioski!$M$2:$AZ$816,16,0)</f>
        <v>Legnica</v>
      </c>
      <c r="R36" t="str">
        <f>VLOOKUP(D36,wnioski!$M$2:$AZ$816,17,0)</f>
        <v>17:18</v>
      </c>
    </row>
    <row r="37" spans="1:18" x14ac:dyDescent="0.25">
      <c r="A37" s="1">
        <v>36</v>
      </c>
      <c r="B37" s="8">
        <v>1</v>
      </c>
      <c r="D37">
        <v>67003</v>
      </c>
      <c r="E37" t="s">
        <v>7</v>
      </c>
      <c r="F37"/>
      <c r="G37" s="1">
        <v>3</v>
      </c>
      <c r="H37" s="6">
        <f>COUNTIF(wnioski!$M$2:$M$816,pot!D37)</f>
        <v>1</v>
      </c>
      <c r="I37" t="str">
        <f>VLOOKUP(D37,wnioski!$M$2:$AZ$816,5,0)</f>
        <v>SA139</v>
      </c>
      <c r="J37" t="str">
        <f>VLOOKUP(D37,wnioski!$M$2:$AZ$816,4,0)</f>
        <v>MMM</v>
      </c>
      <c r="L37">
        <f t="shared" si="1"/>
        <v>67003</v>
      </c>
      <c r="M37" t="str">
        <f>IF(VLOOKUP(D37,wnioski!$M$2:$AZ$816,2,0)=0,"",VLOOKUP(D37,wnioski!$M$2:$AZ$816,2,0))</f>
        <v>5628</v>
      </c>
      <c r="N37" t="str">
        <f>IF(VLOOKUP(D37,wnioski!$M$2:$AZ$816,3,0)=0,"",VLOOKUP(D37,wnioski!$M$2:$AZ$816,3,0))</f>
        <v>KD SPRINTER WITELON</v>
      </c>
      <c r="O37" t="str">
        <f>VLOOKUP(D37,wnioski!$M$2:$AZ$816,15,0)</f>
        <v>15:25</v>
      </c>
      <c r="P37" t="str">
        <f>VLOOKUP(D37,wnioski!$M$2:$AZ$816,14,0)</f>
        <v>Wrocław Główny</v>
      </c>
      <c r="Q37" t="str">
        <f>VLOOKUP(D37,wnioski!$M$2:$AZ$816,16,0)</f>
        <v>Forst Lausitz</v>
      </c>
      <c r="R37" t="str">
        <f>VLOOKUP(D37,wnioski!$M$2:$AZ$816,17,0)</f>
        <v>18:13</v>
      </c>
    </row>
    <row r="38" spans="1:18" x14ac:dyDescent="0.25">
      <c r="A38" s="1">
        <v>37</v>
      </c>
      <c r="B38" s="8">
        <v>1</v>
      </c>
      <c r="D38">
        <v>76002</v>
      </c>
      <c r="E38" t="s">
        <v>7</v>
      </c>
      <c r="F38"/>
      <c r="G38" s="1">
        <v>3</v>
      </c>
      <c r="H38" s="6">
        <f>COUNTIF(wnioski!$M$2:$M$816,pot!D38)</f>
        <v>1</v>
      </c>
      <c r="I38" t="str">
        <f>VLOOKUP(D38,wnioski!$M$2:$AZ$816,5,0)</f>
        <v>SA139</v>
      </c>
      <c r="J38" t="str">
        <f>VLOOKUP(D38,wnioski!$M$2:$AZ$816,4,0)</f>
        <v>MMM</v>
      </c>
      <c r="L38">
        <f t="shared" si="1"/>
        <v>76002</v>
      </c>
      <c r="M38" t="str">
        <f>IF(VLOOKUP(D38,wnioski!$M$2:$AZ$816,2,0)=0,"",VLOOKUP(D38,wnioski!$M$2:$AZ$816,2,0))</f>
        <v>5629</v>
      </c>
      <c r="N38" t="str">
        <f>IF(VLOOKUP(D38,wnioski!$M$2:$AZ$816,3,0)=0,"",VLOOKUP(D38,wnioski!$M$2:$AZ$816,3,0))</f>
        <v>KD SPRINTER TELEMANN</v>
      </c>
      <c r="O38" t="str">
        <f>VLOOKUP(D38,wnioski!$M$2:$AZ$816,15,0)</f>
        <v>18:34</v>
      </c>
      <c r="P38" t="str">
        <f>VLOOKUP(D38,wnioski!$M$2:$AZ$816,14,0)</f>
        <v>Forst Lausitz</v>
      </c>
      <c r="Q38" t="str">
        <f>VLOOKUP(D38,wnioski!$M$2:$AZ$816,16,0)</f>
        <v>Wrocław Główny</v>
      </c>
      <c r="R38" t="str">
        <f>VLOOKUP(D38,wnioski!$M$2:$AZ$816,17,0)</f>
        <v>21:19</v>
      </c>
    </row>
    <row r="39" spans="1:18" x14ac:dyDescent="0.25">
      <c r="A39" s="1">
        <v>38</v>
      </c>
      <c r="B39" s="8">
        <v>1</v>
      </c>
      <c r="D39">
        <v>69585</v>
      </c>
      <c r="E39" t="s">
        <v>7</v>
      </c>
      <c r="F39"/>
      <c r="G39" s="1">
        <v>3</v>
      </c>
      <c r="H39" s="6">
        <f>COUNTIF(wnioski!$M$2:$M$816,pot!D39)</f>
        <v>2</v>
      </c>
      <c r="I39" t="str">
        <f>VLOOKUP(D39,wnioski!$M$2:$AZ$816,5,0)</f>
        <v>SA139</v>
      </c>
      <c r="J39" t="str">
        <f>VLOOKUP(D39,wnioski!$M$2:$AZ$816,4,0)</f>
        <v>ROM</v>
      </c>
      <c r="L39">
        <f t="shared" si="1"/>
        <v>69585</v>
      </c>
      <c r="M39" t="str">
        <f>IF(VLOOKUP(D39,wnioski!$M$2:$AZ$816,2,0)=0,"",VLOOKUP(D39,wnioski!$M$2:$AZ$816,2,0))</f>
        <v/>
      </c>
      <c r="N39" t="str">
        <f>IF(VLOOKUP(D39,wnioski!$M$2:$AZ$816,3,0)=0,"",VLOOKUP(D39,wnioski!$M$2:$AZ$816,3,0))</f>
        <v/>
      </c>
      <c r="O39" t="str">
        <f>VLOOKUP(D39,wnioski!$M$2:$AZ$816,15,0)</f>
        <v>23:05</v>
      </c>
      <c r="P39" t="str">
        <f>VLOOKUP(D39,wnioski!$M$2:$AZ$816,14,0)</f>
        <v>Wrocław Główny</v>
      </c>
      <c r="Q39" t="str">
        <f>VLOOKUP(D39,wnioski!$M$2:$AZ$816,16,0)</f>
        <v>Legnica</v>
      </c>
      <c r="R39" t="str">
        <f>VLOOKUP(D39,wnioski!$M$2:$AZ$816,17,0)</f>
        <v>[1] 00:03</v>
      </c>
    </row>
    <row r="40" spans="1:18" x14ac:dyDescent="0.25">
      <c r="A40" s="1">
        <v>39</v>
      </c>
      <c r="B40">
        <v>2</v>
      </c>
      <c r="D40">
        <v>69401</v>
      </c>
      <c r="E40" t="s">
        <v>8</v>
      </c>
      <c r="G40" s="1">
        <v>1</v>
      </c>
      <c r="H40" s="6">
        <f>COUNTIF(wnioski!$M$2:$M$816,pot!D40)</f>
        <v>1</v>
      </c>
      <c r="I40" t="str">
        <f>VLOOKUP(D40,wnioski!$M$2:$AZ$816,5,0)</f>
        <v>SA135</v>
      </c>
      <c r="J40" t="str">
        <f>VLOOKUP(D40,wnioski!$M$2:$AZ$816,4,0)</f>
        <v>ROM</v>
      </c>
      <c r="L40">
        <f t="shared" si="1"/>
        <v>69401</v>
      </c>
      <c r="M40" t="str">
        <f>IF(VLOOKUP(D40,wnioski!$M$2:$AZ$816,2,0)=0,"",VLOOKUP(D40,wnioski!$M$2:$AZ$816,2,0))</f>
        <v/>
      </c>
      <c r="N40" t="str">
        <f>IF(VLOOKUP(D40,wnioski!$M$2:$AZ$816,3,0)=0,"",VLOOKUP(D40,wnioski!$M$2:$AZ$816,3,0))</f>
        <v/>
      </c>
      <c r="O40" t="str">
        <f>VLOOKUP(D40,wnioski!$M$2:$AZ$816,15,0)</f>
        <v>05:00</v>
      </c>
      <c r="P40" t="str">
        <f>VLOOKUP(D40,wnioski!$M$2:$AZ$816,14,0)</f>
        <v>Kłodzko Główne</v>
      </c>
      <c r="Q40" t="str">
        <f>VLOOKUP(D40,wnioski!$M$2:$AZ$816,16,0)</f>
        <v>Kudowa-Zdrój</v>
      </c>
      <c r="R40" t="str">
        <f>VLOOKUP(D40,wnioski!$M$2:$AZ$816,17,0)</f>
        <v>06:12</v>
      </c>
    </row>
    <row r="41" spans="1:18" x14ac:dyDescent="0.25">
      <c r="A41" s="1">
        <v>40</v>
      </c>
      <c r="B41">
        <v>2</v>
      </c>
      <c r="D41">
        <v>69422</v>
      </c>
      <c r="E41" t="s">
        <v>8</v>
      </c>
      <c r="G41" s="1">
        <v>1</v>
      </c>
      <c r="H41" s="6">
        <f>COUNTIF(wnioski!$M$2:$M$816,pot!D41)</f>
        <v>1</v>
      </c>
      <c r="I41" t="str">
        <f>VLOOKUP(D41,wnioski!$M$2:$AZ$816,5,0)</f>
        <v>SA135</v>
      </c>
      <c r="J41" t="str">
        <f>VLOOKUP(D41,wnioski!$M$2:$AZ$816,4,0)</f>
        <v>ROM</v>
      </c>
      <c r="L41">
        <f t="shared" si="1"/>
        <v>69422</v>
      </c>
      <c r="M41" t="str">
        <f>IF(VLOOKUP(D41,wnioski!$M$2:$AZ$816,2,0)=0,"",VLOOKUP(D41,wnioski!$M$2:$AZ$816,2,0))</f>
        <v/>
      </c>
      <c r="N41" t="str">
        <f>IF(VLOOKUP(D41,wnioski!$M$2:$AZ$816,3,0)=0,"",VLOOKUP(D41,wnioski!$M$2:$AZ$816,3,0))</f>
        <v/>
      </c>
      <c r="O41" t="str">
        <f>VLOOKUP(D41,wnioski!$M$2:$AZ$816,15,0)</f>
        <v>06:19</v>
      </c>
      <c r="P41" t="str">
        <f>VLOOKUP(D41,wnioski!$M$2:$AZ$816,14,0)</f>
        <v>Kudowa-Zdrój</v>
      </c>
      <c r="Q41" t="str">
        <f>VLOOKUP(D41,wnioski!$M$2:$AZ$816,16,0)</f>
        <v>Kłodzko Miasto</v>
      </c>
      <c r="R41" t="str">
        <f>VLOOKUP(D41,wnioski!$M$2:$AZ$816,17,0)</f>
        <v>07:29</v>
      </c>
    </row>
    <row r="42" spans="1:18" x14ac:dyDescent="0.25">
      <c r="A42" s="1">
        <v>41</v>
      </c>
      <c r="B42">
        <v>2</v>
      </c>
      <c r="D42">
        <v>66203</v>
      </c>
      <c r="E42" t="s">
        <v>8</v>
      </c>
      <c r="G42" s="1">
        <v>1</v>
      </c>
      <c r="H42" s="6">
        <f>COUNTIF(wnioski!$M$2:$M$816,pot!D42)</f>
        <v>1</v>
      </c>
      <c r="I42" t="str">
        <f>VLOOKUP(D42,wnioski!$M$2:$AZ$816,5,0)</f>
        <v>SA135</v>
      </c>
      <c r="J42" t="str">
        <f>VLOOKUP(D42,wnioski!$M$2:$AZ$816,4,0)</f>
        <v>ROM</v>
      </c>
      <c r="L42">
        <f t="shared" si="1"/>
        <v>66203</v>
      </c>
      <c r="M42" t="str">
        <f>IF(VLOOKUP(D42,wnioski!$M$2:$AZ$816,2,0)=0,"",VLOOKUP(D42,wnioski!$M$2:$AZ$816,2,0))</f>
        <v/>
      </c>
      <c r="N42" t="str">
        <f>IF(VLOOKUP(D42,wnioski!$M$2:$AZ$816,3,0)=0,"",VLOOKUP(D42,wnioski!$M$2:$AZ$816,3,0))</f>
        <v/>
      </c>
      <c r="O42" t="str">
        <f>VLOOKUP(D42,wnioski!$M$2:$AZ$816,15,0)</f>
        <v>07:43</v>
      </c>
      <c r="P42" t="str">
        <f>VLOOKUP(D42,wnioski!$M$2:$AZ$816,14,0)</f>
        <v>Kłodzko Miasto</v>
      </c>
      <c r="Q42" t="str">
        <f>VLOOKUP(D42,wnioski!$M$2:$AZ$816,16,0)</f>
        <v>Kudowa-Zdrój</v>
      </c>
      <c r="R42" t="str">
        <f>VLOOKUP(D42,wnioski!$M$2:$AZ$816,17,0)</f>
        <v>08:51</v>
      </c>
    </row>
    <row r="43" spans="1:18" x14ac:dyDescent="0.25">
      <c r="A43" s="1">
        <v>42</v>
      </c>
      <c r="B43">
        <v>2</v>
      </c>
      <c r="D43" t="s">
        <v>3425</v>
      </c>
      <c r="E43" t="s">
        <v>8</v>
      </c>
      <c r="G43" s="1">
        <v>1</v>
      </c>
      <c r="H43" s="6">
        <f>COUNTIF(wnioski!$M$2:$M$816,pot!D43)</f>
        <v>6</v>
      </c>
      <c r="I43" t="str">
        <f>VLOOKUP(D43,wnioski!$M$2:$AZ$816,5,0)</f>
        <v>SA134</v>
      </c>
      <c r="J43" t="str">
        <f>VLOOKUP(D43,wnioski!$M$2:$AZ$816,4,0)</f>
        <v>RPM</v>
      </c>
      <c r="L43" t="str">
        <f t="shared" si="1"/>
        <v>69114/5</v>
      </c>
      <c r="M43" t="str">
        <f>IF(VLOOKUP(D43,wnioski!$M$2:$AZ$816,2,0)=0,"",VLOOKUP(D43,wnioski!$M$2:$AZ$816,2,0))</f>
        <v/>
      </c>
      <c r="N43" t="str">
        <f>IF(VLOOKUP(D43,wnioski!$M$2:$AZ$816,3,0)=0,"",VLOOKUP(D43,wnioski!$M$2:$AZ$816,3,0))</f>
        <v>KD SPRINTER BYSTRZYCA</v>
      </c>
      <c r="O43" t="str">
        <f>VLOOKUP(D43,wnioski!$M$2:$AZ$816,15,0)</f>
        <v>09:02</v>
      </c>
      <c r="P43" t="str">
        <f>VLOOKUP(D43,wnioski!$M$2:$AZ$816,14,0)</f>
        <v>Kudowa-Zdrój</v>
      </c>
      <c r="Q43" t="str">
        <f>VLOOKUP(D43,wnioski!$M$2:$AZ$816,16,0)</f>
        <v>Wrocław Główny</v>
      </c>
      <c r="R43" t="str">
        <f>VLOOKUP(D43,wnioski!$M$2:$AZ$816,17,0)</f>
        <v>12:34</v>
      </c>
    </row>
    <row r="44" spans="1:18" x14ac:dyDescent="0.25">
      <c r="A44" s="1">
        <v>43</v>
      </c>
      <c r="B44">
        <v>2</v>
      </c>
      <c r="D44">
        <v>60237</v>
      </c>
      <c r="E44" t="s">
        <v>8401</v>
      </c>
      <c r="G44" s="1">
        <v>1</v>
      </c>
      <c r="H44" s="6">
        <f>COUNTIF(wnioski!$M$2:$M$816,pot!D44)</f>
        <v>1</v>
      </c>
      <c r="I44" t="str">
        <f>VLOOKUP(D44,wnioski!$M$2:$AZ$816,5,0)</f>
        <v>SA134</v>
      </c>
      <c r="J44" t="str">
        <f>VLOOKUP(D44,wnioski!$M$2:$AZ$816,4,0)</f>
        <v>ROM</v>
      </c>
      <c r="L44">
        <f t="shared" si="1"/>
        <v>60237</v>
      </c>
      <c r="M44" t="str">
        <f>IF(VLOOKUP(D44,wnioski!$M$2:$AZ$816,2,0)=0,"",VLOOKUP(D44,wnioski!$M$2:$AZ$816,2,0))</f>
        <v/>
      </c>
      <c r="N44" t="str">
        <f>IF(VLOOKUP(D44,wnioski!$M$2:$AZ$816,3,0)=0,"",VLOOKUP(D44,wnioski!$M$2:$AZ$816,3,0))</f>
        <v/>
      </c>
      <c r="O44" t="str">
        <f>VLOOKUP(D44,wnioski!$M$2:$AZ$816,15,0)</f>
        <v>14:44</v>
      </c>
      <c r="P44" t="str">
        <f>VLOOKUP(D44,wnioski!$M$2:$AZ$816,14,0)</f>
        <v>Wrocław Główny</v>
      </c>
      <c r="Q44" t="str">
        <f>VLOOKUP(D44,wnioski!$M$2:$AZ$816,16,0)</f>
        <v>Sobótka Zachodnia</v>
      </c>
      <c r="R44" t="str">
        <f>VLOOKUP(D44,wnioski!$M$2:$AZ$816,17,0)</f>
        <v>15:31</v>
      </c>
    </row>
    <row r="45" spans="1:18" x14ac:dyDescent="0.25">
      <c r="A45" s="1">
        <v>44</v>
      </c>
      <c r="B45">
        <v>2</v>
      </c>
      <c r="D45">
        <v>60286</v>
      </c>
      <c r="E45" t="s">
        <v>8401</v>
      </c>
      <c r="G45" s="1">
        <v>1</v>
      </c>
      <c r="H45" s="6">
        <f>COUNTIF(wnioski!$M$2:$M$816,pot!D45)</f>
        <v>1</v>
      </c>
      <c r="I45" t="str">
        <f>VLOOKUP(D45,wnioski!$M$2:$AZ$816,5,0)</f>
        <v>SA134</v>
      </c>
      <c r="J45" t="str">
        <f>VLOOKUP(D45,wnioski!$M$2:$AZ$816,4,0)</f>
        <v>ROM</v>
      </c>
      <c r="L45">
        <f t="shared" si="1"/>
        <v>60286</v>
      </c>
      <c r="M45" t="str">
        <f>IF(VLOOKUP(D45,wnioski!$M$2:$AZ$816,2,0)=0,"",VLOOKUP(D45,wnioski!$M$2:$AZ$816,2,0))</f>
        <v/>
      </c>
      <c r="N45" t="str">
        <f>IF(VLOOKUP(D45,wnioski!$M$2:$AZ$816,3,0)=0,"",VLOOKUP(D45,wnioski!$M$2:$AZ$816,3,0))</f>
        <v/>
      </c>
      <c r="O45" t="str">
        <f>VLOOKUP(D45,wnioski!$M$2:$AZ$816,15,0)</f>
        <v>16:35</v>
      </c>
      <c r="P45" t="str">
        <f>VLOOKUP(D45,wnioski!$M$2:$AZ$816,14,0)</f>
        <v>Sobótka Zachodnia</v>
      </c>
      <c r="Q45" t="str">
        <f>VLOOKUP(D45,wnioski!$M$2:$AZ$816,16,0)</f>
        <v>Wrocław Główny</v>
      </c>
      <c r="R45" t="str">
        <f>VLOOKUP(D45,wnioski!$M$2:$AZ$816,17,0)</f>
        <v>17:25</v>
      </c>
    </row>
    <row r="46" spans="1:18" x14ac:dyDescent="0.25">
      <c r="A46" s="1">
        <v>45</v>
      </c>
      <c r="B46">
        <v>2</v>
      </c>
      <c r="D46">
        <v>60123</v>
      </c>
      <c r="E46" t="s">
        <v>8</v>
      </c>
      <c r="G46" s="1">
        <v>1</v>
      </c>
      <c r="H46" s="6">
        <f>COUNTIF(wnioski!$M$2:$M$816,pot!D46)</f>
        <v>1</v>
      </c>
      <c r="I46" t="str">
        <f>VLOOKUP(D46,wnioski!$M$2:$AZ$816,5,0)</f>
        <v>SA134</v>
      </c>
      <c r="J46" t="str">
        <f>VLOOKUP(D46,wnioski!$M$2:$AZ$816,4,0)</f>
        <v>RPM</v>
      </c>
      <c r="L46">
        <f t="shared" si="1"/>
        <v>60123</v>
      </c>
      <c r="M46" t="str">
        <f>IF(VLOOKUP(D46,wnioski!$M$2:$AZ$816,2,0)=0,"",VLOOKUP(D46,wnioski!$M$2:$AZ$816,2,0))</f>
        <v/>
      </c>
      <c r="N46" t="str">
        <f>IF(VLOOKUP(D46,wnioski!$M$2:$AZ$816,3,0)=0,"",VLOOKUP(D46,wnioski!$M$2:$AZ$816,3,0))</f>
        <v>KD SPRINTER BŁĘDNE SKAŁY</v>
      </c>
      <c r="O46" t="str">
        <f>VLOOKUP(D46,wnioski!$M$2:$AZ$816,15,0)</f>
        <v>17:51</v>
      </c>
      <c r="P46" t="str">
        <f>VLOOKUP(D46,wnioski!$M$2:$AZ$816,14,0)</f>
        <v>Wrocław Główny</v>
      </c>
      <c r="Q46" t="str">
        <f>VLOOKUP(D46,wnioski!$M$2:$AZ$816,16,0)</f>
        <v>Kudowa-Zdrój</v>
      </c>
      <c r="R46" t="str">
        <f>VLOOKUP(D46,wnioski!$M$2:$AZ$816,17,0)</f>
        <v>20:18</v>
      </c>
    </row>
    <row r="47" spans="1:18" x14ac:dyDescent="0.25">
      <c r="A47" s="1">
        <v>46</v>
      </c>
      <c r="B47">
        <v>2</v>
      </c>
      <c r="D47">
        <v>60126</v>
      </c>
      <c r="E47" t="s">
        <v>8</v>
      </c>
      <c r="G47" s="1">
        <v>1</v>
      </c>
      <c r="H47" s="6">
        <f>COUNTIF(wnioski!$M$2:$M$816,pot!D47)</f>
        <v>1</v>
      </c>
      <c r="I47" t="str">
        <f>VLOOKUP(D47,wnioski!$M$2:$AZ$816,5,0)</f>
        <v>SA134</v>
      </c>
      <c r="J47" t="str">
        <f>VLOOKUP(D47,wnioski!$M$2:$AZ$816,4,0)</f>
        <v>RPM</v>
      </c>
      <c r="L47">
        <f t="shared" si="1"/>
        <v>60126</v>
      </c>
      <c r="M47" t="str">
        <f>IF(VLOOKUP(D47,wnioski!$M$2:$AZ$816,2,0)=0,"",VLOOKUP(D47,wnioski!$M$2:$AZ$816,2,0))</f>
        <v/>
      </c>
      <c r="N47" t="str">
        <f>IF(VLOOKUP(D47,wnioski!$M$2:$AZ$816,3,0)=0,"",VLOOKUP(D47,wnioski!$M$2:$AZ$816,3,0))</f>
        <v>KD SPRINTER BŁĘDNE SKAŁY</v>
      </c>
      <c r="O47" t="str">
        <f>VLOOKUP(D47,wnioski!$M$2:$AZ$816,15,0)</f>
        <v>20:32</v>
      </c>
      <c r="P47" t="str">
        <f>VLOOKUP(D47,wnioski!$M$2:$AZ$816,14,0)</f>
        <v>Kudowa-Zdrój</v>
      </c>
      <c r="Q47" t="str">
        <f>VLOOKUP(D47,wnioski!$M$2:$AZ$816,16,0)</f>
        <v>Wrocław Główny</v>
      </c>
      <c r="R47" t="str">
        <f>VLOOKUP(D47,wnioski!$M$2:$AZ$816,17,0)</f>
        <v>22:57</v>
      </c>
    </row>
    <row r="48" spans="1:18" x14ac:dyDescent="0.25">
      <c r="A48" s="1">
        <v>47</v>
      </c>
      <c r="B48">
        <v>2</v>
      </c>
      <c r="D48" t="s">
        <v>7229</v>
      </c>
      <c r="E48" t="s">
        <v>8400</v>
      </c>
      <c r="G48" s="1">
        <v>1</v>
      </c>
      <c r="H48" s="6">
        <f>COUNTIF(wnioski!$M$2:$M$816,pot!D48)</f>
        <v>1</v>
      </c>
      <c r="I48" t="str">
        <f>VLOOKUP(D48,wnioski!$M$2:$AZ$816,5,0)</f>
        <v>36WEh</v>
      </c>
      <c r="J48" t="str">
        <f>VLOOKUP(D48,wnioski!$M$2:$AZ$816,4,0)</f>
        <v>ROJ ROM</v>
      </c>
      <c r="L48" t="str">
        <f t="shared" si="1"/>
        <v>69971/0</v>
      </c>
      <c r="M48" t="str">
        <f>IF(VLOOKUP(D48,wnioski!$M$2:$AZ$816,2,0)=0,"",VLOOKUP(D48,wnioski!$M$2:$AZ$816,2,0))</f>
        <v/>
      </c>
      <c r="N48" t="str">
        <f>IF(VLOOKUP(D48,wnioski!$M$2:$AZ$816,3,0)=0,"",VLOOKUP(D48,wnioski!$M$2:$AZ$816,3,0))</f>
        <v/>
      </c>
      <c r="O48" t="str">
        <f>VLOOKUP(D48,wnioski!$M$2:$AZ$816,15,0)</f>
        <v>23:13</v>
      </c>
      <c r="P48" t="str">
        <f>VLOOKUP(D48,wnioski!$M$2:$AZ$816,14,0)</f>
        <v>Wrocław Główny</v>
      </c>
      <c r="Q48" t="str">
        <f>VLOOKUP(D48,wnioski!$M$2:$AZ$816,16,0)</f>
        <v>Trzebnica</v>
      </c>
      <c r="R48" t="str">
        <f>VLOOKUP(D48,wnioski!$M$2:$AZ$816,17,0)</f>
        <v>23:57</v>
      </c>
    </row>
    <row r="49" spans="1:18" x14ac:dyDescent="0.25">
      <c r="A49" s="1">
        <v>48</v>
      </c>
      <c r="B49">
        <v>2</v>
      </c>
      <c r="D49" t="s">
        <v>7220</v>
      </c>
      <c r="E49" t="s">
        <v>9</v>
      </c>
      <c r="G49" s="1">
        <v>2</v>
      </c>
      <c r="H49" s="6">
        <f>COUNTIF(wnioski!$M$2:$M$816,pot!D49)</f>
        <v>1</v>
      </c>
      <c r="I49" t="str">
        <f>VLOOKUP(D49,wnioski!$M$2:$AZ$816,5,0)</f>
        <v>36WEh</v>
      </c>
      <c r="J49" t="str">
        <f>VLOOKUP(D49,wnioski!$M$2:$AZ$816,4,0)</f>
        <v>ROM ROJ</v>
      </c>
      <c r="L49" t="str">
        <f t="shared" si="1"/>
        <v>69900/1</v>
      </c>
      <c r="M49" t="str">
        <f>IF(VLOOKUP(D49,wnioski!$M$2:$AZ$816,2,0)=0,"",VLOOKUP(D49,wnioski!$M$2:$AZ$816,2,0))</f>
        <v/>
      </c>
      <c r="N49" t="str">
        <f>IF(VLOOKUP(D49,wnioski!$M$2:$AZ$816,3,0)=0,"",VLOOKUP(D49,wnioski!$M$2:$AZ$816,3,0))</f>
        <v/>
      </c>
      <c r="O49" t="str">
        <f>VLOOKUP(D49,wnioski!$M$2:$AZ$816,15,0)</f>
        <v>04:34</v>
      </c>
      <c r="P49" t="str">
        <f>VLOOKUP(D49,wnioski!$M$2:$AZ$816,14,0)</f>
        <v>Trzebnica</v>
      </c>
      <c r="Q49" t="str">
        <f>VLOOKUP(D49,wnioski!$M$2:$AZ$816,16,0)</f>
        <v>Wrocław Główny</v>
      </c>
      <c r="R49" t="str">
        <f>VLOOKUP(D49,wnioski!$M$2:$AZ$816,17,0)</f>
        <v>05:18</v>
      </c>
    </row>
    <row r="50" spans="1:18" x14ac:dyDescent="0.25">
      <c r="A50" s="1">
        <v>49</v>
      </c>
      <c r="B50">
        <v>2</v>
      </c>
      <c r="D50">
        <v>60231</v>
      </c>
      <c r="E50" t="s">
        <v>8401</v>
      </c>
      <c r="G50" s="1">
        <v>2</v>
      </c>
      <c r="H50" s="6">
        <f>COUNTIF(wnioski!$M$2:$M$816,pot!D50)</f>
        <v>1</v>
      </c>
      <c r="I50" t="str">
        <f>VLOOKUP(D50,wnioski!$M$2:$AZ$816,5,0)</f>
        <v>SA134</v>
      </c>
      <c r="J50" t="str">
        <f>VLOOKUP(D50,wnioski!$M$2:$AZ$816,4,0)</f>
        <v>ROM</v>
      </c>
      <c r="L50">
        <f t="shared" si="1"/>
        <v>60231</v>
      </c>
      <c r="M50" t="str">
        <f>IF(VLOOKUP(D50,wnioski!$M$2:$AZ$816,2,0)=0,"",VLOOKUP(D50,wnioski!$M$2:$AZ$816,2,0))</f>
        <v/>
      </c>
      <c r="N50" t="str">
        <f>IF(VLOOKUP(D50,wnioski!$M$2:$AZ$816,3,0)=0,"",VLOOKUP(D50,wnioski!$M$2:$AZ$816,3,0))</f>
        <v/>
      </c>
      <c r="O50" t="str">
        <f>VLOOKUP(D50,wnioski!$M$2:$AZ$816,15,0)</f>
        <v>05:30</v>
      </c>
      <c r="P50" t="str">
        <f>VLOOKUP(D50,wnioski!$M$2:$AZ$816,14,0)</f>
        <v>Wrocław Główny</v>
      </c>
      <c r="Q50" t="str">
        <f>VLOOKUP(D50,wnioski!$M$2:$AZ$816,16,0)</f>
        <v>Kobierzyce</v>
      </c>
      <c r="R50" t="str">
        <f>VLOOKUP(D50,wnioski!$M$2:$AZ$816,17,0)</f>
        <v>05:52</v>
      </c>
    </row>
    <row r="51" spans="1:18" x14ac:dyDescent="0.25">
      <c r="A51" s="1">
        <v>50</v>
      </c>
      <c r="B51">
        <v>2</v>
      </c>
      <c r="D51">
        <v>60264</v>
      </c>
      <c r="E51" t="s">
        <v>8401</v>
      </c>
      <c r="G51" s="1">
        <v>2</v>
      </c>
      <c r="H51" s="6">
        <f>COUNTIF(wnioski!$M$2:$M$816,pot!D51)</f>
        <v>1</v>
      </c>
      <c r="I51" t="str">
        <f>VLOOKUP(D51,wnioski!$M$2:$AZ$816,5,0)</f>
        <v>SA134</v>
      </c>
      <c r="J51" t="str">
        <f>VLOOKUP(D51,wnioski!$M$2:$AZ$816,4,0)</f>
        <v>ROM</v>
      </c>
      <c r="L51">
        <f t="shared" si="1"/>
        <v>60264</v>
      </c>
      <c r="M51" t="str">
        <f>IF(VLOOKUP(D51,wnioski!$M$2:$AZ$816,2,0)=0,"",VLOOKUP(D51,wnioski!$M$2:$AZ$816,2,0))</f>
        <v/>
      </c>
      <c r="N51" t="str">
        <f>IF(VLOOKUP(D51,wnioski!$M$2:$AZ$816,3,0)=0,"",VLOOKUP(D51,wnioski!$M$2:$AZ$816,3,0))</f>
        <v/>
      </c>
      <c r="O51" t="str">
        <f>VLOOKUP(D51,wnioski!$M$2:$AZ$816,15,0)</f>
        <v>06:35</v>
      </c>
      <c r="P51" t="str">
        <f>VLOOKUP(D51,wnioski!$M$2:$AZ$816,14,0)</f>
        <v>Kobierzyce</v>
      </c>
      <c r="Q51" t="str">
        <f>VLOOKUP(D51,wnioski!$M$2:$AZ$816,16,0)</f>
        <v>Wrocław Główny</v>
      </c>
      <c r="R51" t="str">
        <f>VLOOKUP(D51,wnioski!$M$2:$AZ$816,17,0)</f>
        <v>07:01</v>
      </c>
    </row>
    <row r="52" spans="1:18" x14ac:dyDescent="0.25">
      <c r="A52" s="1">
        <v>51</v>
      </c>
      <c r="B52">
        <v>2</v>
      </c>
      <c r="D52">
        <v>69555</v>
      </c>
      <c r="E52" t="s">
        <v>9</v>
      </c>
      <c r="G52" s="1">
        <v>2</v>
      </c>
      <c r="H52" s="6">
        <f>COUNTIF(wnioski!$M$2:$M$816,pot!D52)</f>
        <v>2</v>
      </c>
      <c r="I52" t="str">
        <f>VLOOKUP(D52,wnioski!$M$2:$AZ$816,5,0)</f>
        <v>45WE</v>
      </c>
      <c r="J52" t="str">
        <f>VLOOKUP(D52,wnioski!$M$2:$AZ$816,4,0)</f>
        <v>ROJ</v>
      </c>
      <c r="L52">
        <f t="shared" si="1"/>
        <v>69555</v>
      </c>
      <c r="M52" t="str">
        <f>IF(VLOOKUP(D52,wnioski!$M$2:$AZ$816,2,0)=0,"",VLOOKUP(D52,wnioski!$M$2:$AZ$816,2,0))</f>
        <v/>
      </c>
      <c r="N52" t="str">
        <f>IF(VLOOKUP(D52,wnioski!$M$2:$AZ$816,3,0)=0,"",VLOOKUP(D52,wnioski!$M$2:$AZ$816,3,0))</f>
        <v>HENRYK POBOŻNY</v>
      </c>
      <c r="O52" t="str">
        <f>VLOOKUP(D52,wnioski!$M$2:$AZ$816,15,0)</f>
        <v>07:24</v>
      </c>
      <c r="P52" t="str">
        <f>VLOOKUP(D52,wnioski!$M$2:$AZ$816,14,0)</f>
        <v>Wrocław Główny</v>
      </c>
      <c r="Q52" t="str">
        <f>VLOOKUP(D52,wnioski!$M$2:$AZ$816,16,0)</f>
        <v>Legnica</v>
      </c>
      <c r="R52" t="str">
        <f>VLOOKUP(D52,wnioski!$M$2:$AZ$816,17,0)</f>
        <v>08:15</v>
      </c>
    </row>
    <row r="53" spans="1:18" x14ac:dyDescent="0.25">
      <c r="A53" s="1">
        <v>52</v>
      </c>
      <c r="B53">
        <v>2</v>
      </c>
      <c r="D53">
        <v>69516</v>
      </c>
      <c r="E53" t="s">
        <v>9</v>
      </c>
      <c r="G53" s="1">
        <v>2</v>
      </c>
      <c r="H53" s="6">
        <f>COUNTIF(wnioski!$M$2:$M$816,pot!D53)</f>
        <v>2</v>
      </c>
      <c r="I53" t="str">
        <f>VLOOKUP(D53,wnioski!$M$2:$AZ$816,5,0)</f>
        <v>45WE</v>
      </c>
      <c r="J53" t="str">
        <f>VLOOKUP(D53,wnioski!$M$2:$AZ$816,4,0)</f>
        <v>ROJ</v>
      </c>
      <c r="L53">
        <f t="shared" si="1"/>
        <v>69516</v>
      </c>
      <c r="M53" t="str">
        <f>IF(VLOOKUP(D53,wnioski!$M$2:$AZ$816,2,0)=0,"",VLOOKUP(D53,wnioski!$M$2:$AZ$816,2,0))</f>
        <v/>
      </c>
      <c r="N53" t="str">
        <f>IF(VLOOKUP(D53,wnioski!$M$2:$AZ$816,3,0)=0,"",VLOOKUP(D53,wnioski!$M$2:$AZ$816,3,0))</f>
        <v/>
      </c>
      <c r="O53" t="str">
        <f>VLOOKUP(D53,wnioski!$M$2:$AZ$816,15,0)</f>
        <v>14:37</v>
      </c>
      <c r="P53" t="str">
        <f>VLOOKUP(D53,wnioski!$M$2:$AZ$816,14,0)</f>
        <v>Legnica</v>
      </c>
      <c r="Q53" t="str">
        <f>VLOOKUP(D53,wnioski!$M$2:$AZ$816,16,0)</f>
        <v>Wrocław Główny</v>
      </c>
      <c r="R53" t="str">
        <f>VLOOKUP(D53,wnioski!$M$2:$AZ$816,17,0)</f>
        <v>15:35</v>
      </c>
    </row>
    <row r="54" spans="1:18" x14ac:dyDescent="0.25">
      <c r="A54" s="1">
        <v>53</v>
      </c>
      <c r="B54">
        <v>2</v>
      </c>
      <c r="D54" t="s">
        <v>7280</v>
      </c>
      <c r="E54" t="s">
        <v>9</v>
      </c>
      <c r="G54" s="1">
        <v>2</v>
      </c>
      <c r="H54" s="6">
        <f>COUNTIF(wnioski!$M$2:$M$816,pot!D54)</f>
        <v>1</v>
      </c>
      <c r="I54" t="str">
        <f>VLOOKUP(D54,wnioski!$M$2:$AZ$816,5,0)</f>
        <v>SA134</v>
      </c>
      <c r="J54" t="str">
        <f>VLOOKUP(D54,wnioski!$M$2:$AZ$816,4,0)</f>
        <v>ROM</v>
      </c>
      <c r="L54" t="str">
        <f t="shared" si="1"/>
        <v>69959/8</v>
      </c>
      <c r="M54" t="str">
        <f>IF(VLOOKUP(D54,wnioski!$M$2:$AZ$816,2,0)=0,"",VLOOKUP(D54,wnioski!$M$2:$AZ$816,2,0))</f>
        <v/>
      </c>
      <c r="N54" t="str">
        <f>IF(VLOOKUP(D54,wnioski!$M$2:$AZ$816,3,0)=0,"",VLOOKUP(D54,wnioski!$M$2:$AZ$816,3,0))</f>
        <v/>
      </c>
      <c r="O54" t="str">
        <f>VLOOKUP(D54,wnioski!$M$2:$AZ$816,15,0)</f>
        <v>15:55</v>
      </c>
      <c r="P54" t="str">
        <f>VLOOKUP(D54,wnioski!$M$2:$AZ$816,14,0)</f>
        <v>Wrocław Główny</v>
      </c>
      <c r="Q54" t="str">
        <f>VLOOKUP(D54,wnioski!$M$2:$AZ$816,16,0)</f>
        <v>Trzebnica</v>
      </c>
      <c r="R54" t="str">
        <f>VLOOKUP(D54,wnioski!$M$2:$AZ$816,17,0)</f>
        <v>16:39</v>
      </c>
    </row>
    <row r="55" spans="1:18" x14ac:dyDescent="0.25">
      <c r="A55" s="1">
        <v>54</v>
      </c>
      <c r="B55">
        <v>2</v>
      </c>
      <c r="D55" t="s">
        <v>7135</v>
      </c>
      <c r="E55" t="s">
        <v>9</v>
      </c>
      <c r="G55" s="1">
        <v>2</v>
      </c>
      <c r="H55" s="6">
        <f>COUNTIF(wnioski!$M$2:$M$816,pot!D55)</f>
        <v>1</v>
      </c>
      <c r="I55" t="str">
        <f>VLOOKUP(D55,wnioski!$M$2:$AZ$816,5,0)</f>
        <v>SA134</v>
      </c>
      <c r="J55" t="str">
        <f>VLOOKUP(D55,wnioski!$M$2:$AZ$816,4,0)</f>
        <v>ROM</v>
      </c>
      <c r="L55" t="str">
        <f t="shared" si="1"/>
        <v>69920/1</v>
      </c>
      <c r="M55" t="str">
        <f>IF(VLOOKUP(D55,wnioski!$M$2:$AZ$816,2,0)=0,"",VLOOKUP(D55,wnioski!$M$2:$AZ$816,2,0))</f>
        <v/>
      </c>
      <c r="N55" t="str">
        <f>IF(VLOOKUP(D55,wnioski!$M$2:$AZ$816,3,0)=0,"",VLOOKUP(D55,wnioski!$M$2:$AZ$816,3,0))</f>
        <v/>
      </c>
      <c r="O55" t="str">
        <f>VLOOKUP(D55,wnioski!$M$2:$AZ$816,15,0)</f>
        <v>16:48</v>
      </c>
      <c r="P55" t="str">
        <f>VLOOKUP(D55,wnioski!$M$2:$AZ$816,14,0)</f>
        <v>Trzebnica</v>
      </c>
      <c r="Q55" t="str">
        <f>VLOOKUP(D55,wnioski!$M$2:$AZ$816,16,0)</f>
        <v>Wrocław Główny</v>
      </c>
      <c r="R55" t="str">
        <f>VLOOKUP(D55,wnioski!$M$2:$AZ$816,17,0)</f>
        <v>17:34</v>
      </c>
    </row>
    <row r="56" spans="1:18" x14ac:dyDescent="0.25">
      <c r="A56" s="1">
        <v>55</v>
      </c>
      <c r="B56">
        <v>2</v>
      </c>
      <c r="D56" t="s">
        <v>7261</v>
      </c>
      <c r="E56" t="s">
        <v>9</v>
      </c>
      <c r="G56" s="1">
        <v>2</v>
      </c>
      <c r="H56" s="6">
        <f>COUNTIF(wnioski!$M$2:$M$816,pot!D56)</f>
        <v>1</v>
      </c>
      <c r="I56" t="str">
        <f>VLOOKUP(D56,wnioski!$M$2:$AZ$816,5,0)</f>
        <v>SA134</v>
      </c>
      <c r="J56" t="str">
        <f>VLOOKUP(D56,wnioski!$M$2:$AZ$816,4,0)</f>
        <v>ROM</v>
      </c>
      <c r="L56" t="str">
        <f t="shared" si="1"/>
        <v>69963/2</v>
      </c>
      <c r="M56" t="str">
        <f>IF(VLOOKUP(D56,wnioski!$M$2:$AZ$816,2,0)=0,"",VLOOKUP(D56,wnioski!$M$2:$AZ$816,2,0))</f>
        <v/>
      </c>
      <c r="N56" t="str">
        <f>IF(VLOOKUP(D56,wnioski!$M$2:$AZ$816,3,0)=0,"",VLOOKUP(D56,wnioski!$M$2:$AZ$816,3,0))</f>
        <v/>
      </c>
      <c r="O56" t="str">
        <f>VLOOKUP(D56,wnioski!$M$2:$AZ$816,15,0)</f>
        <v>18:01</v>
      </c>
      <c r="P56" t="str">
        <f>VLOOKUP(D56,wnioski!$M$2:$AZ$816,14,0)</f>
        <v>Wrocław Główny</v>
      </c>
      <c r="Q56" t="str">
        <f>VLOOKUP(D56,wnioski!$M$2:$AZ$816,16,0)</f>
        <v>Trzebnica</v>
      </c>
      <c r="R56" t="str">
        <f>VLOOKUP(D56,wnioski!$M$2:$AZ$816,17,0)</f>
        <v>18:45</v>
      </c>
    </row>
    <row r="57" spans="1:18" x14ac:dyDescent="0.25">
      <c r="A57" s="1">
        <v>56</v>
      </c>
      <c r="B57">
        <v>2</v>
      </c>
      <c r="D57" t="s">
        <v>7114</v>
      </c>
      <c r="E57" t="s">
        <v>9</v>
      </c>
      <c r="G57" s="1">
        <v>2</v>
      </c>
      <c r="H57" s="6">
        <f>COUNTIF(wnioski!$M$2:$M$816,pot!D57)</f>
        <v>1</v>
      </c>
      <c r="I57" t="str">
        <f>VLOOKUP(D57,wnioski!$M$2:$AZ$816,5,0)</f>
        <v>SA134</v>
      </c>
      <c r="J57" t="str">
        <f>VLOOKUP(D57,wnioski!$M$2:$AZ$816,4,0)</f>
        <v>ROM</v>
      </c>
      <c r="L57" t="str">
        <f t="shared" si="1"/>
        <v>69924/5</v>
      </c>
      <c r="M57" t="str">
        <f>IF(VLOOKUP(D57,wnioski!$M$2:$AZ$816,2,0)=0,"",VLOOKUP(D57,wnioski!$M$2:$AZ$816,2,0))</f>
        <v/>
      </c>
      <c r="N57" t="str">
        <f>IF(VLOOKUP(D57,wnioski!$M$2:$AZ$816,3,0)=0,"",VLOOKUP(D57,wnioski!$M$2:$AZ$816,3,0))</f>
        <v/>
      </c>
      <c r="O57" t="str">
        <f>VLOOKUP(D57,wnioski!$M$2:$AZ$816,15,0)</f>
        <v>18:52</v>
      </c>
      <c r="P57" t="str">
        <f>VLOOKUP(D57,wnioski!$M$2:$AZ$816,14,0)</f>
        <v>Trzebnica</v>
      </c>
      <c r="Q57" t="str">
        <f>VLOOKUP(D57,wnioski!$M$2:$AZ$816,16,0)</f>
        <v>Wrocław Główny</v>
      </c>
      <c r="R57" t="str">
        <f>VLOOKUP(D57,wnioski!$M$2:$AZ$816,17,0)</f>
        <v>19:41</v>
      </c>
    </row>
    <row r="58" spans="1:18" x14ac:dyDescent="0.25">
      <c r="A58" s="1">
        <v>57</v>
      </c>
      <c r="B58">
        <v>2</v>
      </c>
      <c r="D58" t="s">
        <v>7241</v>
      </c>
      <c r="E58" t="s">
        <v>9</v>
      </c>
      <c r="G58" s="1">
        <v>2</v>
      </c>
      <c r="H58" s="6">
        <f>COUNTIF(wnioski!$M$2:$M$816,pot!D58)</f>
        <v>1</v>
      </c>
      <c r="I58" t="str">
        <f>VLOOKUP(D58,wnioski!$M$2:$AZ$816,5,0)</f>
        <v>36WEh</v>
      </c>
      <c r="J58" t="str">
        <f>VLOOKUP(D58,wnioski!$M$2:$AZ$816,4,0)</f>
        <v>ROJ ROM</v>
      </c>
      <c r="L58" t="str">
        <f t="shared" si="1"/>
        <v>69967/6</v>
      </c>
      <c r="M58" t="str">
        <f>IF(VLOOKUP(D58,wnioski!$M$2:$AZ$816,2,0)=0,"",VLOOKUP(D58,wnioski!$M$2:$AZ$816,2,0))</f>
        <v/>
      </c>
      <c r="N58" t="str">
        <f>IF(VLOOKUP(D58,wnioski!$M$2:$AZ$816,3,0)=0,"",VLOOKUP(D58,wnioski!$M$2:$AZ$816,3,0))</f>
        <v/>
      </c>
      <c r="O58" t="str">
        <f>VLOOKUP(D58,wnioski!$M$2:$AZ$816,15,0)</f>
        <v>20:03</v>
      </c>
      <c r="P58" t="str">
        <f>VLOOKUP(D58,wnioski!$M$2:$AZ$816,14,0)</f>
        <v>Wrocław Główny</v>
      </c>
      <c r="Q58" t="str">
        <f>VLOOKUP(D58,wnioski!$M$2:$AZ$816,16,0)</f>
        <v>Trzebnica</v>
      </c>
      <c r="R58" t="str">
        <f>VLOOKUP(D58,wnioski!$M$2:$AZ$816,17,0)</f>
        <v>20:46</v>
      </c>
    </row>
    <row r="59" spans="1:18" x14ac:dyDescent="0.25">
      <c r="A59" s="1">
        <v>58</v>
      </c>
      <c r="B59">
        <v>2</v>
      </c>
      <c r="D59" t="s">
        <v>7094</v>
      </c>
      <c r="E59" t="s">
        <v>9</v>
      </c>
      <c r="G59" s="1">
        <v>2</v>
      </c>
      <c r="H59" s="6">
        <f>COUNTIF(wnioski!$M$2:$M$816,pot!D59)</f>
        <v>1</v>
      </c>
      <c r="I59" t="str">
        <f>VLOOKUP(D59,wnioski!$M$2:$AZ$816,5,0)</f>
        <v>SA134</v>
      </c>
      <c r="J59" t="str">
        <f>VLOOKUP(D59,wnioski!$M$2:$AZ$816,4,0)</f>
        <v>ROM</v>
      </c>
      <c r="L59" t="str">
        <f t="shared" si="1"/>
        <v>69930/1</v>
      </c>
      <c r="M59" t="str">
        <f>IF(VLOOKUP(D59,wnioski!$M$2:$AZ$816,2,0)=0,"",VLOOKUP(D59,wnioski!$M$2:$AZ$816,2,0))</f>
        <v/>
      </c>
      <c r="N59" t="str">
        <f>IF(VLOOKUP(D59,wnioski!$M$2:$AZ$816,3,0)=0,"",VLOOKUP(D59,wnioski!$M$2:$AZ$816,3,0))</f>
        <v/>
      </c>
      <c r="O59" t="str">
        <f>VLOOKUP(D59,wnioski!$M$2:$AZ$816,15,0)</f>
        <v>20:52</v>
      </c>
      <c r="P59" t="str">
        <f>VLOOKUP(D59,wnioski!$M$2:$AZ$816,14,0)</f>
        <v>Trzebnica</v>
      </c>
      <c r="Q59" t="str">
        <f>VLOOKUP(D59,wnioski!$M$2:$AZ$816,16,0)</f>
        <v>Wrocław Główny</v>
      </c>
      <c r="R59" t="str">
        <f>VLOOKUP(D59,wnioski!$M$2:$AZ$816,17,0)</f>
        <v>21:35</v>
      </c>
    </row>
    <row r="60" spans="1:18" x14ac:dyDescent="0.25">
      <c r="A60" s="1">
        <v>59</v>
      </c>
      <c r="B60">
        <v>2</v>
      </c>
      <c r="D60" t="s">
        <v>112</v>
      </c>
      <c r="E60" t="s">
        <v>8402</v>
      </c>
      <c r="G60" s="1">
        <v>2</v>
      </c>
      <c r="H60" s="6">
        <f>COUNTIF(wnioski!$M$2:$M$816,pot!D60)</f>
        <v>2</v>
      </c>
      <c r="I60" t="str">
        <f>VLOOKUP(D60,wnioski!$M$2:$AZ$816,5,0)</f>
        <v>36WEh</v>
      </c>
      <c r="J60" t="str">
        <f>VLOOKUP(D60,wnioski!$M$2:$AZ$816,4,0)</f>
        <v>ROM ROJ ROM</v>
      </c>
      <c r="L60" t="str">
        <f t="shared" si="1"/>
        <v>69902/3</v>
      </c>
      <c r="M60" t="str">
        <f>IF(VLOOKUP(D60,wnioski!$M$2:$AZ$816,2,0)=0,"",VLOOKUP(D60,wnioski!$M$2:$AZ$816,2,0))</f>
        <v/>
      </c>
      <c r="N60" t="str">
        <f>IF(VLOOKUP(D60,wnioski!$M$2:$AZ$816,3,0)=0,"",VLOOKUP(D60,wnioski!$M$2:$AZ$816,3,0))</f>
        <v/>
      </c>
      <c r="O60" t="str">
        <f>VLOOKUP(D60,wnioski!$M$2:$AZ$816,15,0)</f>
        <v>05:36</v>
      </c>
      <c r="P60" t="str">
        <f>VLOOKUP(D60,wnioski!$M$2:$AZ$816,14,0)</f>
        <v>Trzebnica</v>
      </c>
      <c r="Q60" t="str">
        <f>VLOOKUP(D60,wnioski!$M$2:$AZ$816,16,0)</f>
        <v>Wrocław Główny</v>
      </c>
      <c r="R60" t="str">
        <f>VLOOKUP(D60,wnioski!$M$2:$AZ$816,17,0)</f>
        <v>06:21</v>
      </c>
    </row>
    <row r="61" spans="1:18" x14ac:dyDescent="0.25">
      <c r="A61" s="1">
        <v>60</v>
      </c>
      <c r="B61">
        <v>2</v>
      </c>
      <c r="D61">
        <v>60121</v>
      </c>
      <c r="E61" t="s">
        <v>7</v>
      </c>
      <c r="G61" s="1">
        <v>2</v>
      </c>
      <c r="H61" s="6">
        <f>COUNTIF(wnioski!$M$2:$M$816,pot!D61)</f>
        <v>1</v>
      </c>
      <c r="I61" t="str">
        <f>VLOOKUP(D61,wnioski!$M$2:$AZ$816,5,0)</f>
        <v>SA134</v>
      </c>
      <c r="J61" t="str">
        <f>VLOOKUP(D61,wnioski!$M$2:$AZ$816,4,0)</f>
        <v>RPM</v>
      </c>
      <c r="L61">
        <f t="shared" si="1"/>
        <v>60121</v>
      </c>
      <c r="M61" t="str">
        <f>IF(VLOOKUP(D61,wnioski!$M$2:$AZ$816,2,0)=0,"",VLOOKUP(D61,wnioski!$M$2:$AZ$816,2,0))</f>
        <v/>
      </c>
      <c r="N61" t="str">
        <f>IF(VLOOKUP(D61,wnioski!$M$2:$AZ$816,3,0)=0,"",VLOOKUP(D61,wnioski!$M$2:$AZ$816,3,0))</f>
        <v>KD SPRINTER SZCZELINIEC</v>
      </c>
      <c r="O61" t="str">
        <f>VLOOKUP(D61,wnioski!$M$2:$AZ$816,15,0)</f>
        <v>07:56</v>
      </c>
      <c r="P61" t="str">
        <f>VLOOKUP(D61,wnioski!$M$2:$AZ$816,14,0)</f>
        <v>Wrocław Główny</v>
      </c>
      <c r="Q61" t="str">
        <f>VLOOKUP(D61,wnioski!$M$2:$AZ$816,16,0)</f>
        <v>Kudowa-Zdrój</v>
      </c>
      <c r="R61" t="str">
        <f>VLOOKUP(D61,wnioski!$M$2:$AZ$816,17,0)</f>
        <v>10:32</v>
      </c>
    </row>
    <row r="62" spans="1:18" x14ac:dyDescent="0.25">
      <c r="A62" s="1">
        <v>61</v>
      </c>
      <c r="B62">
        <v>2</v>
      </c>
      <c r="D62">
        <v>60124</v>
      </c>
      <c r="E62" t="s">
        <v>7</v>
      </c>
      <c r="G62" s="1">
        <v>2</v>
      </c>
      <c r="H62" s="6">
        <f>COUNTIF(wnioski!$M$2:$M$816,pot!D62)</f>
        <v>1</v>
      </c>
      <c r="I62" t="str">
        <f>VLOOKUP(D62,wnioski!$M$2:$AZ$816,5,0)</f>
        <v>SA134</v>
      </c>
      <c r="J62" t="str">
        <f>VLOOKUP(D62,wnioski!$M$2:$AZ$816,4,0)</f>
        <v>RPM</v>
      </c>
      <c r="L62">
        <f t="shared" si="1"/>
        <v>60124</v>
      </c>
      <c r="M62" t="str">
        <f>IF(VLOOKUP(D62,wnioski!$M$2:$AZ$816,2,0)=0,"",VLOOKUP(D62,wnioski!$M$2:$AZ$816,2,0))</f>
        <v/>
      </c>
      <c r="N62" t="str">
        <f>IF(VLOOKUP(D62,wnioski!$M$2:$AZ$816,3,0)=0,"",VLOOKUP(D62,wnioski!$M$2:$AZ$816,3,0))</f>
        <v>KD SPRINTER SZCZELINIEC</v>
      </c>
      <c r="O62" t="str">
        <f>VLOOKUP(D62,wnioski!$M$2:$AZ$816,15,0)</f>
        <v>17:24</v>
      </c>
      <c r="P62" t="str">
        <f>VLOOKUP(D62,wnioski!$M$2:$AZ$816,14,0)</f>
        <v>Kudowa-Zdrój</v>
      </c>
      <c r="Q62" t="str">
        <f>VLOOKUP(D62,wnioski!$M$2:$AZ$816,16,0)</f>
        <v>Wrocław Główny</v>
      </c>
      <c r="R62" t="str">
        <f>VLOOKUP(D62,wnioski!$M$2:$AZ$816,17,0)</f>
        <v>19:51</v>
      </c>
    </row>
    <row r="63" spans="1:18" x14ac:dyDescent="0.25">
      <c r="A63" s="1">
        <v>62</v>
      </c>
      <c r="B63">
        <v>2</v>
      </c>
      <c r="D63" t="s">
        <v>7968</v>
      </c>
      <c r="E63" t="s">
        <v>8</v>
      </c>
      <c r="G63" s="1">
        <v>2</v>
      </c>
      <c r="H63" s="6">
        <f>COUNTIF(wnioski!$M$2:$M$816,pot!D63)</f>
        <v>1</v>
      </c>
      <c r="I63" t="str">
        <f>VLOOKUP(D63,wnioski!$M$2:$AZ$816,5,0)</f>
        <v>SA134</v>
      </c>
      <c r="J63" t="str">
        <f>VLOOKUP(D63,wnioski!$M$2:$AZ$816,4,0)</f>
        <v>ROM</v>
      </c>
      <c r="L63" t="str">
        <f t="shared" si="1"/>
        <v>60223/2</v>
      </c>
      <c r="M63" t="str">
        <f>IF(VLOOKUP(D63,wnioski!$M$2:$AZ$816,2,0)=0,"",VLOOKUP(D63,wnioski!$M$2:$AZ$816,2,0))</f>
        <v/>
      </c>
      <c r="N63" t="str">
        <f>IF(VLOOKUP(D63,wnioski!$M$2:$AZ$816,3,0)=0,"",VLOOKUP(D63,wnioski!$M$2:$AZ$816,3,0))</f>
        <v/>
      </c>
      <c r="O63" t="str">
        <f>VLOOKUP(D63,wnioski!$M$2:$AZ$816,15,0)</f>
        <v>22:31</v>
      </c>
      <c r="P63" t="str">
        <f>VLOOKUP(D63,wnioski!$M$2:$AZ$816,14,0)</f>
        <v>Wrocław Główny</v>
      </c>
      <c r="Q63" t="str">
        <f>VLOOKUP(D63,wnioski!$M$2:$AZ$816,16,0)</f>
        <v>Bielawa Zachodnia</v>
      </c>
      <c r="R63" t="str">
        <f>VLOOKUP(D63,wnioski!$M$2:$AZ$816,17,0)</f>
        <v>[1] 00:13</v>
      </c>
    </row>
    <row r="64" spans="1:18" x14ac:dyDescent="0.25">
      <c r="A64" s="1">
        <v>63</v>
      </c>
      <c r="B64">
        <v>2</v>
      </c>
      <c r="D64" t="s">
        <v>4721</v>
      </c>
      <c r="E64" t="s">
        <v>9</v>
      </c>
      <c r="G64" s="1">
        <v>3</v>
      </c>
      <c r="H64" s="6">
        <f>COUNTIF(wnioski!$M$2:$M$816,pot!D64)</f>
        <v>1</v>
      </c>
      <c r="I64" t="str">
        <f>VLOOKUP(D64,wnioski!$M$2:$AZ$816,5,0)</f>
        <v>SA134</v>
      </c>
      <c r="J64" t="str">
        <f>VLOOKUP(D64,wnioski!$M$2:$AZ$816,4,0)</f>
        <v>ROM</v>
      </c>
      <c r="L64" t="str">
        <f t="shared" si="1"/>
        <v>69211/0</v>
      </c>
      <c r="M64" t="str">
        <f>IF(VLOOKUP(D64,wnioski!$M$2:$AZ$816,2,0)=0,"",VLOOKUP(D64,wnioski!$M$2:$AZ$816,2,0))</f>
        <v/>
      </c>
      <c r="N64" t="str">
        <f>IF(VLOOKUP(D64,wnioski!$M$2:$AZ$816,3,0)=0,"",VLOOKUP(D64,wnioski!$M$2:$AZ$816,3,0))</f>
        <v/>
      </c>
      <c r="O64" t="str">
        <f>VLOOKUP(D64,wnioski!$M$2:$AZ$816,15,0)</f>
        <v>05:02</v>
      </c>
      <c r="P64" t="str">
        <f>VLOOKUP(D64,wnioski!$M$2:$AZ$816,14,0)</f>
        <v>Bielawa Zachodnia</v>
      </c>
      <c r="Q64" t="str">
        <f>VLOOKUP(D64,wnioski!$M$2:$AZ$816,16,0)</f>
        <v>Wrocław Główny</v>
      </c>
      <c r="R64" t="str">
        <f>VLOOKUP(D64,wnioski!$M$2:$AZ$816,17,0)</f>
        <v>06:42</v>
      </c>
    </row>
    <row r="65" spans="1:18" x14ac:dyDescent="0.25">
      <c r="A65" s="1">
        <v>64</v>
      </c>
      <c r="B65">
        <v>2</v>
      </c>
      <c r="D65" t="s">
        <v>7320</v>
      </c>
      <c r="E65" t="s">
        <v>9</v>
      </c>
      <c r="G65" s="1">
        <v>3</v>
      </c>
      <c r="H65" s="6">
        <f>COUNTIF(wnioski!$M$2:$M$816,pot!D65)</f>
        <v>1</v>
      </c>
      <c r="I65" t="str">
        <f>VLOOKUP(D65,wnioski!$M$2:$AZ$816,5,0)</f>
        <v>SA134</v>
      </c>
      <c r="J65" t="str">
        <f>VLOOKUP(D65,wnioski!$M$2:$AZ$816,4,0)</f>
        <v>ROM</v>
      </c>
      <c r="L65" t="str">
        <f t="shared" ref="L65:L128" si="2">D65</f>
        <v>69945/4</v>
      </c>
      <c r="M65" t="str">
        <f>IF(VLOOKUP(D65,wnioski!$M$2:$AZ$816,2,0)=0,"",VLOOKUP(D65,wnioski!$M$2:$AZ$816,2,0))</f>
        <v/>
      </c>
      <c r="N65" t="str">
        <f>IF(VLOOKUP(D65,wnioski!$M$2:$AZ$816,3,0)=0,"",VLOOKUP(D65,wnioski!$M$2:$AZ$816,3,0))</f>
        <v/>
      </c>
      <c r="O65" t="str">
        <f>VLOOKUP(D65,wnioski!$M$2:$AZ$816,15,0)</f>
        <v>06:51</v>
      </c>
      <c r="P65" t="str">
        <f>VLOOKUP(D65,wnioski!$M$2:$AZ$816,14,0)</f>
        <v>Wrocław Główny</v>
      </c>
      <c r="Q65" t="str">
        <f>VLOOKUP(D65,wnioski!$M$2:$AZ$816,16,0)</f>
        <v>Trzebnica</v>
      </c>
      <c r="R65" t="str">
        <f>VLOOKUP(D65,wnioski!$M$2:$AZ$816,17,0)</f>
        <v>07:36</v>
      </c>
    </row>
    <row r="66" spans="1:18" x14ac:dyDescent="0.25">
      <c r="A66" s="1">
        <v>65</v>
      </c>
      <c r="B66">
        <v>2</v>
      </c>
      <c r="D66" t="s">
        <v>7202</v>
      </c>
      <c r="E66" t="s">
        <v>9</v>
      </c>
      <c r="G66" s="1">
        <v>3</v>
      </c>
      <c r="H66" s="6">
        <f>COUNTIF(wnioski!$M$2:$M$816,pot!D66)</f>
        <v>1</v>
      </c>
      <c r="I66" t="str">
        <f>VLOOKUP(D66,wnioski!$M$2:$AZ$816,5,0)</f>
        <v>SA134</v>
      </c>
      <c r="J66" t="str">
        <f>VLOOKUP(D66,wnioski!$M$2:$AZ$816,4,0)</f>
        <v>ROM</v>
      </c>
      <c r="L66" t="str">
        <f t="shared" si="2"/>
        <v>69906/7</v>
      </c>
      <c r="M66" t="str">
        <f>IF(VLOOKUP(D66,wnioski!$M$2:$AZ$816,2,0)=0,"",VLOOKUP(D66,wnioski!$M$2:$AZ$816,2,0))</f>
        <v/>
      </c>
      <c r="N66" t="str">
        <f>IF(VLOOKUP(D66,wnioski!$M$2:$AZ$816,3,0)=0,"",VLOOKUP(D66,wnioski!$M$2:$AZ$816,3,0))</f>
        <v/>
      </c>
      <c r="O66" t="str">
        <f>VLOOKUP(D66,wnioski!$M$2:$AZ$816,15,0)</f>
        <v>07:43</v>
      </c>
      <c r="P66" t="str">
        <f>VLOOKUP(D66,wnioski!$M$2:$AZ$816,14,0)</f>
        <v>Trzebnica</v>
      </c>
      <c r="Q66" t="str">
        <f>VLOOKUP(D66,wnioski!$M$2:$AZ$816,16,0)</f>
        <v>Wrocław Główny</v>
      </c>
      <c r="R66" t="str">
        <f>VLOOKUP(D66,wnioski!$M$2:$AZ$816,17,0)</f>
        <v>08:28</v>
      </c>
    </row>
    <row r="67" spans="1:18" x14ac:dyDescent="0.25">
      <c r="A67" s="1">
        <v>66</v>
      </c>
      <c r="B67">
        <v>2</v>
      </c>
      <c r="D67">
        <v>66891</v>
      </c>
      <c r="E67" t="s">
        <v>7</v>
      </c>
      <c r="G67" s="1">
        <v>3</v>
      </c>
      <c r="H67" s="6">
        <f>COUNTIF(wnioski!$M$2:$M$816,pot!D67)</f>
        <v>1</v>
      </c>
      <c r="I67" t="str">
        <f>VLOOKUP(D67,wnioski!$M$2:$AZ$816,5,0)</f>
        <v>SA134</v>
      </c>
      <c r="J67" t="str">
        <f>VLOOKUP(D67,wnioski!$M$2:$AZ$816,4,0)</f>
        <v>ROM</v>
      </c>
      <c r="L67">
        <f t="shared" si="2"/>
        <v>66891</v>
      </c>
      <c r="M67" t="str">
        <f>IF(VLOOKUP(D67,wnioski!$M$2:$AZ$816,2,0)=0,"",VLOOKUP(D67,wnioski!$M$2:$AZ$816,2,0))</f>
        <v/>
      </c>
      <c r="N67" t="str">
        <f>IF(VLOOKUP(D67,wnioski!$M$2:$AZ$816,3,0)=0,"",VLOOKUP(D67,wnioski!$M$2:$AZ$816,3,0))</f>
        <v/>
      </c>
      <c r="O67" t="str">
        <f>VLOOKUP(D67,wnioski!$M$2:$AZ$816,15,0)</f>
        <v>05:02</v>
      </c>
      <c r="P67" t="str">
        <f>VLOOKUP(D67,wnioski!$M$2:$AZ$816,14,0)</f>
        <v>Bielawa Zachodnia</v>
      </c>
      <c r="Q67" t="str">
        <f>VLOOKUP(D67,wnioski!$M$2:$AZ$816,16,0)</f>
        <v>Dzierżoniów Śląski</v>
      </c>
      <c r="R67" t="str">
        <f>VLOOKUP(D67,wnioski!$M$2:$AZ$816,17,0)</f>
        <v>05:10</v>
      </c>
    </row>
    <row r="68" spans="1:18" x14ac:dyDescent="0.25">
      <c r="A68" s="1">
        <v>67</v>
      </c>
      <c r="B68">
        <v>2</v>
      </c>
      <c r="D68">
        <v>69892</v>
      </c>
      <c r="E68" t="s">
        <v>7</v>
      </c>
      <c r="G68" s="1">
        <v>3</v>
      </c>
      <c r="H68" s="6">
        <f>COUNTIF(wnioski!$M$2:$M$816,pot!D68)</f>
        <v>1</v>
      </c>
      <c r="I68" t="str">
        <f>VLOOKUP(D68,wnioski!$M$2:$AZ$816,5,0)</f>
        <v>SA134</v>
      </c>
      <c r="J68" t="str">
        <f>VLOOKUP(D68,wnioski!$M$2:$AZ$816,4,0)</f>
        <v>ROM</v>
      </c>
      <c r="L68">
        <f t="shared" si="2"/>
        <v>69892</v>
      </c>
      <c r="M68" t="str">
        <f>IF(VLOOKUP(D68,wnioski!$M$2:$AZ$816,2,0)=0,"",VLOOKUP(D68,wnioski!$M$2:$AZ$816,2,0))</f>
        <v/>
      </c>
      <c r="N68" t="str">
        <f>IF(VLOOKUP(D68,wnioski!$M$2:$AZ$816,3,0)=0,"",VLOOKUP(D68,wnioski!$M$2:$AZ$816,3,0))</f>
        <v/>
      </c>
      <c r="O68" t="str">
        <f>VLOOKUP(D68,wnioski!$M$2:$AZ$816,15,0)</f>
        <v>06:05</v>
      </c>
      <c r="P68" t="str">
        <f>VLOOKUP(D68,wnioski!$M$2:$AZ$816,14,0)</f>
        <v>Dzierżoniów Śląski</v>
      </c>
      <c r="Q68" t="str">
        <f>VLOOKUP(D68,wnioski!$M$2:$AZ$816,16,0)</f>
        <v>Bielawa Zachodnia</v>
      </c>
      <c r="R68" t="str">
        <f>VLOOKUP(D68,wnioski!$M$2:$AZ$816,17,0)</f>
        <v>06:13</v>
      </c>
    </row>
    <row r="69" spans="1:18" x14ac:dyDescent="0.25">
      <c r="A69" s="1">
        <v>68</v>
      </c>
      <c r="B69">
        <v>2</v>
      </c>
      <c r="D69" t="s">
        <v>4707</v>
      </c>
      <c r="E69" t="s">
        <v>7</v>
      </c>
      <c r="G69" s="1">
        <v>3</v>
      </c>
      <c r="H69" s="6">
        <f>COUNTIF(wnioski!$M$2:$M$816,pot!D69)</f>
        <v>1</v>
      </c>
      <c r="I69" t="str">
        <f>VLOOKUP(D69,wnioski!$M$2:$AZ$816,5,0)</f>
        <v>SA139</v>
      </c>
      <c r="J69" t="str">
        <f>VLOOKUP(D69,wnioski!$M$2:$AZ$816,4,0)</f>
        <v>ROM</v>
      </c>
      <c r="L69" t="str">
        <f t="shared" si="2"/>
        <v>69213/2</v>
      </c>
      <c r="M69" t="str">
        <f>IF(VLOOKUP(D69,wnioski!$M$2:$AZ$816,2,0)=0,"",VLOOKUP(D69,wnioski!$M$2:$AZ$816,2,0))</f>
        <v/>
      </c>
      <c r="N69" t="str">
        <f>IF(VLOOKUP(D69,wnioski!$M$2:$AZ$816,3,0)=0,"",VLOOKUP(D69,wnioski!$M$2:$AZ$816,3,0))</f>
        <v>WILHELM ROTKIEWICZ</v>
      </c>
      <c r="O69" t="str">
        <f>VLOOKUP(D69,wnioski!$M$2:$AZ$816,15,0)</f>
        <v>06:42</v>
      </c>
      <c r="P69" t="str">
        <f>VLOOKUP(D69,wnioski!$M$2:$AZ$816,14,0)</f>
        <v>Bielawa Zachodnia</v>
      </c>
      <c r="Q69" t="str">
        <f>VLOOKUP(D69,wnioski!$M$2:$AZ$816,16,0)</f>
        <v>Wrocław Główny</v>
      </c>
      <c r="R69" t="str">
        <f>VLOOKUP(D69,wnioski!$M$2:$AZ$816,17,0)</f>
        <v>08:09</v>
      </c>
    </row>
    <row r="70" spans="1:18" x14ac:dyDescent="0.25">
      <c r="A70" s="1">
        <v>69</v>
      </c>
      <c r="B70">
        <v>2</v>
      </c>
      <c r="D70">
        <v>60755</v>
      </c>
      <c r="E70" t="s">
        <v>9</v>
      </c>
      <c r="G70" s="1">
        <v>3</v>
      </c>
      <c r="H70" s="6">
        <f>COUNTIF(wnioski!$M$2:$M$816,pot!D70)</f>
        <v>1</v>
      </c>
      <c r="I70" t="str">
        <f>VLOOKUP(D70,wnioski!$M$2:$AZ$816,5,0)</f>
        <v>SA139</v>
      </c>
      <c r="J70" t="str">
        <f>VLOOKUP(D70,wnioski!$M$2:$AZ$816,4,0)</f>
        <v>ROM</v>
      </c>
      <c r="L70">
        <f t="shared" si="2"/>
        <v>60755</v>
      </c>
      <c r="M70" t="str">
        <f>IF(VLOOKUP(D70,wnioski!$M$2:$AZ$816,2,0)=0,"",VLOOKUP(D70,wnioski!$M$2:$AZ$816,2,0))</f>
        <v/>
      </c>
      <c r="N70" t="str">
        <f>IF(VLOOKUP(D70,wnioski!$M$2:$AZ$816,3,0)=0,"",VLOOKUP(D70,wnioski!$M$2:$AZ$816,3,0))</f>
        <v/>
      </c>
      <c r="O70" t="str">
        <f>VLOOKUP(D70,wnioski!$M$2:$AZ$816,15,0)</f>
        <v>10:10</v>
      </c>
      <c r="P70" t="str">
        <f>VLOOKUP(D70,wnioski!$M$2:$AZ$816,14,0)</f>
        <v>Wrocław Główny</v>
      </c>
      <c r="Q70" t="str">
        <f>VLOOKUP(D70,wnioski!$M$2:$AZ$816,16,0)</f>
        <v>Kąty Wrocławskie</v>
      </c>
      <c r="R70" t="str">
        <f>VLOOKUP(D70,wnioski!$M$2:$AZ$816,17,0)</f>
        <v>10:34</v>
      </c>
    </row>
    <row r="71" spans="1:18" x14ac:dyDescent="0.25">
      <c r="A71" s="1">
        <v>70</v>
      </c>
      <c r="B71">
        <v>2</v>
      </c>
      <c r="D71">
        <v>60774</v>
      </c>
      <c r="E71" s="7" t="s">
        <v>9</v>
      </c>
      <c r="G71" s="1">
        <v>3</v>
      </c>
      <c r="H71" s="6">
        <f>COUNTIF(wnioski!$M$2:$M$816,pot!D71)</f>
        <v>1</v>
      </c>
      <c r="I71" t="str">
        <f>VLOOKUP(D71,wnioski!$M$2:$AZ$816,5,0)</f>
        <v>SA139</v>
      </c>
      <c r="J71" t="str">
        <f>VLOOKUP(D71,wnioski!$M$2:$AZ$816,4,0)</f>
        <v>ROM</v>
      </c>
      <c r="L71">
        <f t="shared" si="2"/>
        <v>60774</v>
      </c>
      <c r="M71" t="str">
        <f>IF(VLOOKUP(D71,wnioski!$M$2:$AZ$816,2,0)=0,"",VLOOKUP(D71,wnioski!$M$2:$AZ$816,2,0))</f>
        <v/>
      </c>
      <c r="N71" t="str">
        <f>IF(VLOOKUP(D71,wnioski!$M$2:$AZ$816,3,0)=0,"",VLOOKUP(D71,wnioski!$M$2:$AZ$816,3,0))</f>
        <v/>
      </c>
      <c r="O71" t="str">
        <f>VLOOKUP(D71,wnioski!$M$2:$AZ$816,15,0)</f>
        <v>10:46</v>
      </c>
      <c r="P71" t="str">
        <f>VLOOKUP(D71,wnioski!$M$2:$AZ$816,14,0)</f>
        <v>Kąty Wrocławskie</v>
      </c>
      <c r="Q71" t="str">
        <f>VLOOKUP(D71,wnioski!$M$2:$AZ$816,16,0)</f>
        <v>Wrocław Główny</v>
      </c>
      <c r="R71" t="str">
        <f>VLOOKUP(D71,wnioski!$M$2:$AZ$816,17,0)</f>
        <v>11:11</v>
      </c>
    </row>
    <row r="72" spans="1:18" x14ac:dyDescent="0.25">
      <c r="A72" s="1">
        <v>71</v>
      </c>
      <c r="B72">
        <v>2</v>
      </c>
      <c r="D72" t="s">
        <v>4247</v>
      </c>
      <c r="E72" t="s">
        <v>8</v>
      </c>
      <c r="G72" s="1">
        <v>3</v>
      </c>
      <c r="H72" s="6">
        <f>COUNTIF(wnioski!$M$2:$M$816,pot!D72)</f>
        <v>4</v>
      </c>
      <c r="I72" t="str">
        <f>VLOOKUP(D72,wnioski!$M$2:$AZ$816,5,0)</f>
        <v>SA134</v>
      </c>
      <c r="J72" t="str">
        <f>VLOOKUP(D72,wnioski!$M$2:$AZ$816,4,0)</f>
        <v>RPM</v>
      </c>
      <c r="L72" t="str">
        <f t="shared" si="2"/>
        <v>69105/4</v>
      </c>
      <c r="M72" t="str">
        <f>IF(VLOOKUP(D72,wnioski!$M$2:$AZ$816,2,0)=0,"",VLOOKUP(D72,wnioski!$M$2:$AZ$816,2,0))</f>
        <v/>
      </c>
      <c r="N72" t="str">
        <f>IF(VLOOKUP(D72,wnioski!$M$2:$AZ$816,3,0)=0,"",VLOOKUP(D72,wnioski!$M$2:$AZ$816,3,0))</f>
        <v>KD SPRINTER BYSTRZYCA</v>
      </c>
      <c r="O72" t="str">
        <f>VLOOKUP(D72,wnioski!$M$2:$AZ$816,15,0)</f>
        <v>12:03</v>
      </c>
      <c r="P72" t="str">
        <f>VLOOKUP(D72,wnioski!$M$2:$AZ$816,14,0)</f>
        <v>Wrocław Główny</v>
      </c>
      <c r="Q72" t="str">
        <f>VLOOKUP(D72,wnioski!$M$2:$AZ$816,16,0)</f>
        <v>Kudowa-Zdrój</v>
      </c>
      <c r="R72" t="str">
        <f>VLOOKUP(D72,wnioski!$M$2:$AZ$816,17,0)</f>
        <v>15:39</v>
      </c>
    </row>
    <row r="73" spans="1:18" x14ac:dyDescent="0.25">
      <c r="A73" s="1">
        <v>72</v>
      </c>
      <c r="B73">
        <v>2</v>
      </c>
      <c r="D73" t="s">
        <v>6767</v>
      </c>
      <c r="E73" t="s">
        <v>8</v>
      </c>
      <c r="G73" s="1">
        <v>3</v>
      </c>
      <c r="H73" s="6">
        <f>COUNTIF(wnioski!$M$2:$M$816,pot!D73)</f>
        <v>4</v>
      </c>
      <c r="I73" t="str">
        <f>VLOOKUP(D73,wnioski!$M$2:$AZ$816,5,0)</f>
        <v>SA135</v>
      </c>
      <c r="J73" t="str">
        <f>VLOOKUP(D73,wnioski!$M$2:$AZ$816,4,0)</f>
        <v>ROM</v>
      </c>
      <c r="L73" t="str">
        <f t="shared" si="2"/>
        <v>69428/9</v>
      </c>
      <c r="M73" t="str">
        <f>IF(VLOOKUP(D73,wnioski!$M$2:$AZ$816,2,0)=0,"",VLOOKUP(D73,wnioski!$M$2:$AZ$816,2,0))</f>
        <v/>
      </c>
      <c r="N73" t="str">
        <f>IF(VLOOKUP(D73,wnioski!$M$2:$AZ$816,3,0)=0,"",VLOOKUP(D73,wnioski!$M$2:$AZ$816,3,0))</f>
        <v/>
      </c>
      <c r="O73" t="str">
        <f>VLOOKUP(D73,wnioski!$M$2:$AZ$816,15,0)</f>
        <v>15:46</v>
      </c>
      <c r="P73" t="str">
        <f>VLOOKUP(D73,wnioski!$M$2:$AZ$816,14,0)</f>
        <v>Kudowa-Zdrój</v>
      </c>
      <c r="Q73" t="str">
        <f>VLOOKUP(D73,wnioski!$M$2:$AZ$816,16,0)</f>
        <v>Wałbrzych Główny</v>
      </c>
      <c r="R73" t="str">
        <f>VLOOKUP(D73,wnioski!$M$2:$AZ$816,17,0)</f>
        <v>18:17</v>
      </c>
    </row>
    <row r="74" spans="1:18" x14ac:dyDescent="0.25">
      <c r="A74" s="1">
        <v>73</v>
      </c>
      <c r="B74">
        <v>2</v>
      </c>
      <c r="D74">
        <v>666024</v>
      </c>
      <c r="E74" t="s">
        <v>8</v>
      </c>
      <c r="G74" s="1">
        <v>3</v>
      </c>
      <c r="H74" s="6">
        <f>COUNTIF(wnioski!$M$2:$M$816,pot!D74)</f>
        <v>1</v>
      </c>
      <c r="I74" t="str">
        <f>VLOOKUP(D74,wnioski!$M$2:$AZ$816,5,0)</f>
        <v>SA135</v>
      </c>
      <c r="J74" t="str">
        <f>VLOOKUP(D74,wnioski!$M$2:$AZ$816,4,0)</f>
        <v>PWM</v>
      </c>
      <c r="L74">
        <f t="shared" si="2"/>
        <v>666024</v>
      </c>
      <c r="M74" t="str">
        <f>IF(VLOOKUP(D74,wnioski!$M$2:$AZ$816,2,0)=0,"",VLOOKUP(D74,wnioski!$M$2:$AZ$816,2,0))</f>
        <v/>
      </c>
      <c r="N74" t="str">
        <f>IF(VLOOKUP(D74,wnioski!$M$2:$AZ$816,3,0)=0,"",VLOOKUP(D74,wnioski!$M$2:$AZ$816,3,0))</f>
        <v/>
      </c>
      <c r="O74" t="str">
        <f>VLOOKUP(D74,wnioski!$M$2:$AZ$816,15,0)</f>
        <v>20:00</v>
      </c>
      <c r="P74" t="str">
        <f>VLOOKUP(D74,wnioski!$M$2:$AZ$816,14,0)</f>
        <v>Wałbrzych Główny</v>
      </c>
      <c r="Q74" t="str">
        <f>VLOOKUP(D74,wnioski!$M$2:$AZ$816,16,0)</f>
        <v>Wałbrzych Miasto</v>
      </c>
      <c r="R74" t="str">
        <f>VLOOKUP(D74,wnioski!$M$2:$AZ$816,17,0)</f>
        <v>20:10</v>
      </c>
    </row>
    <row r="75" spans="1:18" x14ac:dyDescent="0.25">
      <c r="A75" s="1">
        <v>74</v>
      </c>
      <c r="B75">
        <v>2</v>
      </c>
      <c r="D75" t="s">
        <v>6821</v>
      </c>
      <c r="E75" t="s">
        <v>8</v>
      </c>
      <c r="G75" s="1">
        <v>3</v>
      </c>
      <c r="H75" s="6">
        <f>COUNTIF(wnioski!$M$2:$M$816,pot!D75)</f>
        <v>4</v>
      </c>
      <c r="I75" t="str">
        <f>VLOOKUP(D75,wnioski!$M$2:$AZ$816,5,0)</f>
        <v>SA135</v>
      </c>
      <c r="J75" t="str">
        <f>VLOOKUP(D75,wnioski!$M$2:$AZ$816,4,0)</f>
        <v>ROM</v>
      </c>
      <c r="L75" t="str">
        <f t="shared" si="2"/>
        <v>69413/2</v>
      </c>
      <c r="M75" t="str">
        <f>IF(VLOOKUP(D75,wnioski!$M$2:$AZ$816,2,0)=0,"",VLOOKUP(D75,wnioski!$M$2:$AZ$816,2,0))</f>
        <v/>
      </c>
      <c r="N75" t="str">
        <f>IF(VLOOKUP(D75,wnioski!$M$2:$AZ$816,3,0)=0,"",VLOOKUP(D75,wnioski!$M$2:$AZ$816,3,0))</f>
        <v/>
      </c>
      <c r="O75" t="str">
        <f>VLOOKUP(D75,wnioski!$M$2:$AZ$816,15,0)</f>
        <v>20:55</v>
      </c>
      <c r="P75" t="str">
        <f>VLOOKUP(D75,wnioski!$M$2:$AZ$816,14,0)</f>
        <v>Wałbrzych Miasto</v>
      </c>
      <c r="Q75" t="str">
        <f>VLOOKUP(D75,wnioski!$M$2:$AZ$816,16,0)</f>
        <v>Kłodzko Główne</v>
      </c>
      <c r="R75" t="str">
        <f>VLOOKUP(D75,wnioski!$M$2:$AZ$816,17,0)</f>
        <v>22:19</v>
      </c>
    </row>
    <row r="76" spans="1:18" x14ac:dyDescent="0.25">
      <c r="A76" s="1">
        <v>75</v>
      </c>
      <c r="B76">
        <v>3</v>
      </c>
      <c r="D76">
        <v>60431</v>
      </c>
      <c r="E76" t="s">
        <v>9</v>
      </c>
      <c r="G76" s="1">
        <v>1</v>
      </c>
      <c r="H76" s="6">
        <f>COUNTIF(wnioski!$M$2:$M$816,pot!D76)</f>
        <v>1</v>
      </c>
      <c r="I76" t="str">
        <f>VLOOKUP(D76,wnioski!$M$2:$AZ$816,5,0)</f>
        <v>SA135</v>
      </c>
      <c r="J76" t="str">
        <f>VLOOKUP(D76,wnioski!$M$2:$AZ$816,4,0)</f>
        <v>ROM</v>
      </c>
      <c r="L76">
        <f t="shared" si="2"/>
        <v>60431</v>
      </c>
      <c r="M76" t="str">
        <f>IF(VLOOKUP(D76,wnioski!$M$2:$AZ$816,2,0)=0,"",VLOOKUP(D76,wnioski!$M$2:$AZ$816,2,0))</f>
        <v/>
      </c>
      <c r="N76" t="str">
        <f>IF(VLOOKUP(D76,wnioski!$M$2:$AZ$816,3,0)=0,"",VLOOKUP(D76,wnioski!$M$2:$AZ$816,3,0))</f>
        <v/>
      </c>
      <c r="O76" t="str">
        <f>VLOOKUP(D76,wnioski!$M$2:$AZ$816,15,0)</f>
        <v>05:35</v>
      </c>
      <c r="P76" t="str">
        <f>VLOOKUP(D76,wnioski!$M$2:$AZ$816,14,0)</f>
        <v>Legnica</v>
      </c>
      <c r="Q76" t="str">
        <f>VLOOKUP(D76,wnioski!$M$2:$AZ$816,16,0)</f>
        <v>Chocianów</v>
      </c>
      <c r="R76" t="str">
        <f>VLOOKUP(D76,wnioski!$M$2:$AZ$816,17,0)</f>
        <v>06:14</v>
      </c>
    </row>
    <row r="77" spans="1:18" x14ac:dyDescent="0.25">
      <c r="A77" s="1">
        <v>76</v>
      </c>
      <c r="B77">
        <v>3</v>
      </c>
      <c r="D77">
        <v>60460</v>
      </c>
      <c r="E77" t="s">
        <v>9</v>
      </c>
      <c r="G77" s="1">
        <v>1</v>
      </c>
      <c r="H77" s="6">
        <f>COUNTIF(wnioski!$M$2:$M$816,pot!D77)</f>
        <v>1</v>
      </c>
      <c r="I77" t="str">
        <f>VLOOKUP(D77,wnioski!$M$2:$AZ$816,5,0)</f>
        <v>SA135</v>
      </c>
      <c r="J77" t="str">
        <f>VLOOKUP(D77,wnioski!$M$2:$AZ$816,4,0)</f>
        <v>ROM</v>
      </c>
      <c r="L77">
        <f t="shared" si="2"/>
        <v>60460</v>
      </c>
      <c r="M77" t="str">
        <f>IF(VLOOKUP(D77,wnioski!$M$2:$AZ$816,2,0)=0,"",VLOOKUP(D77,wnioski!$M$2:$AZ$816,2,0))</f>
        <v/>
      </c>
      <c r="N77" t="str">
        <f>IF(VLOOKUP(D77,wnioski!$M$2:$AZ$816,3,0)=0,"",VLOOKUP(D77,wnioski!$M$2:$AZ$816,3,0))</f>
        <v/>
      </c>
      <c r="O77" t="str">
        <f>VLOOKUP(D77,wnioski!$M$2:$AZ$816,15,0)</f>
        <v>06:40</v>
      </c>
      <c r="P77" t="str">
        <f>VLOOKUP(D77,wnioski!$M$2:$AZ$816,14,0)</f>
        <v>Chocianów</v>
      </c>
      <c r="Q77" t="str">
        <f>VLOOKUP(D77,wnioski!$M$2:$AZ$816,16,0)</f>
        <v>Legnica</v>
      </c>
      <c r="R77" t="str">
        <f>VLOOKUP(D77,wnioski!$M$2:$AZ$816,17,0)</f>
        <v>07:20</v>
      </c>
    </row>
    <row r="78" spans="1:18" x14ac:dyDescent="0.25">
      <c r="A78" s="1">
        <v>77</v>
      </c>
      <c r="B78">
        <v>3</v>
      </c>
      <c r="D78">
        <v>60433</v>
      </c>
      <c r="E78" t="s">
        <v>9</v>
      </c>
      <c r="G78" s="1">
        <v>1</v>
      </c>
      <c r="H78" s="6">
        <f>COUNTIF(wnioski!$M$2:$M$816,pot!D78)</f>
        <v>1</v>
      </c>
      <c r="I78" t="str">
        <f>VLOOKUP(D78,wnioski!$M$2:$AZ$816,5,0)</f>
        <v>SA135</v>
      </c>
      <c r="J78" t="str">
        <f>VLOOKUP(D78,wnioski!$M$2:$AZ$816,4,0)</f>
        <v>ROM</v>
      </c>
      <c r="L78">
        <f t="shared" si="2"/>
        <v>60433</v>
      </c>
      <c r="M78" t="str">
        <f>IF(VLOOKUP(D78,wnioski!$M$2:$AZ$816,2,0)=0,"",VLOOKUP(D78,wnioski!$M$2:$AZ$816,2,0))</f>
        <v/>
      </c>
      <c r="N78" t="str">
        <f>IF(VLOOKUP(D78,wnioski!$M$2:$AZ$816,3,0)=0,"",VLOOKUP(D78,wnioski!$M$2:$AZ$816,3,0))</f>
        <v/>
      </c>
      <c r="O78" t="str">
        <f>VLOOKUP(D78,wnioski!$M$2:$AZ$816,15,0)</f>
        <v>07:47</v>
      </c>
      <c r="P78" t="str">
        <f>VLOOKUP(D78,wnioski!$M$2:$AZ$816,14,0)</f>
        <v>Legnica</v>
      </c>
      <c r="Q78" t="str">
        <f>VLOOKUP(D78,wnioski!$M$2:$AZ$816,16,0)</f>
        <v>Chocianów</v>
      </c>
      <c r="R78" t="str">
        <f>VLOOKUP(D78,wnioski!$M$2:$AZ$816,17,0)</f>
        <v>08:26</v>
      </c>
    </row>
    <row r="79" spans="1:18" x14ac:dyDescent="0.25">
      <c r="A79" s="1">
        <v>78</v>
      </c>
      <c r="B79">
        <v>3</v>
      </c>
      <c r="D79">
        <v>60462</v>
      </c>
      <c r="E79" t="s">
        <v>9</v>
      </c>
      <c r="G79" s="1">
        <v>1</v>
      </c>
      <c r="H79" s="6">
        <f>COUNTIF(wnioski!$M$2:$M$816,pot!D79)</f>
        <v>1</v>
      </c>
      <c r="I79" t="str">
        <f>VLOOKUP(D79,wnioski!$M$2:$AZ$816,5,0)</f>
        <v>SA135</v>
      </c>
      <c r="J79" t="str">
        <f>VLOOKUP(D79,wnioski!$M$2:$AZ$816,4,0)</f>
        <v>ROM</v>
      </c>
      <c r="L79">
        <f t="shared" si="2"/>
        <v>60462</v>
      </c>
      <c r="M79" t="str">
        <f>IF(VLOOKUP(D79,wnioski!$M$2:$AZ$816,2,0)=0,"",VLOOKUP(D79,wnioski!$M$2:$AZ$816,2,0))</f>
        <v/>
      </c>
      <c r="N79" t="str">
        <f>IF(VLOOKUP(D79,wnioski!$M$2:$AZ$816,3,0)=0,"",VLOOKUP(D79,wnioski!$M$2:$AZ$816,3,0))</f>
        <v/>
      </c>
      <c r="O79" t="str">
        <f>VLOOKUP(D79,wnioski!$M$2:$AZ$816,15,0)</f>
        <v>08:42</v>
      </c>
      <c r="P79" t="str">
        <f>VLOOKUP(D79,wnioski!$M$2:$AZ$816,14,0)</f>
        <v>Chocianów</v>
      </c>
      <c r="Q79" t="str">
        <f>VLOOKUP(D79,wnioski!$M$2:$AZ$816,16,0)</f>
        <v>Legnica</v>
      </c>
      <c r="R79" t="str">
        <f>VLOOKUP(D79,wnioski!$M$2:$AZ$816,17,0)</f>
        <v>09:22</v>
      </c>
    </row>
    <row r="80" spans="1:18" x14ac:dyDescent="0.25">
      <c r="A80" s="1">
        <v>79</v>
      </c>
      <c r="B80">
        <v>3</v>
      </c>
      <c r="D80">
        <v>60435</v>
      </c>
      <c r="E80" t="s">
        <v>9</v>
      </c>
      <c r="G80" s="1">
        <v>1</v>
      </c>
      <c r="H80" s="6">
        <f>COUNTIF(wnioski!$M$2:$M$816,pot!D80)</f>
        <v>1</v>
      </c>
      <c r="I80" t="str">
        <f>VLOOKUP(D80,wnioski!$M$2:$AZ$816,5,0)</f>
        <v>SA135</v>
      </c>
      <c r="J80" t="str">
        <f>VLOOKUP(D80,wnioski!$M$2:$AZ$816,4,0)</f>
        <v>ROM</v>
      </c>
      <c r="L80">
        <f t="shared" si="2"/>
        <v>60435</v>
      </c>
      <c r="M80" t="str">
        <f>IF(VLOOKUP(D80,wnioski!$M$2:$AZ$816,2,0)=0,"",VLOOKUP(D80,wnioski!$M$2:$AZ$816,2,0))</f>
        <v/>
      </c>
      <c r="N80" t="str">
        <f>IF(VLOOKUP(D80,wnioski!$M$2:$AZ$816,3,0)=0,"",VLOOKUP(D80,wnioski!$M$2:$AZ$816,3,0))</f>
        <v/>
      </c>
      <c r="O80" t="str">
        <f>VLOOKUP(D80,wnioski!$M$2:$AZ$816,15,0)</f>
        <v>10:47</v>
      </c>
      <c r="P80" t="str">
        <f>VLOOKUP(D80,wnioski!$M$2:$AZ$816,14,0)</f>
        <v>Legnica</v>
      </c>
      <c r="Q80" t="str">
        <f>VLOOKUP(D80,wnioski!$M$2:$AZ$816,16,0)</f>
        <v>Chocianów</v>
      </c>
      <c r="R80" t="str">
        <f>VLOOKUP(D80,wnioski!$M$2:$AZ$816,17,0)</f>
        <v>11:26</v>
      </c>
    </row>
    <row r="81" spans="1:18" x14ac:dyDescent="0.25">
      <c r="A81" s="1">
        <v>80</v>
      </c>
      <c r="B81">
        <v>3</v>
      </c>
      <c r="D81">
        <v>60464</v>
      </c>
      <c r="E81" t="s">
        <v>9</v>
      </c>
      <c r="G81" s="1">
        <v>1</v>
      </c>
      <c r="H81" s="6">
        <f>COUNTIF(wnioski!$M$2:$M$816,pot!D81)</f>
        <v>1</v>
      </c>
      <c r="I81" t="str">
        <f>VLOOKUP(D81,wnioski!$M$2:$AZ$816,5,0)</f>
        <v>SA135</v>
      </c>
      <c r="J81" t="str">
        <f>VLOOKUP(D81,wnioski!$M$2:$AZ$816,4,0)</f>
        <v>ROM</v>
      </c>
      <c r="L81">
        <f t="shared" si="2"/>
        <v>60464</v>
      </c>
      <c r="M81" t="str">
        <f>IF(VLOOKUP(D81,wnioski!$M$2:$AZ$816,2,0)=0,"",VLOOKUP(D81,wnioski!$M$2:$AZ$816,2,0))</f>
        <v/>
      </c>
      <c r="N81" t="str">
        <f>IF(VLOOKUP(D81,wnioski!$M$2:$AZ$816,3,0)=0,"",VLOOKUP(D81,wnioski!$M$2:$AZ$816,3,0))</f>
        <v/>
      </c>
      <c r="O81" t="str">
        <f>VLOOKUP(D81,wnioski!$M$2:$AZ$816,15,0)</f>
        <v>11:40</v>
      </c>
      <c r="P81" t="str">
        <f>VLOOKUP(D81,wnioski!$M$2:$AZ$816,14,0)</f>
        <v>Chocianów</v>
      </c>
      <c r="Q81" t="str">
        <f>VLOOKUP(D81,wnioski!$M$2:$AZ$816,16,0)</f>
        <v>Legnica</v>
      </c>
      <c r="R81" t="str">
        <f>VLOOKUP(D81,wnioski!$M$2:$AZ$816,17,0)</f>
        <v>12:20</v>
      </c>
    </row>
    <row r="82" spans="1:18" x14ac:dyDescent="0.25">
      <c r="A82" s="1">
        <v>81</v>
      </c>
      <c r="B82">
        <v>3</v>
      </c>
      <c r="D82">
        <v>67325</v>
      </c>
      <c r="E82" t="s">
        <v>9</v>
      </c>
      <c r="G82" s="1">
        <v>1</v>
      </c>
      <c r="H82" s="6">
        <f>COUNTIF(wnioski!$M$2:$M$816,pot!D82)</f>
        <v>1</v>
      </c>
      <c r="I82" t="str">
        <f>VLOOKUP(D82,wnioski!$M$2:$AZ$816,5,0)</f>
        <v>SA135</v>
      </c>
      <c r="J82" t="str">
        <f>VLOOKUP(D82,wnioski!$M$2:$AZ$816,4,0)</f>
        <v>ROM</v>
      </c>
      <c r="L82">
        <f t="shared" si="2"/>
        <v>67325</v>
      </c>
      <c r="M82" t="str">
        <f>IF(VLOOKUP(D82,wnioski!$M$2:$AZ$816,2,0)=0,"",VLOOKUP(D82,wnioski!$M$2:$AZ$816,2,0))</f>
        <v/>
      </c>
      <c r="N82" t="str">
        <f>IF(VLOOKUP(D82,wnioski!$M$2:$AZ$816,3,0)=0,"",VLOOKUP(D82,wnioski!$M$2:$AZ$816,3,0))</f>
        <v/>
      </c>
      <c r="O82" t="str">
        <f>VLOOKUP(D82,wnioski!$M$2:$AZ$816,15,0)</f>
        <v>12:44</v>
      </c>
      <c r="P82" t="str">
        <f>VLOOKUP(D82,wnioski!$M$2:$AZ$816,14,0)</f>
        <v>Legnica</v>
      </c>
      <c r="Q82" t="str">
        <f>VLOOKUP(D82,wnioski!$M$2:$AZ$816,16,0)</f>
        <v>Żary</v>
      </c>
      <c r="R82" t="str">
        <f>VLOOKUP(D82,wnioski!$M$2:$AZ$816,17,0)</f>
        <v>14:07</v>
      </c>
    </row>
    <row r="83" spans="1:18" x14ac:dyDescent="0.25">
      <c r="A83" s="1">
        <v>82</v>
      </c>
      <c r="B83">
        <v>3</v>
      </c>
      <c r="D83">
        <v>76314</v>
      </c>
      <c r="E83" t="s">
        <v>9</v>
      </c>
      <c r="G83" s="1">
        <v>1</v>
      </c>
      <c r="H83" s="6">
        <f>COUNTIF(wnioski!$M$2:$M$816,pot!D83)</f>
        <v>1</v>
      </c>
      <c r="I83" t="str">
        <f>VLOOKUP(D83,wnioski!$M$2:$AZ$816,5,0)</f>
        <v>SA135</v>
      </c>
      <c r="J83" t="str">
        <f>VLOOKUP(D83,wnioski!$M$2:$AZ$816,4,0)</f>
        <v>ROM</v>
      </c>
      <c r="L83">
        <f t="shared" si="2"/>
        <v>76314</v>
      </c>
      <c r="M83" t="str">
        <f>IF(VLOOKUP(D83,wnioski!$M$2:$AZ$816,2,0)=0,"",VLOOKUP(D83,wnioski!$M$2:$AZ$816,2,0))</f>
        <v/>
      </c>
      <c r="N83" t="str">
        <f>IF(VLOOKUP(D83,wnioski!$M$2:$AZ$816,3,0)=0,"",VLOOKUP(D83,wnioski!$M$2:$AZ$816,3,0))</f>
        <v/>
      </c>
      <c r="O83" t="str">
        <f>VLOOKUP(D83,wnioski!$M$2:$AZ$816,15,0)</f>
        <v>14:27</v>
      </c>
      <c r="P83" t="str">
        <f>VLOOKUP(D83,wnioski!$M$2:$AZ$816,14,0)</f>
        <v>Żary</v>
      </c>
      <c r="Q83" t="str">
        <f>VLOOKUP(D83,wnioski!$M$2:$AZ$816,16,0)</f>
        <v>Legnica</v>
      </c>
      <c r="R83" t="str">
        <f>VLOOKUP(D83,wnioski!$M$2:$AZ$816,17,0)</f>
        <v>16:04</v>
      </c>
    </row>
    <row r="84" spans="1:18" x14ac:dyDescent="0.25">
      <c r="A84" s="1">
        <v>83</v>
      </c>
      <c r="B84">
        <v>3</v>
      </c>
      <c r="D84">
        <v>67327</v>
      </c>
      <c r="E84" t="s">
        <v>9</v>
      </c>
      <c r="G84" s="1">
        <v>1</v>
      </c>
      <c r="H84" s="6">
        <f>COUNTIF(wnioski!$M$2:$M$816,pot!D84)</f>
        <v>1</v>
      </c>
      <c r="I84" t="str">
        <f>VLOOKUP(D84,wnioski!$M$2:$AZ$816,5,0)</f>
        <v>SA135</v>
      </c>
      <c r="J84" t="str">
        <f>VLOOKUP(D84,wnioski!$M$2:$AZ$816,4,0)</f>
        <v>ROM</v>
      </c>
      <c r="L84">
        <f t="shared" si="2"/>
        <v>67327</v>
      </c>
      <c r="M84" t="str">
        <f>IF(VLOOKUP(D84,wnioski!$M$2:$AZ$816,2,0)=0,"",VLOOKUP(D84,wnioski!$M$2:$AZ$816,2,0))</f>
        <v/>
      </c>
      <c r="N84" t="str">
        <f>IF(VLOOKUP(D84,wnioski!$M$2:$AZ$816,3,0)=0,"",VLOOKUP(D84,wnioski!$M$2:$AZ$816,3,0))</f>
        <v/>
      </c>
      <c r="O84" t="str">
        <f>VLOOKUP(D84,wnioski!$M$2:$AZ$816,15,0)</f>
        <v>16:11</v>
      </c>
      <c r="P84" t="str">
        <f>VLOOKUP(D84,wnioski!$M$2:$AZ$816,14,0)</f>
        <v>Legnica</v>
      </c>
      <c r="Q84" t="str">
        <f>VLOOKUP(D84,wnioski!$M$2:$AZ$816,16,0)</f>
        <v>Żary</v>
      </c>
      <c r="R84" t="str">
        <f>VLOOKUP(D84,wnioski!$M$2:$AZ$816,17,0)</f>
        <v>17:36</v>
      </c>
    </row>
    <row r="85" spans="1:18" x14ac:dyDescent="0.25">
      <c r="A85" s="1">
        <v>84</v>
      </c>
      <c r="B85">
        <v>3</v>
      </c>
      <c r="D85">
        <v>76318</v>
      </c>
      <c r="E85" t="s">
        <v>9</v>
      </c>
      <c r="G85" s="1">
        <v>1</v>
      </c>
      <c r="H85" s="6">
        <f>COUNTIF(wnioski!$M$2:$M$816,pot!D85)</f>
        <v>1</v>
      </c>
      <c r="I85" t="str">
        <f>VLOOKUP(D85,wnioski!$M$2:$AZ$816,5,0)</f>
        <v>SA135</v>
      </c>
      <c r="J85" t="str">
        <f>VLOOKUP(D85,wnioski!$M$2:$AZ$816,4,0)</f>
        <v>ROM</v>
      </c>
      <c r="L85">
        <f t="shared" si="2"/>
        <v>76318</v>
      </c>
      <c r="M85" t="str">
        <f>IF(VLOOKUP(D85,wnioski!$M$2:$AZ$816,2,0)=0,"",VLOOKUP(D85,wnioski!$M$2:$AZ$816,2,0))</f>
        <v/>
      </c>
      <c r="N85" t="str">
        <f>IF(VLOOKUP(D85,wnioski!$M$2:$AZ$816,3,0)=0,"",VLOOKUP(D85,wnioski!$M$2:$AZ$816,3,0))</f>
        <v/>
      </c>
      <c r="O85" t="str">
        <f>VLOOKUP(D85,wnioski!$M$2:$AZ$816,15,0)</f>
        <v>19:40</v>
      </c>
      <c r="P85" t="str">
        <f>VLOOKUP(D85,wnioski!$M$2:$AZ$816,14,0)</f>
        <v>Żary</v>
      </c>
      <c r="Q85" t="str">
        <f>VLOOKUP(D85,wnioski!$M$2:$AZ$816,16,0)</f>
        <v>Legnica</v>
      </c>
      <c r="R85" t="str">
        <f>VLOOKUP(D85,wnioski!$M$2:$AZ$816,17,0)</f>
        <v>21:06</v>
      </c>
    </row>
    <row r="86" spans="1:18" x14ac:dyDescent="0.25">
      <c r="A86" s="1">
        <v>85</v>
      </c>
      <c r="B86">
        <v>3</v>
      </c>
      <c r="D86" t="s">
        <v>4647</v>
      </c>
      <c r="E86" t="s">
        <v>7</v>
      </c>
      <c r="G86" s="1">
        <v>1</v>
      </c>
      <c r="H86" s="6">
        <f>COUNTIF(wnioski!$M$2:$M$816,pot!D86)</f>
        <v>2</v>
      </c>
      <c r="I86" t="str">
        <f>VLOOKUP(D86,wnioski!$M$2:$AZ$816,5,0)</f>
        <v>SA135</v>
      </c>
      <c r="J86" t="str">
        <f>VLOOKUP(D86,wnioski!$M$2:$AZ$816,4,0)</f>
        <v>ROM</v>
      </c>
      <c r="L86" t="str">
        <f t="shared" si="2"/>
        <v>69832/3</v>
      </c>
      <c r="M86" t="str">
        <f>IF(VLOOKUP(D86,wnioski!$M$2:$AZ$816,2,0)=0,"",VLOOKUP(D86,wnioski!$M$2:$AZ$816,2,0))</f>
        <v/>
      </c>
      <c r="N86" t="str">
        <f>IF(VLOOKUP(D86,wnioski!$M$2:$AZ$816,3,0)=0,"",VLOOKUP(D86,wnioski!$M$2:$AZ$816,3,0))</f>
        <v>SKALNIAK</v>
      </c>
      <c r="O86" t="str">
        <f>VLOOKUP(D86,wnioski!$M$2:$AZ$816,15,0)</f>
        <v>07:40</v>
      </c>
      <c r="P86" t="str">
        <f>VLOOKUP(D86,wnioski!$M$2:$AZ$816,14,0)</f>
        <v>Legnica</v>
      </c>
      <c r="Q86" t="str">
        <f>VLOOKUP(D86,wnioski!$M$2:$AZ$816,16,0)</f>
        <v>Kudowa-Zdrój</v>
      </c>
      <c r="R86" t="str">
        <f>VLOOKUP(D86,wnioski!$M$2:$AZ$816,17,0)</f>
        <v>11:33</v>
      </c>
    </row>
    <row r="87" spans="1:18" x14ac:dyDescent="0.25">
      <c r="A87" s="1">
        <v>86</v>
      </c>
      <c r="B87">
        <v>3</v>
      </c>
      <c r="D87" t="s">
        <v>3387</v>
      </c>
      <c r="E87" t="s">
        <v>7</v>
      </c>
      <c r="G87" s="1">
        <v>1</v>
      </c>
      <c r="H87" s="6">
        <f>COUNTIF(wnioski!$M$2:$M$816,pot!D87)</f>
        <v>4</v>
      </c>
      <c r="I87" t="str">
        <f>VLOOKUP(D87,wnioski!$M$2:$AZ$816,5,0)</f>
        <v>SA135</v>
      </c>
      <c r="J87" t="str">
        <f>VLOOKUP(D87,wnioski!$M$2:$AZ$816,4,0)</f>
        <v>ROM</v>
      </c>
      <c r="L87" t="str">
        <f t="shared" si="2"/>
        <v>69814/5</v>
      </c>
      <c r="M87" t="str">
        <f>IF(VLOOKUP(D87,wnioski!$M$2:$AZ$816,2,0)=0,"",VLOOKUP(D87,wnioski!$M$2:$AZ$816,2,0))</f>
        <v/>
      </c>
      <c r="N87" t="str">
        <f>IF(VLOOKUP(D87,wnioski!$M$2:$AZ$816,3,0)=0,"",VLOOKUP(D87,wnioski!$M$2:$AZ$816,3,0))</f>
        <v/>
      </c>
      <c r="O87" t="str">
        <f>VLOOKUP(D87,wnioski!$M$2:$AZ$816,15,0)</f>
        <v>11:39</v>
      </c>
      <c r="P87" t="str">
        <f>VLOOKUP(D87,wnioski!$M$2:$AZ$816,14,0)</f>
        <v>Kudowa-Zdrój</v>
      </c>
      <c r="Q87" t="str">
        <f>VLOOKUP(D87,wnioski!$M$2:$AZ$816,16,0)</f>
        <v>Legnica</v>
      </c>
      <c r="R87" t="str">
        <f>VLOOKUP(D87,wnioski!$M$2:$AZ$816,17,0)</f>
        <v>16:02</v>
      </c>
    </row>
    <row r="88" spans="1:18" x14ac:dyDescent="0.25">
      <c r="A88" s="1">
        <v>87</v>
      </c>
      <c r="B88">
        <v>3</v>
      </c>
      <c r="D88">
        <v>60441</v>
      </c>
      <c r="E88" t="s">
        <v>7</v>
      </c>
      <c r="G88" s="1">
        <v>1</v>
      </c>
      <c r="H88" s="6">
        <f>COUNTIF(wnioski!$M$2:$M$816,pot!D88)</f>
        <v>1</v>
      </c>
      <c r="I88" t="str">
        <f>VLOOKUP(D88,wnioski!$M$2:$AZ$816,5,0)</f>
        <v>SA135</v>
      </c>
      <c r="J88" t="str">
        <f>VLOOKUP(D88,wnioski!$M$2:$AZ$816,4,0)</f>
        <v>ROM</v>
      </c>
      <c r="L88">
        <f t="shared" si="2"/>
        <v>60441</v>
      </c>
      <c r="M88" t="str">
        <f>IF(VLOOKUP(D88,wnioski!$M$2:$AZ$816,2,0)=0,"",VLOOKUP(D88,wnioski!$M$2:$AZ$816,2,0))</f>
        <v/>
      </c>
      <c r="N88" t="str">
        <f>IF(VLOOKUP(D88,wnioski!$M$2:$AZ$816,3,0)=0,"",VLOOKUP(D88,wnioski!$M$2:$AZ$816,3,0))</f>
        <v/>
      </c>
      <c r="O88" t="str">
        <f>VLOOKUP(D88,wnioski!$M$2:$AZ$816,15,0)</f>
        <v>16:47</v>
      </c>
      <c r="P88" t="str">
        <f>VLOOKUP(D88,wnioski!$M$2:$AZ$816,14,0)</f>
        <v>Legnica</v>
      </c>
      <c r="Q88" t="str">
        <f>VLOOKUP(D88,wnioski!$M$2:$AZ$816,16,0)</f>
        <v>Chocianów</v>
      </c>
      <c r="R88" t="str">
        <f>VLOOKUP(D88,wnioski!$M$2:$AZ$816,17,0)</f>
        <v>17:26</v>
      </c>
    </row>
    <row r="89" spans="1:18" x14ac:dyDescent="0.25">
      <c r="A89" s="1">
        <v>88</v>
      </c>
      <c r="B89">
        <v>3</v>
      </c>
      <c r="D89">
        <v>60470</v>
      </c>
      <c r="E89" t="s">
        <v>7</v>
      </c>
      <c r="G89" s="1">
        <v>1</v>
      </c>
      <c r="H89" s="6">
        <f>COUNTIF(wnioski!$M$2:$M$816,pot!D89)</f>
        <v>1</v>
      </c>
      <c r="I89" t="str">
        <f>VLOOKUP(D89,wnioski!$M$2:$AZ$816,5,0)</f>
        <v>SA135</v>
      </c>
      <c r="J89" t="str">
        <f>VLOOKUP(D89,wnioski!$M$2:$AZ$816,4,0)</f>
        <v>ROM</v>
      </c>
      <c r="L89">
        <f t="shared" si="2"/>
        <v>60470</v>
      </c>
      <c r="M89" t="str">
        <f>IF(VLOOKUP(D89,wnioski!$M$2:$AZ$816,2,0)=0,"",VLOOKUP(D89,wnioski!$M$2:$AZ$816,2,0))</f>
        <v/>
      </c>
      <c r="N89" t="str">
        <f>IF(VLOOKUP(D89,wnioski!$M$2:$AZ$816,3,0)=0,"",VLOOKUP(D89,wnioski!$M$2:$AZ$816,3,0))</f>
        <v/>
      </c>
      <c r="O89" t="str">
        <f>VLOOKUP(D89,wnioski!$M$2:$AZ$816,15,0)</f>
        <v>17:40</v>
      </c>
      <c r="P89" t="str">
        <f>VLOOKUP(D89,wnioski!$M$2:$AZ$816,14,0)</f>
        <v>Chocianów</v>
      </c>
      <c r="Q89" t="str">
        <f>VLOOKUP(D89,wnioski!$M$2:$AZ$816,16,0)</f>
        <v>Legnica</v>
      </c>
      <c r="R89" t="str">
        <f>VLOOKUP(D89,wnioski!$M$2:$AZ$816,17,0)</f>
        <v>18:20</v>
      </c>
    </row>
    <row r="90" spans="1:18" x14ac:dyDescent="0.25">
      <c r="A90" s="1">
        <v>89</v>
      </c>
      <c r="B90">
        <v>3</v>
      </c>
      <c r="D90">
        <v>60443</v>
      </c>
      <c r="E90" t="s">
        <v>7</v>
      </c>
      <c r="G90" s="1">
        <v>1</v>
      </c>
      <c r="H90" s="6">
        <f>COUNTIF(wnioski!$M$2:$M$816,pot!D90)</f>
        <v>1</v>
      </c>
      <c r="I90" t="str">
        <f>VLOOKUP(D90,wnioski!$M$2:$AZ$816,5,0)</f>
        <v>SA135</v>
      </c>
      <c r="J90" t="str">
        <f>VLOOKUP(D90,wnioski!$M$2:$AZ$816,4,0)</f>
        <v>ROM</v>
      </c>
      <c r="L90">
        <f t="shared" si="2"/>
        <v>60443</v>
      </c>
      <c r="M90" t="str">
        <f>IF(VLOOKUP(D90,wnioski!$M$2:$AZ$816,2,0)=0,"",VLOOKUP(D90,wnioski!$M$2:$AZ$816,2,0))</f>
        <v/>
      </c>
      <c r="N90" t="str">
        <f>IF(VLOOKUP(D90,wnioski!$M$2:$AZ$816,3,0)=0,"",VLOOKUP(D90,wnioski!$M$2:$AZ$816,3,0))</f>
        <v/>
      </c>
      <c r="O90" t="str">
        <f>VLOOKUP(D90,wnioski!$M$2:$AZ$816,15,0)</f>
        <v>18:59</v>
      </c>
      <c r="P90" t="str">
        <f>VLOOKUP(D90,wnioski!$M$2:$AZ$816,14,0)</f>
        <v>Legnica</v>
      </c>
      <c r="Q90" t="str">
        <f>VLOOKUP(D90,wnioski!$M$2:$AZ$816,16,0)</f>
        <v>Chocianów</v>
      </c>
      <c r="R90" t="str">
        <f>VLOOKUP(D90,wnioski!$M$2:$AZ$816,17,0)</f>
        <v>19:38</v>
      </c>
    </row>
    <row r="91" spans="1:18" x14ac:dyDescent="0.25">
      <c r="A91" s="1">
        <v>90</v>
      </c>
      <c r="B91">
        <v>3</v>
      </c>
      <c r="D91">
        <v>60472</v>
      </c>
      <c r="E91" t="s">
        <v>7</v>
      </c>
      <c r="G91" s="1">
        <v>1</v>
      </c>
      <c r="H91" s="6">
        <f>COUNTIF(wnioski!$M$2:$M$816,pot!D91)</f>
        <v>1</v>
      </c>
      <c r="I91" t="str">
        <f>VLOOKUP(D91,wnioski!$M$2:$AZ$816,5,0)</f>
        <v>SA135</v>
      </c>
      <c r="J91" t="str">
        <f>VLOOKUP(D91,wnioski!$M$2:$AZ$816,4,0)</f>
        <v>ROM</v>
      </c>
      <c r="L91">
        <f t="shared" si="2"/>
        <v>60472</v>
      </c>
      <c r="M91" t="str">
        <f>IF(VLOOKUP(D91,wnioski!$M$2:$AZ$816,2,0)=0,"",VLOOKUP(D91,wnioski!$M$2:$AZ$816,2,0))</f>
        <v/>
      </c>
      <c r="N91" t="str">
        <f>IF(VLOOKUP(D91,wnioski!$M$2:$AZ$816,3,0)=0,"",VLOOKUP(D91,wnioski!$M$2:$AZ$816,3,0))</f>
        <v/>
      </c>
      <c r="O91" t="str">
        <f>VLOOKUP(D91,wnioski!$M$2:$AZ$816,15,0)</f>
        <v>19:44</v>
      </c>
      <c r="P91" t="str">
        <f>VLOOKUP(D91,wnioski!$M$2:$AZ$816,14,0)</f>
        <v>Chocianów</v>
      </c>
      <c r="Q91" t="str">
        <f>VLOOKUP(D91,wnioski!$M$2:$AZ$816,16,0)</f>
        <v>Legnica</v>
      </c>
      <c r="R91" t="str">
        <f>VLOOKUP(D91,wnioski!$M$2:$AZ$816,17,0)</f>
        <v>20:23</v>
      </c>
    </row>
    <row r="92" spans="1:18" x14ac:dyDescent="0.25">
      <c r="A92" s="1">
        <v>91</v>
      </c>
      <c r="B92">
        <v>4</v>
      </c>
      <c r="D92">
        <v>69890</v>
      </c>
      <c r="E92" t="s">
        <v>8</v>
      </c>
      <c r="G92" s="1">
        <v>1</v>
      </c>
      <c r="H92" s="6">
        <f>COUNTIF(wnioski!$M$2:$M$816,pot!D92)</f>
        <v>1</v>
      </c>
      <c r="I92" t="str">
        <f>VLOOKUP(D92,wnioski!$M$2:$AZ$816,5,0)</f>
        <v>SA135</v>
      </c>
      <c r="J92" t="str">
        <f>VLOOKUP(D92,wnioski!$M$2:$AZ$816,4,0)</f>
        <v>ROM</v>
      </c>
      <c r="L92">
        <f t="shared" si="2"/>
        <v>69890</v>
      </c>
      <c r="M92" t="str">
        <f>IF(VLOOKUP(D92,wnioski!$M$2:$AZ$816,2,0)=0,"",VLOOKUP(D92,wnioski!$M$2:$AZ$816,2,0))</f>
        <v/>
      </c>
      <c r="N92" t="str">
        <f>IF(VLOOKUP(D92,wnioski!$M$2:$AZ$816,3,0)=0,"",VLOOKUP(D92,wnioski!$M$2:$AZ$816,3,0))</f>
        <v/>
      </c>
      <c r="O92" t="str">
        <f>VLOOKUP(D92,wnioski!$M$2:$AZ$816,15,0)</f>
        <v>05:21</v>
      </c>
      <c r="P92" t="str">
        <f>VLOOKUP(D92,wnioski!$M$2:$AZ$816,14,0)</f>
        <v>Dzierżoniów Śląski</v>
      </c>
      <c r="Q92" t="str">
        <f>VLOOKUP(D92,wnioski!$M$2:$AZ$816,16,0)</f>
        <v>Bielawa Zachodnia</v>
      </c>
      <c r="R92" t="str">
        <f>VLOOKUP(D92,wnioski!$M$2:$AZ$816,17,0)</f>
        <v>05:29</v>
      </c>
    </row>
    <row r="93" spans="1:18" x14ac:dyDescent="0.25">
      <c r="A93" s="1">
        <v>92</v>
      </c>
      <c r="B93">
        <v>4</v>
      </c>
      <c r="D93">
        <v>69803</v>
      </c>
      <c r="E93" t="s">
        <v>8</v>
      </c>
      <c r="G93" s="1">
        <v>1</v>
      </c>
      <c r="H93" s="6">
        <f>COUNTIF(wnioski!$M$2:$M$816,pot!D93)</f>
        <v>2</v>
      </c>
      <c r="I93" t="str">
        <f>VLOOKUP(D93,wnioski!$M$2:$AZ$816,5,0)</f>
        <v>SA135</v>
      </c>
      <c r="J93" t="str">
        <f>VLOOKUP(D93,wnioski!$M$2:$AZ$816,4,0)</f>
        <v>ROM</v>
      </c>
      <c r="L93">
        <f t="shared" si="2"/>
        <v>69803</v>
      </c>
      <c r="M93" t="str">
        <f>IF(VLOOKUP(D93,wnioski!$M$2:$AZ$816,2,0)=0,"",VLOOKUP(D93,wnioski!$M$2:$AZ$816,2,0))</f>
        <v/>
      </c>
      <c r="N93" t="str">
        <f>IF(VLOOKUP(D93,wnioski!$M$2:$AZ$816,3,0)=0,"",VLOOKUP(D93,wnioski!$M$2:$AZ$816,3,0))</f>
        <v/>
      </c>
      <c r="O93" t="str">
        <f>VLOOKUP(D93,wnioski!$M$2:$AZ$816,15,0)</f>
        <v>05:35</v>
      </c>
      <c r="P93" t="str">
        <f>VLOOKUP(D93,wnioski!$M$2:$AZ$816,14,0)</f>
        <v>Bielawa Zachodnia</v>
      </c>
      <c r="Q93" t="str">
        <f>VLOOKUP(D93,wnioski!$M$2:$AZ$816,16,0)</f>
        <v>Legnica</v>
      </c>
      <c r="R93" t="str">
        <f>VLOOKUP(D93,wnioski!$M$2:$AZ$816,17,0)</f>
        <v>07:26</v>
      </c>
    </row>
    <row r="94" spans="1:18" x14ac:dyDescent="0.25">
      <c r="A94" s="1">
        <v>93</v>
      </c>
      <c r="B94">
        <v>4</v>
      </c>
      <c r="D94">
        <v>69834</v>
      </c>
      <c r="E94" t="s">
        <v>9</v>
      </c>
      <c r="G94" s="1">
        <v>1</v>
      </c>
      <c r="H94" s="6">
        <f>COUNTIF(wnioski!$M$2:$M$816,pot!D94)</f>
        <v>2</v>
      </c>
      <c r="I94" t="str">
        <f>VLOOKUP(D94,wnioski!$M$2:$AZ$816,5,0)</f>
        <v>SA135</v>
      </c>
      <c r="J94" t="str">
        <f>VLOOKUP(D94,wnioski!$M$2:$AZ$816,4,0)</f>
        <v>ROM</v>
      </c>
      <c r="L94">
        <f t="shared" si="2"/>
        <v>69834</v>
      </c>
      <c r="M94" t="str">
        <f>IF(VLOOKUP(D94,wnioski!$M$2:$AZ$816,2,0)=0,"",VLOOKUP(D94,wnioski!$M$2:$AZ$816,2,0))</f>
        <v/>
      </c>
      <c r="N94" t="str">
        <f>IF(VLOOKUP(D94,wnioski!$M$2:$AZ$816,3,0)=0,"",VLOOKUP(D94,wnioski!$M$2:$AZ$816,3,0))</f>
        <v/>
      </c>
      <c r="O94" t="str">
        <f>VLOOKUP(D94,wnioski!$M$2:$AZ$816,15,0)</f>
        <v>08:30</v>
      </c>
      <c r="P94" t="str">
        <f>VLOOKUP(D94,wnioski!$M$2:$AZ$816,14,0)</f>
        <v>Legnica</v>
      </c>
      <c r="Q94" t="str">
        <f>VLOOKUP(D94,wnioski!$M$2:$AZ$816,16,0)</f>
        <v>Kamieniec Ząbkowicki</v>
      </c>
      <c r="R94" t="str">
        <f>VLOOKUP(D94,wnioski!$M$2:$AZ$816,17,0)</f>
        <v>11:11</v>
      </c>
    </row>
    <row r="95" spans="1:18" x14ac:dyDescent="0.25">
      <c r="A95" s="1">
        <v>94</v>
      </c>
      <c r="B95">
        <v>4</v>
      </c>
      <c r="D95">
        <v>69813</v>
      </c>
      <c r="E95" t="s">
        <v>9</v>
      </c>
      <c r="G95" s="1">
        <v>1</v>
      </c>
      <c r="H95" s="6">
        <f>COUNTIF(wnioski!$M$2:$M$816,pot!D95)</f>
        <v>2</v>
      </c>
      <c r="I95" t="str">
        <f>VLOOKUP(D95,wnioski!$M$2:$AZ$816,5,0)</f>
        <v>SA135</v>
      </c>
      <c r="J95" t="str">
        <f>VLOOKUP(D95,wnioski!$M$2:$AZ$816,4,0)</f>
        <v>ROM</v>
      </c>
      <c r="L95">
        <f t="shared" si="2"/>
        <v>69813</v>
      </c>
      <c r="M95" t="str">
        <f>IF(VLOOKUP(D95,wnioski!$M$2:$AZ$816,2,0)=0,"",VLOOKUP(D95,wnioski!$M$2:$AZ$816,2,0))</f>
        <v/>
      </c>
      <c r="N95" t="str">
        <f>IF(VLOOKUP(D95,wnioski!$M$2:$AZ$816,3,0)=0,"",VLOOKUP(D95,wnioski!$M$2:$AZ$816,3,0))</f>
        <v/>
      </c>
      <c r="O95" t="str">
        <f>VLOOKUP(D95,wnioski!$M$2:$AZ$816,15,0)</f>
        <v>11:35</v>
      </c>
      <c r="P95" t="str">
        <f>VLOOKUP(D95,wnioski!$M$2:$AZ$816,14,0)</f>
        <v>Kamieniec Ząbkowicki</v>
      </c>
      <c r="Q95" t="str">
        <f>VLOOKUP(D95,wnioski!$M$2:$AZ$816,16,0)</f>
        <v>Legnica</v>
      </c>
      <c r="R95" t="str">
        <f>VLOOKUP(D95,wnioski!$M$2:$AZ$816,17,0)</f>
        <v>13:58</v>
      </c>
    </row>
    <row r="96" spans="1:18" x14ac:dyDescent="0.25">
      <c r="A96" s="1">
        <v>95</v>
      </c>
      <c r="B96">
        <v>4</v>
      </c>
      <c r="D96">
        <v>69840</v>
      </c>
      <c r="E96" t="s">
        <v>9</v>
      </c>
      <c r="G96" s="1">
        <v>1</v>
      </c>
      <c r="H96" s="6">
        <f>COUNTIF(wnioski!$M$2:$M$816,pot!D96)</f>
        <v>2</v>
      </c>
      <c r="I96" t="str">
        <f>VLOOKUP(D96,wnioski!$M$2:$AZ$816,5,0)</f>
        <v>SA135</v>
      </c>
      <c r="J96" t="str">
        <f>VLOOKUP(D96,wnioski!$M$2:$AZ$816,4,0)</f>
        <v>ROM</v>
      </c>
      <c r="L96">
        <f t="shared" si="2"/>
        <v>69840</v>
      </c>
      <c r="M96" t="str">
        <f>IF(VLOOKUP(D96,wnioski!$M$2:$AZ$816,2,0)=0,"",VLOOKUP(D96,wnioski!$M$2:$AZ$816,2,0))</f>
        <v/>
      </c>
      <c r="N96" t="str">
        <f>IF(VLOOKUP(D96,wnioski!$M$2:$AZ$816,3,0)=0,"",VLOOKUP(D96,wnioski!$M$2:$AZ$816,3,0))</f>
        <v/>
      </c>
      <c r="O96" t="str">
        <f>VLOOKUP(D96,wnioski!$M$2:$AZ$816,15,0)</f>
        <v>15:02</v>
      </c>
      <c r="P96" t="str">
        <f>VLOOKUP(D96,wnioski!$M$2:$AZ$816,14,0)</f>
        <v>Legnica</v>
      </c>
      <c r="Q96" t="str">
        <f>VLOOKUP(D96,wnioski!$M$2:$AZ$816,16,0)</f>
        <v>Kamieniec Ząbkowicki</v>
      </c>
      <c r="R96" t="str">
        <f>VLOOKUP(D96,wnioski!$M$2:$AZ$816,17,0)</f>
        <v>17:18</v>
      </c>
    </row>
    <row r="97" spans="1:18" x14ac:dyDescent="0.25">
      <c r="A97" s="1">
        <v>96</v>
      </c>
      <c r="B97">
        <v>4</v>
      </c>
      <c r="D97">
        <v>69821</v>
      </c>
      <c r="E97" t="s">
        <v>9</v>
      </c>
      <c r="G97" s="1">
        <v>1</v>
      </c>
      <c r="H97" s="6">
        <f>COUNTIF(wnioski!$M$2:$M$816,pot!D97)</f>
        <v>2</v>
      </c>
      <c r="I97" t="str">
        <f>VLOOKUP(D97,wnioski!$M$2:$AZ$816,5,0)</f>
        <v>SA135</v>
      </c>
      <c r="J97" t="str">
        <f>VLOOKUP(D97,wnioski!$M$2:$AZ$816,4,0)</f>
        <v>ROM</v>
      </c>
      <c r="L97">
        <f t="shared" si="2"/>
        <v>69821</v>
      </c>
      <c r="M97" t="str">
        <f>IF(VLOOKUP(D97,wnioski!$M$2:$AZ$816,2,0)=0,"",VLOOKUP(D97,wnioski!$M$2:$AZ$816,2,0))</f>
        <v/>
      </c>
      <c r="N97" t="str">
        <f>IF(VLOOKUP(D97,wnioski!$M$2:$AZ$816,3,0)=0,"",VLOOKUP(D97,wnioski!$M$2:$AZ$816,3,0))</f>
        <v/>
      </c>
      <c r="O97" t="str">
        <f>VLOOKUP(D97,wnioski!$M$2:$AZ$816,15,0)</f>
        <v>17:27</v>
      </c>
      <c r="P97" t="str">
        <f>VLOOKUP(D97,wnioski!$M$2:$AZ$816,14,0)</f>
        <v>Kamieniec Ząbkowicki</v>
      </c>
      <c r="Q97" t="str">
        <f>VLOOKUP(D97,wnioski!$M$2:$AZ$816,16,0)</f>
        <v>Legnica</v>
      </c>
      <c r="R97" t="str">
        <f>VLOOKUP(D97,wnioski!$M$2:$AZ$816,17,0)</f>
        <v>20:03</v>
      </c>
    </row>
    <row r="98" spans="1:18" x14ac:dyDescent="0.25">
      <c r="A98" s="1">
        <v>97</v>
      </c>
      <c r="B98">
        <v>4</v>
      </c>
      <c r="D98">
        <v>67323</v>
      </c>
      <c r="E98" t="s">
        <v>7</v>
      </c>
      <c r="G98" s="1">
        <v>1</v>
      </c>
      <c r="H98" s="6">
        <f>COUNTIF(wnioski!$M$2:$M$816,pot!D98)</f>
        <v>2</v>
      </c>
      <c r="I98" t="str">
        <f>VLOOKUP(D98,wnioski!$M$2:$AZ$816,5,0)</f>
        <v>SA135</v>
      </c>
      <c r="J98" t="str">
        <f>VLOOKUP(D98,wnioski!$M$2:$AZ$816,4,0)</f>
        <v>ROM</v>
      </c>
      <c r="L98">
        <f t="shared" si="2"/>
        <v>67323</v>
      </c>
      <c r="M98" t="str">
        <f>IF(VLOOKUP(D98,wnioski!$M$2:$AZ$816,2,0)=0,"",VLOOKUP(D98,wnioski!$M$2:$AZ$816,2,0))</f>
        <v/>
      </c>
      <c r="N98" t="str">
        <f>IF(VLOOKUP(D98,wnioski!$M$2:$AZ$816,3,0)=0,"",VLOOKUP(D98,wnioski!$M$2:$AZ$816,3,0))</f>
        <v/>
      </c>
      <c r="O98" t="str">
        <f>VLOOKUP(D98,wnioski!$M$2:$AZ$816,15,0)</f>
        <v>08:55</v>
      </c>
      <c r="P98" t="str">
        <f>VLOOKUP(D98,wnioski!$M$2:$AZ$816,14,0)</f>
        <v>Legnica</v>
      </c>
      <c r="Q98" t="str">
        <f>VLOOKUP(D98,wnioski!$M$2:$AZ$816,16,0)</f>
        <v>Żary</v>
      </c>
      <c r="R98" t="str">
        <f>VLOOKUP(D98,wnioski!$M$2:$AZ$816,17,0)</f>
        <v>10:29</v>
      </c>
    </row>
    <row r="99" spans="1:18" x14ac:dyDescent="0.25">
      <c r="A99" s="1">
        <v>98</v>
      </c>
      <c r="B99">
        <v>4</v>
      </c>
      <c r="D99">
        <v>76312</v>
      </c>
      <c r="E99" t="s">
        <v>7</v>
      </c>
      <c r="G99" s="1">
        <v>1</v>
      </c>
      <c r="H99" s="6">
        <f>COUNTIF(wnioski!$M$2:$M$816,pot!D99)</f>
        <v>1</v>
      </c>
      <c r="I99" t="str">
        <f>VLOOKUP(D99,wnioski!$M$2:$AZ$816,5,0)</f>
        <v>SA135</v>
      </c>
      <c r="J99" t="str">
        <f>VLOOKUP(D99,wnioski!$M$2:$AZ$816,4,0)</f>
        <v>ROM</v>
      </c>
      <c r="L99">
        <f t="shared" si="2"/>
        <v>76312</v>
      </c>
      <c r="M99" t="str">
        <f>IF(VLOOKUP(D99,wnioski!$M$2:$AZ$816,2,0)=0,"",VLOOKUP(D99,wnioski!$M$2:$AZ$816,2,0))</f>
        <v/>
      </c>
      <c r="N99" t="str">
        <f>IF(VLOOKUP(D99,wnioski!$M$2:$AZ$816,3,0)=0,"",VLOOKUP(D99,wnioski!$M$2:$AZ$816,3,0))</f>
        <v/>
      </c>
      <c r="O99" t="str">
        <f>VLOOKUP(D99,wnioski!$M$2:$AZ$816,15,0)</f>
        <v>11:05</v>
      </c>
      <c r="P99" t="str">
        <f>VLOOKUP(D99,wnioski!$M$2:$AZ$816,14,0)</f>
        <v>Żary</v>
      </c>
      <c r="Q99" t="str">
        <f>VLOOKUP(D99,wnioski!$M$2:$AZ$816,16,0)</f>
        <v>Legnica</v>
      </c>
      <c r="R99" t="str">
        <f>VLOOKUP(D99,wnioski!$M$2:$AZ$816,17,0)</f>
        <v>12:27</v>
      </c>
    </row>
    <row r="100" spans="1:18" x14ac:dyDescent="0.25">
      <c r="A100" s="1">
        <v>99</v>
      </c>
      <c r="B100">
        <v>4</v>
      </c>
      <c r="D100">
        <v>67325</v>
      </c>
      <c r="E100" t="s">
        <v>7</v>
      </c>
      <c r="G100" s="1">
        <v>1</v>
      </c>
      <c r="H100" s="6">
        <f>COUNTIF(wnioski!$M$2:$M$816,pot!D100)</f>
        <v>1</v>
      </c>
      <c r="I100" t="str">
        <f>VLOOKUP(D100,wnioski!$M$2:$AZ$816,5,0)</f>
        <v>SA135</v>
      </c>
      <c r="J100" t="str">
        <f>VLOOKUP(D100,wnioski!$M$2:$AZ$816,4,0)</f>
        <v>ROM</v>
      </c>
      <c r="L100">
        <f t="shared" si="2"/>
        <v>67325</v>
      </c>
      <c r="M100" t="str">
        <f>IF(VLOOKUP(D100,wnioski!$M$2:$AZ$816,2,0)=0,"",VLOOKUP(D100,wnioski!$M$2:$AZ$816,2,0))</f>
        <v/>
      </c>
      <c r="N100" t="str">
        <f>IF(VLOOKUP(D100,wnioski!$M$2:$AZ$816,3,0)=0,"",VLOOKUP(D100,wnioski!$M$2:$AZ$816,3,0))</f>
        <v/>
      </c>
      <c r="O100" t="str">
        <f>VLOOKUP(D100,wnioski!$M$2:$AZ$816,15,0)</f>
        <v>12:44</v>
      </c>
      <c r="P100" t="str">
        <f>VLOOKUP(D100,wnioski!$M$2:$AZ$816,14,0)</f>
        <v>Legnica</v>
      </c>
      <c r="Q100" t="str">
        <f>VLOOKUP(D100,wnioski!$M$2:$AZ$816,16,0)</f>
        <v>Żary</v>
      </c>
      <c r="R100" t="str">
        <f>VLOOKUP(D100,wnioski!$M$2:$AZ$816,17,0)</f>
        <v>14:07</v>
      </c>
    </row>
    <row r="101" spans="1:18" x14ac:dyDescent="0.25">
      <c r="A101" s="1">
        <v>100</v>
      </c>
      <c r="B101">
        <v>4</v>
      </c>
      <c r="D101">
        <v>76314</v>
      </c>
      <c r="E101" t="s">
        <v>7</v>
      </c>
      <c r="G101" s="1">
        <v>1</v>
      </c>
      <c r="H101" s="6">
        <f>COUNTIF(wnioski!$M$2:$M$816,pot!D101)</f>
        <v>1</v>
      </c>
      <c r="I101" t="str">
        <f>VLOOKUP(D101,wnioski!$M$2:$AZ$816,5,0)</f>
        <v>SA135</v>
      </c>
      <c r="J101" t="str">
        <f>VLOOKUP(D101,wnioski!$M$2:$AZ$816,4,0)</f>
        <v>ROM</v>
      </c>
      <c r="L101">
        <f t="shared" si="2"/>
        <v>76314</v>
      </c>
      <c r="M101" t="str">
        <f>IF(VLOOKUP(D101,wnioski!$M$2:$AZ$816,2,0)=0,"",VLOOKUP(D101,wnioski!$M$2:$AZ$816,2,0))</f>
        <v/>
      </c>
      <c r="N101" t="str">
        <f>IF(VLOOKUP(D101,wnioski!$M$2:$AZ$816,3,0)=0,"",VLOOKUP(D101,wnioski!$M$2:$AZ$816,3,0))</f>
        <v/>
      </c>
      <c r="O101" t="str">
        <f>VLOOKUP(D101,wnioski!$M$2:$AZ$816,15,0)</f>
        <v>14:27</v>
      </c>
      <c r="P101" t="str">
        <f>VLOOKUP(D101,wnioski!$M$2:$AZ$816,14,0)</f>
        <v>Żary</v>
      </c>
      <c r="Q101" t="str">
        <f>VLOOKUP(D101,wnioski!$M$2:$AZ$816,16,0)</f>
        <v>Legnica</v>
      </c>
      <c r="R101" t="str">
        <f>VLOOKUP(D101,wnioski!$M$2:$AZ$816,17,0)</f>
        <v>16:04</v>
      </c>
    </row>
    <row r="102" spans="1:18" x14ac:dyDescent="0.25">
      <c r="A102" s="1">
        <v>101</v>
      </c>
      <c r="B102">
        <v>4</v>
      </c>
      <c r="D102">
        <v>69848</v>
      </c>
      <c r="E102" t="s">
        <v>8</v>
      </c>
      <c r="G102" s="1">
        <v>1</v>
      </c>
      <c r="H102" s="6">
        <f>COUNTIF(wnioski!$M$2:$M$816,pot!D102)</f>
        <v>2</v>
      </c>
      <c r="I102" t="str">
        <f>VLOOKUP(D102,wnioski!$M$2:$AZ$816,5,0)</f>
        <v>SA135</v>
      </c>
      <c r="J102" t="str">
        <f>VLOOKUP(D102,wnioski!$M$2:$AZ$816,4,0)</f>
        <v>ROM</v>
      </c>
      <c r="L102">
        <f t="shared" si="2"/>
        <v>69848</v>
      </c>
      <c r="M102" t="str">
        <f>IF(VLOOKUP(D102,wnioski!$M$2:$AZ$816,2,0)=0,"",VLOOKUP(D102,wnioski!$M$2:$AZ$816,2,0))</f>
        <v/>
      </c>
      <c r="N102" t="str">
        <f>IF(VLOOKUP(D102,wnioski!$M$2:$AZ$816,3,0)=0,"",VLOOKUP(D102,wnioski!$M$2:$AZ$816,3,0))</f>
        <v/>
      </c>
      <c r="O102" t="str">
        <f>VLOOKUP(D102,wnioski!$M$2:$AZ$816,15,0)</f>
        <v>21:18</v>
      </c>
      <c r="P102" t="str">
        <f>VLOOKUP(D102,wnioski!$M$2:$AZ$816,14,0)</f>
        <v>Legnica</v>
      </c>
      <c r="Q102" t="str">
        <f>VLOOKUP(D102,wnioski!$M$2:$AZ$816,16,0)</f>
        <v>Bielawa Zachodnia</v>
      </c>
      <c r="R102" t="str">
        <f>VLOOKUP(D102,wnioski!$M$2:$AZ$816,17,0)</f>
        <v>23:01</v>
      </c>
    </row>
    <row r="103" spans="1:18" x14ac:dyDescent="0.25">
      <c r="A103" s="1">
        <v>102</v>
      </c>
      <c r="B103">
        <v>4</v>
      </c>
      <c r="D103">
        <v>66899</v>
      </c>
      <c r="E103" t="s">
        <v>8</v>
      </c>
      <c r="G103" s="1">
        <v>1</v>
      </c>
      <c r="H103" s="6">
        <f>COUNTIF(wnioski!$M$2:$M$816,pot!D103)</f>
        <v>1</v>
      </c>
      <c r="I103" t="str">
        <f>VLOOKUP(D103,wnioski!$M$2:$AZ$816,5,0)</f>
        <v>SA135</v>
      </c>
      <c r="J103" t="str">
        <f>VLOOKUP(D103,wnioski!$M$2:$AZ$816,4,0)</f>
        <v>ROM</v>
      </c>
      <c r="L103">
        <f t="shared" si="2"/>
        <v>66899</v>
      </c>
      <c r="M103" t="str">
        <f>IF(VLOOKUP(D103,wnioski!$M$2:$AZ$816,2,0)=0,"",VLOOKUP(D103,wnioski!$M$2:$AZ$816,2,0))</f>
        <v/>
      </c>
      <c r="N103" t="str">
        <f>IF(VLOOKUP(D103,wnioski!$M$2:$AZ$816,3,0)=0,"",VLOOKUP(D103,wnioski!$M$2:$AZ$816,3,0))</f>
        <v/>
      </c>
      <c r="O103" t="str">
        <f>VLOOKUP(D103,wnioski!$M$2:$AZ$816,15,0)</f>
        <v>23:07</v>
      </c>
      <c r="P103" t="str">
        <f>VLOOKUP(D103,wnioski!$M$2:$AZ$816,14,0)</f>
        <v>Bielawa Zachodnia</v>
      </c>
      <c r="Q103" t="str">
        <f>VLOOKUP(D103,wnioski!$M$2:$AZ$816,16,0)</f>
        <v>Dzierżoniów Śląski</v>
      </c>
      <c r="R103" t="str">
        <f>VLOOKUP(D103,wnioski!$M$2:$AZ$816,17,0)</f>
        <v>23:15</v>
      </c>
    </row>
    <row r="104" spans="1:18" x14ac:dyDescent="0.25">
      <c r="A104" s="1">
        <v>103</v>
      </c>
      <c r="B104">
        <v>5</v>
      </c>
      <c r="D104">
        <v>69830</v>
      </c>
      <c r="E104" t="s">
        <v>8</v>
      </c>
      <c r="G104" s="1">
        <v>1</v>
      </c>
      <c r="H104" s="6">
        <f>COUNTIF(wnioski!$M$2:$M$816,pot!D104)</f>
        <v>4</v>
      </c>
      <c r="I104" t="str">
        <f>VLOOKUP(D104,wnioski!$M$2:$AZ$816,5,0)</f>
        <v>SA135</v>
      </c>
      <c r="J104" t="str">
        <f>VLOOKUP(D104,wnioski!$M$2:$AZ$816,4,0)</f>
        <v>ROM</v>
      </c>
      <c r="L104">
        <f t="shared" si="2"/>
        <v>69830</v>
      </c>
      <c r="M104" t="str">
        <f>IF(VLOOKUP(D104,wnioski!$M$2:$AZ$816,2,0)=0,"",VLOOKUP(D104,wnioski!$M$2:$AZ$816,2,0))</f>
        <v/>
      </c>
      <c r="N104" t="str">
        <f>IF(VLOOKUP(D104,wnioski!$M$2:$AZ$816,3,0)=0,"",VLOOKUP(D104,wnioski!$M$2:$AZ$816,3,0))</f>
        <v/>
      </c>
      <c r="O104" t="str">
        <f>VLOOKUP(D104,wnioski!$M$2:$AZ$816,15,0)</f>
        <v>06:21</v>
      </c>
      <c r="P104" t="str">
        <f>VLOOKUP(D104,wnioski!$M$2:$AZ$816,14,0)</f>
        <v>Legnica</v>
      </c>
      <c r="Q104" t="str">
        <f>VLOOKUP(D104,wnioski!$M$2:$AZ$816,16,0)</f>
        <v>Kamieniec Ząbkowicki</v>
      </c>
      <c r="R104" t="str">
        <f>VLOOKUP(D104,wnioski!$M$2:$AZ$816,17,0)</f>
        <v>08:51</v>
      </c>
    </row>
    <row r="105" spans="1:18" x14ac:dyDescent="0.25">
      <c r="A105" s="1">
        <v>104</v>
      </c>
      <c r="B105">
        <v>5</v>
      </c>
      <c r="D105">
        <v>69809</v>
      </c>
      <c r="E105" t="s">
        <v>8</v>
      </c>
      <c r="G105" s="1">
        <v>1</v>
      </c>
      <c r="H105" s="6">
        <f>COUNTIF(wnioski!$M$2:$M$816,pot!D105)</f>
        <v>4</v>
      </c>
      <c r="I105" t="str">
        <f>VLOOKUP(D105,wnioski!$M$2:$AZ$816,5,0)</f>
        <v>SA135</v>
      </c>
      <c r="J105" t="str">
        <f>VLOOKUP(D105,wnioski!$M$2:$AZ$816,4,0)</f>
        <v>ROM</v>
      </c>
      <c r="L105">
        <f t="shared" si="2"/>
        <v>69809</v>
      </c>
      <c r="M105" t="str">
        <f>IF(VLOOKUP(D105,wnioski!$M$2:$AZ$816,2,0)=0,"",VLOOKUP(D105,wnioski!$M$2:$AZ$816,2,0))</f>
        <v/>
      </c>
      <c r="N105" t="str">
        <f>IF(VLOOKUP(D105,wnioski!$M$2:$AZ$816,3,0)=0,"",VLOOKUP(D105,wnioski!$M$2:$AZ$816,3,0))</f>
        <v/>
      </c>
      <c r="O105" t="str">
        <f>VLOOKUP(D105,wnioski!$M$2:$AZ$816,15,0)</f>
        <v>09:29</v>
      </c>
      <c r="P105" t="str">
        <f>VLOOKUP(D105,wnioski!$M$2:$AZ$816,14,0)</f>
        <v>Kamieniec Ząbkowicki</v>
      </c>
      <c r="Q105" t="str">
        <f>VLOOKUP(D105,wnioski!$M$2:$AZ$816,16,0)</f>
        <v>Legnica</v>
      </c>
      <c r="R105" t="str">
        <f>VLOOKUP(D105,wnioski!$M$2:$AZ$816,17,0)</f>
        <v>11:57</v>
      </c>
    </row>
    <row r="106" spans="1:18" x14ac:dyDescent="0.25">
      <c r="A106" s="1">
        <v>105</v>
      </c>
      <c r="B106">
        <v>5</v>
      </c>
      <c r="D106">
        <v>60437</v>
      </c>
      <c r="E106" t="s">
        <v>8</v>
      </c>
      <c r="G106" s="1">
        <v>1</v>
      </c>
      <c r="H106" s="6">
        <f>COUNTIF(wnioski!$M$2:$M$816,pot!D106)</f>
        <v>1</v>
      </c>
      <c r="I106" t="str">
        <f>VLOOKUP(D106,wnioski!$M$2:$AZ$816,5,0)</f>
        <v>SA135</v>
      </c>
      <c r="J106" t="str">
        <f>VLOOKUP(D106,wnioski!$M$2:$AZ$816,4,0)</f>
        <v>ROM</v>
      </c>
      <c r="L106">
        <f t="shared" si="2"/>
        <v>60437</v>
      </c>
      <c r="M106" t="str">
        <f>IF(VLOOKUP(D106,wnioski!$M$2:$AZ$816,2,0)=0,"",VLOOKUP(D106,wnioski!$M$2:$AZ$816,2,0))</f>
        <v/>
      </c>
      <c r="N106" t="str">
        <f>IF(VLOOKUP(D106,wnioski!$M$2:$AZ$816,3,0)=0,"",VLOOKUP(D106,wnioski!$M$2:$AZ$816,3,0))</f>
        <v/>
      </c>
      <c r="O106" t="str">
        <f>VLOOKUP(D106,wnioski!$M$2:$AZ$816,15,0)</f>
        <v>13:24</v>
      </c>
      <c r="P106" t="str">
        <f>VLOOKUP(D106,wnioski!$M$2:$AZ$816,14,0)</f>
        <v>Legnica</v>
      </c>
      <c r="Q106" t="str">
        <f>VLOOKUP(D106,wnioski!$M$2:$AZ$816,16,0)</f>
        <v>Chocianów</v>
      </c>
      <c r="R106" t="str">
        <f>VLOOKUP(D106,wnioski!$M$2:$AZ$816,17,0)</f>
        <v>14:03</v>
      </c>
    </row>
    <row r="107" spans="1:18" x14ac:dyDescent="0.25">
      <c r="A107" s="1">
        <v>106</v>
      </c>
      <c r="B107">
        <v>5</v>
      </c>
      <c r="D107">
        <v>60466</v>
      </c>
      <c r="E107" t="s">
        <v>8</v>
      </c>
      <c r="G107" s="1">
        <v>1</v>
      </c>
      <c r="H107" s="6">
        <f>COUNTIF(wnioski!$M$2:$M$816,pot!D107)</f>
        <v>1</v>
      </c>
      <c r="I107" t="str">
        <f>VLOOKUP(D107,wnioski!$M$2:$AZ$816,5,0)</f>
        <v>SA135</v>
      </c>
      <c r="J107" t="str">
        <f>VLOOKUP(D107,wnioski!$M$2:$AZ$816,4,0)</f>
        <v>ROM</v>
      </c>
      <c r="L107">
        <f t="shared" si="2"/>
        <v>60466</v>
      </c>
      <c r="M107" t="str">
        <f>IF(VLOOKUP(D107,wnioski!$M$2:$AZ$816,2,0)=0,"",VLOOKUP(D107,wnioski!$M$2:$AZ$816,2,0))</f>
        <v/>
      </c>
      <c r="N107" t="str">
        <f>IF(VLOOKUP(D107,wnioski!$M$2:$AZ$816,3,0)=0,"",VLOOKUP(D107,wnioski!$M$2:$AZ$816,3,0))</f>
        <v/>
      </c>
      <c r="O107" t="str">
        <f>VLOOKUP(D107,wnioski!$M$2:$AZ$816,15,0)</f>
        <v>14:12</v>
      </c>
      <c r="P107" t="str">
        <f>VLOOKUP(D107,wnioski!$M$2:$AZ$816,14,0)</f>
        <v>Chocianów</v>
      </c>
      <c r="Q107" t="str">
        <f>VLOOKUP(D107,wnioski!$M$2:$AZ$816,16,0)</f>
        <v>Legnica</v>
      </c>
      <c r="R107" t="str">
        <f>VLOOKUP(D107,wnioski!$M$2:$AZ$816,17,0)</f>
        <v>14:52</v>
      </c>
    </row>
    <row r="108" spans="1:18" x14ac:dyDescent="0.25">
      <c r="A108" s="1">
        <v>107</v>
      </c>
      <c r="B108">
        <v>5</v>
      </c>
      <c r="D108">
        <v>69840</v>
      </c>
      <c r="E108" t="s">
        <v>7</v>
      </c>
      <c r="G108" s="1">
        <v>1</v>
      </c>
      <c r="H108" s="6">
        <f>COUNTIF(wnioski!$M$2:$M$816,pot!D108)</f>
        <v>2</v>
      </c>
      <c r="I108" t="str">
        <f>VLOOKUP(D108,wnioski!$M$2:$AZ$816,5,0)</f>
        <v>SA135</v>
      </c>
      <c r="J108" t="str">
        <f>VLOOKUP(D108,wnioski!$M$2:$AZ$816,4,0)</f>
        <v>ROM</v>
      </c>
      <c r="L108">
        <f t="shared" si="2"/>
        <v>69840</v>
      </c>
      <c r="M108" t="str">
        <f>IF(VLOOKUP(D108,wnioski!$M$2:$AZ$816,2,0)=0,"",VLOOKUP(D108,wnioski!$M$2:$AZ$816,2,0))</f>
        <v/>
      </c>
      <c r="N108" t="str">
        <f>IF(VLOOKUP(D108,wnioski!$M$2:$AZ$816,3,0)=0,"",VLOOKUP(D108,wnioski!$M$2:$AZ$816,3,0))</f>
        <v/>
      </c>
      <c r="O108" t="str">
        <f>VLOOKUP(D108,wnioski!$M$2:$AZ$816,15,0)</f>
        <v>15:02</v>
      </c>
      <c r="P108" t="str">
        <f>VLOOKUP(D108,wnioski!$M$2:$AZ$816,14,0)</f>
        <v>Legnica</v>
      </c>
      <c r="Q108" t="str">
        <f>VLOOKUP(D108,wnioski!$M$2:$AZ$816,16,0)</f>
        <v>Kamieniec Ząbkowicki</v>
      </c>
      <c r="R108" t="str">
        <f>VLOOKUP(D108,wnioski!$M$2:$AZ$816,17,0)</f>
        <v>17:18</v>
      </c>
    </row>
    <row r="109" spans="1:18" x14ac:dyDescent="0.25">
      <c r="A109" s="1">
        <v>108</v>
      </c>
      <c r="B109">
        <v>5</v>
      </c>
      <c r="D109">
        <v>69821</v>
      </c>
      <c r="E109" t="s">
        <v>7</v>
      </c>
      <c r="G109" s="1">
        <v>1</v>
      </c>
      <c r="H109" s="6">
        <f>COUNTIF(wnioski!$M$2:$M$816,pot!D109)</f>
        <v>2</v>
      </c>
      <c r="I109" t="str">
        <f>VLOOKUP(D109,wnioski!$M$2:$AZ$816,5,0)</f>
        <v>SA135</v>
      </c>
      <c r="J109" t="str">
        <f>VLOOKUP(D109,wnioski!$M$2:$AZ$816,4,0)</f>
        <v>ROM</v>
      </c>
      <c r="L109">
        <f t="shared" si="2"/>
        <v>69821</v>
      </c>
      <c r="M109" t="str">
        <f>IF(VLOOKUP(D109,wnioski!$M$2:$AZ$816,2,0)=0,"",VLOOKUP(D109,wnioski!$M$2:$AZ$816,2,0))</f>
        <v/>
      </c>
      <c r="N109" t="str">
        <f>IF(VLOOKUP(D109,wnioski!$M$2:$AZ$816,3,0)=0,"",VLOOKUP(D109,wnioski!$M$2:$AZ$816,3,0))</f>
        <v/>
      </c>
      <c r="O109" t="str">
        <f>VLOOKUP(D109,wnioski!$M$2:$AZ$816,15,0)</f>
        <v>17:27</v>
      </c>
      <c r="P109" t="str">
        <f>VLOOKUP(D109,wnioski!$M$2:$AZ$816,14,0)</f>
        <v>Kamieniec Ząbkowicki</v>
      </c>
      <c r="Q109" t="str">
        <f>VLOOKUP(D109,wnioski!$M$2:$AZ$816,16,0)</f>
        <v>Legnica</v>
      </c>
      <c r="R109" t="str">
        <f>VLOOKUP(D109,wnioski!$M$2:$AZ$816,17,0)</f>
        <v>20:03</v>
      </c>
    </row>
    <row r="110" spans="1:18" x14ac:dyDescent="0.25">
      <c r="A110" s="1">
        <v>109</v>
      </c>
      <c r="B110">
        <v>5</v>
      </c>
      <c r="D110">
        <v>60439</v>
      </c>
      <c r="E110" t="s">
        <v>9</v>
      </c>
      <c r="G110" s="1">
        <v>1</v>
      </c>
      <c r="H110" s="6">
        <f>COUNTIF(wnioski!$M$2:$M$816,pot!D110)</f>
        <v>1</v>
      </c>
      <c r="I110" t="str">
        <f>VLOOKUP(D110,wnioski!$M$2:$AZ$816,5,0)</f>
        <v>SA135</v>
      </c>
      <c r="J110" t="str">
        <f>VLOOKUP(D110,wnioski!$M$2:$AZ$816,4,0)</f>
        <v>ROM</v>
      </c>
      <c r="L110">
        <f t="shared" si="2"/>
        <v>60439</v>
      </c>
      <c r="M110" t="str">
        <f>IF(VLOOKUP(D110,wnioski!$M$2:$AZ$816,2,0)=0,"",VLOOKUP(D110,wnioski!$M$2:$AZ$816,2,0))</f>
        <v/>
      </c>
      <c r="N110" t="str">
        <f>IF(VLOOKUP(D110,wnioski!$M$2:$AZ$816,3,0)=0,"",VLOOKUP(D110,wnioski!$M$2:$AZ$816,3,0))</f>
        <v/>
      </c>
      <c r="O110" t="str">
        <f>VLOOKUP(D110,wnioski!$M$2:$AZ$816,15,0)</f>
        <v>15:10</v>
      </c>
      <c r="P110" t="str">
        <f>VLOOKUP(D110,wnioski!$M$2:$AZ$816,14,0)</f>
        <v>Legnica</v>
      </c>
      <c r="Q110" t="str">
        <f>VLOOKUP(D110,wnioski!$M$2:$AZ$816,16,0)</f>
        <v>Chocianów</v>
      </c>
      <c r="R110" t="str">
        <f>VLOOKUP(D110,wnioski!$M$2:$AZ$816,17,0)</f>
        <v>15:49</v>
      </c>
    </row>
    <row r="111" spans="1:18" x14ac:dyDescent="0.25">
      <c r="A111" s="1">
        <v>110</v>
      </c>
      <c r="B111">
        <v>5</v>
      </c>
      <c r="D111">
        <v>60468</v>
      </c>
      <c r="E111" t="s">
        <v>9</v>
      </c>
      <c r="G111" s="1">
        <v>1</v>
      </c>
      <c r="H111" s="6">
        <f>COUNTIF(wnioski!$M$2:$M$816,pot!D111)</f>
        <v>1</v>
      </c>
      <c r="I111" t="str">
        <f>VLOOKUP(D111,wnioski!$M$2:$AZ$816,5,0)</f>
        <v>SA135</v>
      </c>
      <c r="J111" t="str">
        <f>VLOOKUP(D111,wnioski!$M$2:$AZ$816,4,0)</f>
        <v>ROM</v>
      </c>
      <c r="L111">
        <f t="shared" si="2"/>
        <v>60468</v>
      </c>
      <c r="M111" t="str">
        <f>IF(VLOOKUP(D111,wnioski!$M$2:$AZ$816,2,0)=0,"",VLOOKUP(D111,wnioski!$M$2:$AZ$816,2,0))</f>
        <v/>
      </c>
      <c r="N111" t="str">
        <f>IF(VLOOKUP(D111,wnioski!$M$2:$AZ$816,3,0)=0,"",VLOOKUP(D111,wnioski!$M$2:$AZ$816,3,0))</f>
        <v/>
      </c>
      <c r="O111" t="str">
        <f>VLOOKUP(D111,wnioski!$M$2:$AZ$816,15,0)</f>
        <v>15:55</v>
      </c>
      <c r="P111" t="str">
        <f>VLOOKUP(D111,wnioski!$M$2:$AZ$816,14,0)</f>
        <v>Chocianów</v>
      </c>
      <c r="Q111" t="str">
        <f>VLOOKUP(D111,wnioski!$M$2:$AZ$816,16,0)</f>
        <v>Legnica</v>
      </c>
      <c r="R111" t="str">
        <f>VLOOKUP(D111,wnioski!$M$2:$AZ$816,17,0)</f>
        <v>16:35</v>
      </c>
    </row>
    <row r="112" spans="1:18" x14ac:dyDescent="0.25">
      <c r="A112" s="1">
        <v>111</v>
      </c>
      <c r="B112">
        <v>5</v>
      </c>
      <c r="D112">
        <v>60441</v>
      </c>
      <c r="E112" t="s">
        <v>9</v>
      </c>
      <c r="G112" s="1">
        <v>1</v>
      </c>
      <c r="H112" s="6">
        <f>COUNTIF(wnioski!$M$2:$M$816,pot!D112)</f>
        <v>1</v>
      </c>
      <c r="I112" t="str">
        <f>VLOOKUP(D112,wnioski!$M$2:$AZ$816,5,0)</f>
        <v>SA135</v>
      </c>
      <c r="J112" t="str">
        <f>VLOOKUP(D112,wnioski!$M$2:$AZ$816,4,0)</f>
        <v>ROM</v>
      </c>
      <c r="L112">
        <f t="shared" si="2"/>
        <v>60441</v>
      </c>
      <c r="M112" t="str">
        <f>IF(VLOOKUP(D112,wnioski!$M$2:$AZ$816,2,0)=0,"",VLOOKUP(D112,wnioski!$M$2:$AZ$816,2,0))</f>
        <v/>
      </c>
      <c r="N112" t="str">
        <f>IF(VLOOKUP(D112,wnioski!$M$2:$AZ$816,3,0)=0,"",VLOOKUP(D112,wnioski!$M$2:$AZ$816,3,0))</f>
        <v/>
      </c>
      <c r="O112" t="str">
        <f>VLOOKUP(D112,wnioski!$M$2:$AZ$816,15,0)</f>
        <v>16:47</v>
      </c>
      <c r="P112" t="str">
        <f>VLOOKUP(D112,wnioski!$M$2:$AZ$816,14,0)</f>
        <v>Legnica</v>
      </c>
      <c r="Q112" t="str">
        <f>VLOOKUP(D112,wnioski!$M$2:$AZ$816,16,0)</f>
        <v>Chocianów</v>
      </c>
      <c r="R112" t="str">
        <f>VLOOKUP(D112,wnioski!$M$2:$AZ$816,17,0)</f>
        <v>17:26</v>
      </c>
    </row>
    <row r="113" spans="1:18" x14ac:dyDescent="0.25">
      <c r="A113" s="1">
        <v>112</v>
      </c>
      <c r="B113">
        <v>5</v>
      </c>
      <c r="D113">
        <v>60470</v>
      </c>
      <c r="E113" t="s">
        <v>9</v>
      </c>
      <c r="G113" s="1">
        <v>1</v>
      </c>
      <c r="H113" s="6">
        <f>COUNTIF(wnioski!$M$2:$M$816,pot!D113)</f>
        <v>1</v>
      </c>
      <c r="I113" t="str">
        <f>VLOOKUP(D113,wnioski!$M$2:$AZ$816,5,0)</f>
        <v>SA135</v>
      </c>
      <c r="J113" t="str">
        <f>VLOOKUP(D113,wnioski!$M$2:$AZ$816,4,0)</f>
        <v>ROM</v>
      </c>
      <c r="L113">
        <f t="shared" si="2"/>
        <v>60470</v>
      </c>
      <c r="M113" t="str">
        <f>IF(VLOOKUP(D113,wnioski!$M$2:$AZ$816,2,0)=0,"",VLOOKUP(D113,wnioski!$M$2:$AZ$816,2,0))</f>
        <v/>
      </c>
      <c r="N113" t="str">
        <f>IF(VLOOKUP(D113,wnioski!$M$2:$AZ$816,3,0)=0,"",VLOOKUP(D113,wnioski!$M$2:$AZ$816,3,0))</f>
        <v/>
      </c>
      <c r="O113" t="str">
        <f>VLOOKUP(D113,wnioski!$M$2:$AZ$816,15,0)</f>
        <v>17:40</v>
      </c>
      <c r="P113" t="str">
        <f>VLOOKUP(D113,wnioski!$M$2:$AZ$816,14,0)</f>
        <v>Chocianów</v>
      </c>
      <c r="Q113" t="str">
        <f>VLOOKUP(D113,wnioski!$M$2:$AZ$816,16,0)</f>
        <v>Legnica</v>
      </c>
      <c r="R113" t="str">
        <f>VLOOKUP(D113,wnioski!$M$2:$AZ$816,17,0)</f>
        <v>18:20</v>
      </c>
    </row>
    <row r="114" spans="1:18" x14ac:dyDescent="0.25">
      <c r="A114" s="1">
        <v>113</v>
      </c>
      <c r="B114">
        <v>5</v>
      </c>
      <c r="D114">
        <v>60443</v>
      </c>
      <c r="E114" t="s">
        <v>9</v>
      </c>
      <c r="G114" s="1">
        <v>1</v>
      </c>
      <c r="H114" s="6">
        <f>COUNTIF(wnioski!$M$2:$M$816,pot!D114)</f>
        <v>1</v>
      </c>
      <c r="I114" t="str">
        <f>VLOOKUP(D114,wnioski!$M$2:$AZ$816,5,0)</f>
        <v>SA135</v>
      </c>
      <c r="J114" t="str">
        <f>VLOOKUP(D114,wnioski!$M$2:$AZ$816,4,0)</f>
        <v>ROM</v>
      </c>
      <c r="L114">
        <f t="shared" si="2"/>
        <v>60443</v>
      </c>
      <c r="M114" t="str">
        <f>IF(VLOOKUP(D114,wnioski!$M$2:$AZ$816,2,0)=0,"",VLOOKUP(D114,wnioski!$M$2:$AZ$816,2,0))</f>
        <v/>
      </c>
      <c r="N114" t="str">
        <f>IF(VLOOKUP(D114,wnioski!$M$2:$AZ$816,3,0)=0,"",VLOOKUP(D114,wnioski!$M$2:$AZ$816,3,0))</f>
        <v/>
      </c>
      <c r="O114" t="str">
        <f>VLOOKUP(D114,wnioski!$M$2:$AZ$816,15,0)</f>
        <v>18:59</v>
      </c>
      <c r="P114" t="str">
        <f>VLOOKUP(D114,wnioski!$M$2:$AZ$816,14,0)</f>
        <v>Legnica</v>
      </c>
      <c r="Q114" t="str">
        <f>VLOOKUP(D114,wnioski!$M$2:$AZ$816,16,0)</f>
        <v>Chocianów</v>
      </c>
      <c r="R114" t="str">
        <f>VLOOKUP(D114,wnioski!$M$2:$AZ$816,17,0)</f>
        <v>19:38</v>
      </c>
    </row>
    <row r="115" spans="1:18" x14ac:dyDescent="0.25">
      <c r="A115" s="1">
        <v>114</v>
      </c>
      <c r="B115">
        <v>5</v>
      </c>
      <c r="D115">
        <v>60472</v>
      </c>
      <c r="E115" t="s">
        <v>9</v>
      </c>
      <c r="G115" s="1">
        <v>1</v>
      </c>
      <c r="H115" s="6">
        <f>COUNTIF(wnioski!$M$2:$M$816,pot!D115)</f>
        <v>1</v>
      </c>
      <c r="I115" t="str">
        <f>VLOOKUP(D115,wnioski!$M$2:$AZ$816,5,0)</f>
        <v>SA135</v>
      </c>
      <c r="J115" t="str">
        <f>VLOOKUP(D115,wnioski!$M$2:$AZ$816,4,0)</f>
        <v>ROM</v>
      </c>
      <c r="L115">
        <f t="shared" si="2"/>
        <v>60472</v>
      </c>
      <c r="M115" t="str">
        <f>IF(VLOOKUP(D115,wnioski!$M$2:$AZ$816,2,0)=0,"",VLOOKUP(D115,wnioski!$M$2:$AZ$816,2,0))</f>
        <v/>
      </c>
      <c r="N115" t="str">
        <f>IF(VLOOKUP(D115,wnioski!$M$2:$AZ$816,3,0)=0,"",VLOOKUP(D115,wnioski!$M$2:$AZ$816,3,0))</f>
        <v/>
      </c>
      <c r="O115" t="str">
        <f>VLOOKUP(D115,wnioski!$M$2:$AZ$816,15,0)</f>
        <v>19:44</v>
      </c>
      <c r="P115" t="str">
        <f>VLOOKUP(D115,wnioski!$M$2:$AZ$816,14,0)</f>
        <v>Chocianów</v>
      </c>
      <c r="Q115" t="str">
        <f>VLOOKUP(D115,wnioski!$M$2:$AZ$816,16,0)</f>
        <v>Legnica</v>
      </c>
      <c r="R115" t="str">
        <f>VLOOKUP(D115,wnioski!$M$2:$AZ$816,17,0)</f>
        <v>20:23</v>
      </c>
    </row>
    <row r="116" spans="1:18" x14ac:dyDescent="0.25">
      <c r="A116" s="1">
        <v>115</v>
      </c>
      <c r="B116">
        <v>5</v>
      </c>
      <c r="D116">
        <v>60445</v>
      </c>
      <c r="E116" t="s">
        <v>8</v>
      </c>
      <c r="G116" s="1">
        <v>1</v>
      </c>
      <c r="H116" s="6">
        <f>COUNTIF(wnioski!$M$2:$M$816,pot!D116)</f>
        <v>1</v>
      </c>
      <c r="I116" t="str">
        <f>VLOOKUP(D116,wnioski!$M$2:$AZ$816,5,0)</f>
        <v>SA135</v>
      </c>
      <c r="J116" t="str">
        <f>VLOOKUP(D116,wnioski!$M$2:$AZ$816,4,0)</f>
        <v>ROM</v>
      </c>
      <c r="L116">
        <f t="shared" si="2"/>
        <v>60445</v>
      </c>
      <c r="M116" t="str">
        <f>IF(VLOOKUP(D116,wnioski!$M$2:$AZ$816,2,0)=0,"",VLOOKUP(D116,wnioski!$M$2:$AZ$816,2,0))</f>
        <v/>
      </c>
      <c r="N116" t="str">
        <f>IF(VLOOKUP(D116,wnioski!$M$2:$AZ$816,3,0)=0,"",VLOOKUP(D116,wnioski!$M$2:$AZ$816,3,0))</f>
        <v/>
      </c>
      <c r="O116" t="str">
        <f>VLOOKUP(D116,wnioski!$M$2:$AZ$816,15,0)</f>
        <v>20:43</v>
      </c>
      <c r="P116" t="str">
        <f>VLOOKUP(D116,wnioski!$M$2:$AZ$816,14,0)</f>
        <v>Legnica</v>
      </c>
      <c r="Q116" t="str">
        <f>VLOOKUP(D116,wnioski!$M$2:$AZ$816,16,0)</f>
        <v>Chocianów</v>
      </c>
      <c r="R116" t="str">
        <f>VLOOKUP(D116,wnioski!$M$2:$AZ$816,17,0)</f>
        <v>21:22</v>
      </c>
    </row>
    <row r="117" spans="1:18" x14ac:dyDescent="0.25">
      <c r="A117" s="1">
        <v>116</v>
      </c>
      <c r="B117">
        <v>5</v>
      </c>
      <c r="D117">
        <v>60474</v>
      </c>
      <c r="E117" t="s">
        <v>8</v>
      </c>
      <c r="G117" s="1">
        <v>1</v>
      </c>
      <c r="H117" s="6">
        <f>COUNTIF(wnioski!$M$2:$M$816,pot!D117)</f>
        <v>1</v>
      </c>
      <c r="I117" t="str">
        <f>VLOOKUP(D117,wnioski!$M$2:$AZ$816,5,0)</f>
        <v>SA135</v>
      </c>
      <c r="J117" t="str">
        <f>VLOOKUP(D117,wnioski!$M$2:$AZ$816,4,0)</f>
        <v>ROM</v>
      </c>
      <c r="L117">
        <f t="shared" si="2"/>
        <v>60474</v>
      </c>
      <c r="M117" t="str">
        <f>IF(VLOOKUP(D117,wnioski!$M$2:$AZ$816,2,0)=0,"",VLOOKUP(D117,wnioski!$M$2:$AZ$816,2,0))</f>
        <v/>
      </c>
      <c r="N117" t="str">
        <f>IF(VLOOKUP(D117,wnioski!$M$2:$AZ$816,3,0)=0,"",VLOOKUP(D117,wnioski!$M$2:$AZ$816,3,0))</f>
        <v/>
      </c>
      <c r="O117" t="str">
        <f>VLOOKUP(D117,wnioski!$M$2:$AZ$816,15,0)</f>
        <v>21:30</v>
      </c>
      <c r="P117" t="str">
        <f>VLOOKUP(D117,wnioski!$M$2:$AZ$816,14,0)</f>
        <v>Chocianów</v>
      </c>
      <c r="Q117" t="str">
        <f>VLOOKUP(D117,wnioski!$M$2:$AZ$816,16,0)</f>
        <v>Legnica</v>
      </c>
      <c r="R117" t="str">
        <f>VLOOKUP(D117,wnioski!$M$2:$AZ$816,17,0)</f>
        <v>22:09</v>
      </c>
    </row>
    <row r="118" spans="1:18" x14ac:dyDescent="0.25">
      <c r="A118" s="1">
        <v>117</v>
      </c>
      <c r="B118">
        <v>6</v>
      </c>
      <c r="D118" t="s">
        <v>7849</v>
      </c>
      <c r="E118" t="s">
        <v>9</v>
      </c>
      <c r="G118" s="1">
        <v>1</v>
      </c>
      <c r="H118" s="6">
        <f>COUNTIF(wnioski!$M$2:$M$816,pot!D118)</f>
        <v>1</v>
      </c>
      <c r="I118" t="str">
        <f>VLOOKUP(D118,wnioski!$M$2:$AZ$816,5,0)</f>
        <v>SA135</v>
      </c>
      <c r="J118" t="str">
        <f>VLOOKUP(D118,wnioski!$M$2:$AZ$816,4,0)</f>
        <v>ROM</v>
      </c>
      <c r="L118" t="str">
        <f t="shared" si="2"/>
        <v>69800/1</v>
      </c>
      <c r="M118" t="str">
        <f>IF(VLOOKUP(D118,wnioski!$M$2:$AZ$816,2,0)=0,"",VLOOKUP(D118,wnioski!$M$2:$AZ$816,2,0))</f>
        <v/>
      </c>
      <c r="N118" t="str">
        <f>IF(VLOOKUP(D118,wnioski!$M$2:$AZ$816,3,0)=0,"",VLOOKUP(D118,wnioski!$M$2:$AZ$816,3,0))</f>
        <v/>
      </c>
      <c r="O118" t="str">
        <f>VLOOKUP(D118,wnioski!$M$2:$AZ$816,15,0)</f>
        <v>04:02</v>
      </c>
      <c r="P118" t="str">
        <f>VLOOKUP(D118,wnioski!$M$2:$AZ$816,14,0)</f>
        <v>Kłodzko Główne</v>
      </c>
      <c r="Q118" t="str">
        <f>VLOOKUP(D118,wnioski!$M$2:$AZ$816,16,0)</f>
        <v>Dzierżoniów Śląski</v>
      </c>
      <c r="R118" t="str">
        <f>VLOOKUP(D118,wnioski!$M$2:$AZ$816,17,0)</f>
        <v>05:05</v>
      </c>
    </row>
    <row r="119" spans="1:18" x14ac:dyDescent="0.25">
      <c r="A119" s="1">
        <v>118</v>
      </c>
      <c r="B119">
        <v>6</v>
      </c>
      <c r="D119">
        <v>69826</v>
      </c>
      <c r="E119" t="s">
        <v>9</v>
      </c>
      <c r="G119" s="1">
        <v>1</v>
      </c>
      <c r="H119" s="6">
        <f>COUNTIF(wnioski!$M$2:$M$816,pot!D119)</f>
        <v>1</v>
      </c>
      <c r="I119" t="str">
        <f>VLOOKUP(D119,wnioski!$M$2:$AZ$816,5,0)</f>
        <v>SA135</v>
      </c>
      <c r="J119" t="str">
        <f>VLOOKUP(D119,wnioski!$M$2:$AZ$816,4,0)</f>
        <v>ROM</v>
      </c>
      <c r="L119">
        <f t="shared" si="2"/>
        <v>69826</v>
      </c>
      <c r="M119" t="str">
        <f>IF(VLOOKUP(D119,wnioski!$M$2:$AZ$816,2,0)=0,"",VLOOKUP(D119,wnioski!$M$2:$AZ$816,2,0))</f>
        <v/>
      </c>
      <c r="N119" t="str">
        <f>IF(VLOOKUP(D119,wnioski!$M$2:$AZ$816,3,0)=0,"",VLOOKUP(D119,wnioski!$M$2:$AZ$816,3,0))</f>
        <v/>
      </c>
      <c r="O119" t="str">
        <f>VLOOKUP(D119,wnioski!$M$2:$AZ$816,15,0)</f>
        <v>05:26</v>
      </c>
      <c r="P119" t="str">
        <f>VLOOKUP(D119,wnioski!$M$2:$AZ$816,14,0)</f>
        <v>Dzierżoniów Śląski</v>
      </c>
      <c r="Q119" t="str">
        <f>VLOOKUP(D119,wnioski!$M$2:$AZ$816,16,0)</f>
        <v>Kamieniec Ząbkowicki</v>
      </c>
      <c r="R119" t="str">
        <f>VLOOKUP(D119,wnioski!$M$2:$AZ$816,17,0)</f>
        <v>06:07</v>
      </c>
    </row>
    <row r="120" spans="1:18" x14ac:dyDescent="0.25">
      <c r="A120" s="1">
        <v>119</v>
      </c>
      <c r="B120">
        <v>6</v>
      </c>
      <c r="D120">
        <v>69805</v>
      </c>
      <c r="E120" t="s">
        <v>9</v>
      </c>
      <c r="G120" s="1">
        <v>1</v>
      </c>
      <c r="H120" s="6">
        <f>COUNTIF(wnioski!$M$2:$M$816,pot!D120)</f>
        <v>2</v>
      </c>
      <c r="I120" t="str">
        <f>VLOOKUP(D120,wnioski!$M$2:$AZ$816,5,0)</f>
        <v>SA135</v>
      </c>
      <c r="J120" t="str">
        <f>VLOOKUP(D120,wnioski!$M$2:$AZ$816,4,0)</f>
        <v>ROM</v>
      </c>
      <c r="L120">
        <f t="shared" si="2"/>
        <v>69805</v>
      </c>
      <c r="M120" t="str">
        <f>IF(VLOOKUP(D120,wnioski!$M$2:$AZ$816,2,0)=0,"",VLOOKUP(D120,wnioski!$M$2:$AZ$816,2,0))</f>
        <v/>
      </c>
      <c r="N120" t="str">
        <f>IF(VLOOKUP(D120,wnioski!$M$2:$AZ$816,3,0)=0,"",VLOOKUP(D120,wnioski!$M$2:$AZ$816,3,0))</f>
        <v/>
      </c>
      <c r="O120" t="str">
        <f>VLOOKUP(D120,wnioski!$M$2:$AZ$816,15,0)</f>
        <v>06:30</v>
      </c>
      <c r="P120" t="str">
        <f>VLOOKUP(D120,wnioski!$M$2:$AZ$816,14,0)</f>
        <v>Kamieniec Ząbkowicki</v>
      </c>
      <c r="Q120" t="str">
        <f>VLOOKUP(D120,wnioski!$M$2:$AZ$816,16,0)</f>
        <v>Legnica</v>
      </c>
      <c r="R120" t="str">
        <f>VLOOKUP(D120,wnioski!$M$2:$AZ$816,17,0)</f>
        <v>09:08</v>
      </c>
    </row>
    <row r="121" spans="1:18" x14ac:dyDescent="0.25">
      <c r="A121" s="1">
        <v>120</v>
      </c>
      <c r="B121">
        <v>6</v>
      </c>
      <c r="D121">
        <v>666009</v>
      </c>
      <c r="E121" t="s">
        <v>7</v>
      </c>
      <c r="G121" s="1">
        <v>1</v>
      </c>
      <c r="H121" s="6">
        <f>COUNTIF(wnioski!$M$2:$M$816,pot!D121)</f>
        <v>1</v>
      </c>
      <c r="I121" t="str">
        <f>VLOOKUP(D121,wnioski!$M$2:$AZ$816,5,0)</f>
        <v>SA135</v>
      </c>
      <c r="J121" t="str">
        <f>VLOOKUP(D121,wnioski!$M$2:$AZ$816,4,0)</f>
        <v>PWM</v>
      </c>
      <c r="L121">
        <f t="shared" si="2"/>
        <v>666009</v>
      </c>
      <c r="M121" t="str">
        <f>IF(VLOOKUP(D121,wnioski!$M$2:$AZ$816,2,0)=0,"",VLOOKUP(D121,wnioski!$M$2:$AZ$816,2,0))</f>
        <v/>
      </c>
      <c r="N121" t="str">
        <f>IF(VLOOKUP(D121,wnioski!$M$2:$AZ$816,3,0)=0,"",VLOOKUP(D121,wnioski!$M$2:$AZ$816,3,0))</f>
        <v/>
      </c>
      <c r="O121" t="str">
        <f>VLOOKUP(D121,wnioski!$M$2:$AZ$816,15,0)</f>
        <v>05:52</v>
      </c>
      <c r="P121" t="str">
        <f>VLOOKUP(D121,wnioski!$M$2:$AZ$816,14,0)</f>
        <v>Kłodzko Główne</v>
      </c>
      <c r="Q121" t="str">
        <f>VLOOKUP(D121,wnioski!$M$2:$AZ$816,16,0)</f>
        <v>Kłodzko Miasto</v>
      </c>
      <c r="R121" t="str">
        <f>VLOOKUP(D121,wnioski!$M$2:$AZ$816,17,0)</f>
        <v>05:56</v>
      </c>
    </row>
    <row r="122" spans="1:18" x14ac:dyDescent="0.25">
      <c r="A122" s="1">
        <v>121</v>
      </c>
      <c r="B122">
        <v>6</v>
      </c>
      <c r="D122" t="s">
        <v>4569</v>
      </c>
      <c r="E122" t="s">
        <v>7</v>
      </c>
      <c r="G122" s="1">
        <v>1</v>
      </c>
      <c r="H122" s="6">
        <f>COUNTIF(wnioski!$M$2:$M$816,pot!D122)</f>
        <v>2</v>
      </c>
      <c r="I122" t="str">
        <f>VLOOKUP(D122,wnioski!$M$2:$AZ$816,5,0)</f>
        <v>SA135</v>
      </c>
      <c r="J122" t="str">
        <f>VLOOKUP(D122,wnioski!$M$2:$AZ$816,4,0)</f>
        <v>ROM</v>
      </c>
      <c r="L122" t="str">
        <f t="shared" si="2"/>
        <v>69806/7</v>
      </c>
      <c r="M122" t="str">
        <f>IF(VLOOKUP(D122,wnioski!$M$2:$AZ$816,2,0)=0,"",VLOOKUP(D122,wnioski!$M$2:$AZ$816,2,0))</f>
        <v/>
      </c>
      <c r="N122" t="str">
        <f>IF(VLOOKUP(D122,wnioski!$M$2:$AZ$816,3,0)=0,"",VLOOKUP(D122,wnioski!$M$2:$AZ$816,3,0))</f>
        <v/>
      </c>
      <c r="O122" t="str">
        <f>VLOOKUP(D122,wnioski!$M$2:$AZ$816,15,0)</f>
        <v>06:02</v>
      </c>
      <c r="P122" t="str">
        <f>VLOOKUP(D122,wnioski!$M$2:$AZ$816,14,0)</f>
        <v>Kłodzko Miasto</v>
      </c>
      <c r="Q122" t="str">
        <f>VLOOKUP(D122,wnioski!$M$2:$AZ$816,16,0)</f>
        <v>Legnica</v>
      </c>
      <c r="R122" t="str">
        <f>VLOOKUP(D122,wnioski!$M$2:$AZ$816,17,0)</f>
        <v>09:08</v>
      </c>
    </row>
    <row r="123" spans="1:18" x14ac:dyDescent="0.25">
      <c r="A123" s="1">
        <v>122</v>
      </c>
      <c r="B123">
        <v>6</v>
      </c>
      <c r="D123">
        <v>67323</v>
      </c>
      <c r="E123" t="s">
        <v>9</v>
      </c>
      <c r="G123" s="1">
        <v>1</v>
      </c>
      <c r="H123" s="6">
        <f>COUNTIF(wnioski!$M$2:$M$816,pot!D123)</f>
        <v>2</v>
      </c>
      <c r="I123" t="str">
        <f>VLOOKUP(D123,wnioski!$M$2:$AZ$816,5,0)</f>
        <v>SA135</v>
      </c>
      <c r="J123" t="str">
        <f>VLOOKUP(D123,wnioski!$M$2:$AZ$816,4,0)</f>
        <v>ROM</v>
      </c>
      <c r="L123">
        <f t="shared" si="2"/>
        <v>67323</v>
      </c>
      <c r="M123" t="str">
        <f>IF(VLOOKUP(D123,wnioski!$M$2:$AZ$816,2,0)=0,"",VLOOKUP(D123,wnioski!$M$2:$AZ$816,2,0))</f>
        <v/>
      </c>
      <c r="N123" t="str">
        <f>IF(VLOOKUP(D123,wnioski!$M$2:$AZ$816,3,0)=0,"",VLOOKUP(D123,wnioski!$M$2:$AZ$816,3,0))</f>
        <v/>
      </c>
      <c r="O123" t="str">
        <f>VLOOKUP(D123,wnioski!$M$2:$AZ$816,15,0)</f>
        <v>08:55</v>
      </c>
      <c r="P123" t="str">
        <f>VLOOKUP(D123,wnioski!$M$2:$AZ$816,14,0)</f>
        <v>Legnica</v>
      </c>
      <c r="Q123" t="str">
        <f>VLOOKUP(D123,wnioski!$M$2:$AZ$816,16,0)</f>
        <v>Żary</v>
      </c>
      <c r="R123" t="str">
        <f>VLOOKUP(D123,wnioski!$M$2:$AZ$816,17,0)</f>
        <v>10:29</v>
      </c>
    </row>
    <row r="124" spans="1:18" x14ac:dyDescent="0.25">
      <c r="A124" s="1">
        <v>123</v>
      </c>
      <c r="B124">
        <v>6</v>
      </c>
      <c r="D124">
        <v>76312</v>
      </c>
      <c r="E124" t="s">
        <v>9</v>
      </c>
      <c r="G124" s="1">
        <v>1</v>
      </c>
      <c r="H124" s="6">
        <f>COUNTIF(wnioski!$M$2:$M$816,pot!D124)</f>
        <v>1</v>
      </c>
      <c r="I124" t="str">
        <f>VLOOKUP(D124,wnioski!$M$2:$AZ$816,5,0)</f>
        <v>SA135</v>
      </c>
      <c r="J124" t="str">
        <f>VLOOKUP(D124,wnioski!$M$2:$AZ$816,4,0)</f>
        <v>ROM</v>
      </c>
      <c r="L124">
        <f t="shared" si="2"/>
        <v>76312</v>
      </c>
      <c r="M124" t="str">
        <f>IF(VLOOKUP(D124,wnioski!$M$2:$AZ$816,2,0)=0,"",VLOOKUP(D124,wnioski!$M$2:$AZ$816,2,0))</f>
        <v/>
      </c>
      <c r="N124" t="str">
        <f>IF(VLOOKUP(D124,wnioski!$M$2:$AZ$816,3,0)=0,"",VLOOKUP(D124,wnioski!$M$2:$AZ$816,3,0))</f>
        <v/>
      </c>
      <c r="O124" t="str">
        <f>VLOOKUP(D124,wnioski!$M$2:$AZ$816,15,0)</f>
        <v>11:05</v>
      </c>
      <c r="P124" t="str">
        <f>VLOOKUP(D124,wnioski!$M$2:$AZ$816,14,0)</f>
        <v>Żary</v>
      </c>
      <c r="Q124" t="str">
        <f>VLOOKUP(D124,wnioski!$M$2:$AZ$816,16,0)</f>
        <v>Legnica</v>
      </c>
      <c r="R124" t="str">
        <f>VLOOKUP(D124,wnioski!$M$2:$AZ$816,17,0)</f>
        <v>12:27</v>
      </c>
    </row>
    <row r="125" spans="1:18" x14ac:dyDescent="0.25">
      <c r="A125" s="1">
        <v>124</v>
      </c>
      <c r="B125">
        <v>6</v>
      </c>
      <c r="D125">
        <v>60435</v>
      </c>
      <c r="E125" t="s">
        <v>7</v>
      </c>
      <c r="G125" s="1">
        <v>1</v>
      </c>
      <c r="H125" s="6">
        <f>COUNTIF(wnioski!$M$2:$M$816,pot!D125)</f>
        <v>1</v>
      </c>
      <c r="I125" t="str">
        <f>VLOOKUP(D125,wnioski!$M$2:$AZ$816,5,0)</f>
        <v>SA135</v>
      </c>
      <c r="J125" t="str">
        <f>VLOOKUP(D125,wnioski!$M$2:$AZ$816,4,0)</f>
        <v>ROM</v>
      </c>
      <c r="L125">
        <f t="shared" si="2"/>
        <v>60435</v>
      </c>
      <c r="M125" t="str">
        <f>IF(VLOOKUP(D125,wnioski!$M$2:$AZ$816,2,0)=0,"",VLOOKUP(D125,wnioski!$M$2:$AZ$816,2,0))</f>
        <v/>
      </c>
      <c r="N125" t="str">
        <f>IF(VLOOKUP(D125,wnioski!$M$2:$AZ$816,3,0)=0,"",VLOOKUP(D125,wnioski!$M$2:$AZ$816,3,0))</f>
        <v/>
      </c>
      <c r="O125" t="str">
        <f>VLOOKUP(D125,wnioski!$M$2:$AZ$816,15,0)</f>
        <v>10:47</v>
      </c>
      <c r="P125" t="str">
        <f>VLOOKUP(D125,wnioski!$M$2:$AZ$816,14,0)</f>
        <v>Legnica</v>
      </c>
      <c r="Q125" t="str">
        <f>VLOOKUP(D125,wnioski!$M$2:$AZ$816,16,0)</f>
        <v>Chocianów</v>
      </c>
      <c r="R125" t="str">
        <f>VLOOKUP(D125,wnioski!$M$2:$AZ$816,17,0)</f>
        <v>11:26</v>
      </c>
    </row>
    <row r="126" spans="1:18" x14ac:dyDescent="0.25">
      <c r="A126" s="1">
        <v>125</v>
      </c>
      <c r="B126">
        <v>6</v>
      </c>
      <c r="D126">
        <v>60464</v>
      </c>
      <c r="E126" t="s">
        <v>7</v>
      </c>
      <c r="G126" s="1">
        <v>1</v>
      </c>
      <c r="H126" s="6">
        <f>COUNTIF(wnioski!$M$2:$M$816,pot!D126)</f>
        <v>1</v>
      </c>
      <c r="I126" t="str">
        <f>VLOOKUP(D126,wnioski!$M$2:$AZ$816,5,0)</f>
        <v>SA135</v>
      </c>
      <c r="J126" t="str">
        <f>VLOOKUP(D126,wnioski!$M$2:$AZ$816,4,0)</f>
        <v>ROM</v>
      </c>
      <c r="L126">
        <f t="shared" si="2"/>
        <v>60464</v>
      </c>
      <c r="M126" t="str">
        <f>IF(VLOOKUP(D126,wnioski!$M$2:$AZ$816,2,0)=0,"",VLOOKUP(D126,wnioski!$M$2:$AZ$816,2,0))</f>
        <v/>
      </c>
      <c r="N126" t="str">
        <f>IF(VLOOKUP(D126,wnioski!$M$2:$AZ$816,3,0)=0,"",VLOOKUP(D126,wnioski!$M$2:$AZ$816,3,0))</f>
        <v/>
      </c>
      <c r="O126" t="str">
        <f>VLOOKUP(D126,wnioski!$M$2:$AZ$816,15,0)</f>
        <v>11:40</v>
      </c>
      <c r="P126" t="str">
        <f>VLOOKUP(D126,wnioski!$M$2:$AZ$816,14,0)</f>
        <v>Chocianów</v>
      </c>
      <c r="Q126" t="str">
        <f>VLOOKUP(D126,wnioski!$M$2:$AZ$816,16,0)</f>
        <v>Legnica</v>
      </c>
      <c r="R126" t="str">
        <f>VLOOKUP(D126,wnioski!$M$2:$AZ$816,17,0)</f>
        <v>12:20</v>
      </c>
    </row>
    <row r="127" spans="1:18" x14ac:dyDescent="0.25">
      <c r="A127" s="1">
        <v>126</v>
      </c>
      <c r="B127">
        <v>6</v>
      </c>
      <c r="D127" t="s">
        <v>4612</v>
      </c>
      <c r="E127" t="s">
        <v>8</v>
      </c>
      <c r="G127" s="1">
        <v>1</v>
      </c>
      <c r="H127" s="6">
        <f>COUNTIF(wnioski!$M$2:$M$816,pot!D127)</f>
        <v>2</v>
      </c>
      <c r="I127" t="str">
        <f>VLOOKUP(D127,wnioski!$M$2:$AZ$816,5,0)</f>
        <v>SA135</v>
      </c>
      <c r="J127" t="str">
        <f>VLOOKUP(D127,wnioski!$M$2:$AZ$816,4,0)</f>
        <v>ROM</v>
      </c>
      <c r="L127" t="str">
        <f t="shared" si="2"/>
        <v>69838/9</v>
      </c>
      <c r="M127" t="str">
        <f>IF(VLOOKUP(D127,wnioski!$M$2:$AZ$816,2,0)=0,"",VLOOKUP(D127,wnioski!$M$2:$AZ$816,2,0))</f>
        <v/>
      </c>
      <c r="N127" t="str">
        <f>IF(VLOOKUP(D127,wnioski!$M$2:$AZ$816,3,0)=0,"",VLOOKUP(D127,wnioski!$M$2:$AZ$816,3,0))</f>
        <v/>
      </c>
      <c r="O127" t="str">
        <f>VLOOKUP(D127,wnioski!$M$2:$AZ$816,15,0)</f>
        <v>13:20</v>
      </c>
      <c r="P127" t="str">
        <f>VLOOKUP(D127,wnioski!$M$2:$AZ$816,14,0)</f>
        <v>Legnica</v>
      </c>
      <c r="Q127" t="str">
        <f>VLOOKUP(D127,wnioski!$M$2:$AZ$816,16,0)</f>
        <v>Kudowa-Zdrój</v>
      </c>
      <c r="R127" t="str">
        <f>VLOOKUP(D127,wnioski!$M$2:$AZ$816,17,0)</f>
        <v>17:18</v>
      </c>
    </row>
    <row r="128" spans="1:18" x14ac:dyDescent="0.25">
      <c r="A128" s="1">
        <v>127</v>
      </c>
      <c r="B128">
        <v>6</v>
      </c>
      <c r="D128" t="s">
        <v>4482</v>
      </c>
      <c r="E128" t="s">
        <v>8</v>
      </c>
      <c r="G128" s="1">
        <v>1</v>
      </c>
      <c r="H128" s="6">
        <f>COUNTIF(wnioski!$M$2:$M$816,pot!D128)</f>
        <v>2</v>
      </c>
      <c r="I128" t="str">
        <f>VLOOKUP(D128,wnioski!$M$2:$AZ$816,5,0)</f>
        <v>SA135</v>
      </c>
      <c r="J128" t="str">
        <f>VLOOKUP(D128,wnioski!$M$2:$AZ$816,4,0)</f>
        <v>ROM</v>
      </c>
      <c r="L128" t="str">
        <f t="shared" si="2"/>
        <v>69822/3</v>
      </c>
      <c r="M128" t="str">
        <f>IF(VLOOKUP(D128,wnioski!$M$2:$AZ$816,2,0)=0,"",VLOOKUP(D128,wnioski!$M$2:$AZ$816,2,0))</f>
        <v/>
      </c>
      <c r="N128" t="str">
        <f>IF(VLOOKUP(D128,wnioski!$M$2:$AZ$816,3,0)=0,"",VLOOKUP(D128,wnioski!$M$2:$AZ$816,3,0))</f>
        <v/>
      </c>
      <c r="O128" t="str">
        <f>VLOOKUP(D128,wnioski!$M$2:$AZ$816,15,0)</f>
        <v>17:58</v>
      </c>
      <c r="P128" t="str">
        <f>VLOOKUP(D128,wnioski!$M$2:$AZ$816,14,0)</f>
        <v>Kudowa-Zdrój</v>
      </c>
      <c r="Q128" t="str">
        <f>VLOOKUP(D128,wnioski!$M$2:$AZ$816,16,0)</f>
        <v>Legnica</v>
      </c>
      <c r="R128" t="str">
        <f>VLOOKUP(D128,wnioski!$M$2:$AZ$816,17,0)</f>
        <v>21:56</v>
      </c>
    </row>
    <row r="129" spans="1:18" x14ac:dyDescent="0.25">
      <c r="A129" s="1">
        <v>128</v>
      </c>
      <c r="B129">
        <v>6</v>
      </c>
      <c r="D129">
        <v>66822</v>
      </c>
      <c r="E129" t="s">
        <v>9</v>
      </c>
      <c r="G129" s="1">
        <v>2</v>
      </c>
      <c r="H129" s="6">
        <f>COUNTIF(wnioski!$M$2:$M$816,pot!D129)</f>
        <v>2</v>
      </c>
      <c r="I129" t="str">
        <f>VLOOKUP(D129,wnioski!$M$2:$AZ$816,5,0)</f>
        <v>SA135</v>
      </c>
      <c r="J129" t="str">
        <f>VLOOKUP(D129,wnioski!$M$2:$AZ$816,4,0)</f>
        <v>ROM</v>
      </c>
      <c r="L129">
        <f t="shared" ref="L129:L174" si="3">D129</f>
        <v>66822</v>
      </c>
      <c r="M129" t="str">
        <f>IF(VLOOKUP(D129,wnioski!$M$2:$AZ$816,2,0)=0,"",VLOOKUP(D129,wnioski!$M$2:$AZ$816,2,0))</f>
        <v/>
      </c>
      <c r="N129" t="str">
        <f>IF(VLOOKUP(D129,wnioski!$M$2:$AZ$816,3,0)=0,"",VLOOKUP(D129,wnioski!$M$2:$AZ$816,3,0))</f>
        <v/>
      </c>
      <c r="O129" t="str">
        <f>VLOOKUP(D129,wnioski!$M$2:$AZ$816,15,0)</f>
        <v>05:02</v>
      </c>
      <c r="P129" t="str">
        <f>VLOOKUP(D129,wnioski!$M$2:$AZ$816,14,0)</f>
        <v>Legnica</v>
      </c>
      <c r="Q129" t="str">
        <f>VLOOKUP(D129,wnioski!$M$2:$AZ$816,16,0)</f>
        <v>Jawor</v>
      </c>
      <c r="R129" t="str">
        <f>VLOOKUP(D129,wnioski!$M$2:$AZ$816,17,0)</f>
        <v>05:31</v>
      </c>
    </row>
    <row r="130" spans="1:18" x14ac:dyDescent="0.25">
      <c r="A130" s="1">
        <v>129</v>
      </c>
      <c r="B130">
        <v>6</v>
      </c>
      <c r="D130">
        <v>67321</v>
      </c>
      <c r="E130" t="s">
        <v>9</v>
      </c>
      <c r="G130" s="1">
        <v>2</v>
      </c>
      <c r="H130" s="6">
        <f>COUNTIF(wnioski!$M$2:$M$816,pot!D130)</f>
        <v>2</v>
      </c>
      <c r="I130" t="str">
        <f>VLOOKUP(D130,wnioski!$M$2:$AZ$816,5,0)</f>
        <v>SA135</v>
      </c>
      <c r="J130" t="str">
        <f>VLOOKUP(D130,wnioski!$M$2:$AZ$816,4,0)</f>
        <v>ROM</v>
      </c>
      <c r="L130">
        <f t="shared" si="3"/>
        <v>67321</v>
      </c>
      <c r="M130" t="str">
        <f>IF(VLOOKUP(D130,wnioski!$M$2:$AZ$816,2,0)=0,"",VLOOKUP(D130,wnioski!$M$2:$AZ$816,2,0))</f>
        <v/>
      </c>
      <c r="N130" t="str">
        <f>IF(VLOOKUP(D130,wnioski!$M$2:$AZ$816,3,0)=0,"",VLOOKUP(D130,wnioski!$M$2:$AZ$816,3,0))</f>
        <v/>
      </c>
      <c r="O130" t="str">
        <f>VLOOKUP(D130,wnioski!$M$2:$AZ$816,15,0)</f>
        <v>05:38</v>
      </c>
      <c r="P130" t="str">
        <f>VLOOKUP(D130,wnioski!$M$2:$AZ$816,14,0)</f>
        <v>Jawor</v>
      </c>
      <c r="Q130" t="str">
        <f>VLOOKUP(D130,wnioski!$M$2:$AZ$816,16,0)</f>
        <v>Żary</v>
      </c>
      <c r="R130" t="str">
        <f>VLOOKUP(D130,wnioski!$M$2:$AZ$816,17,0)</f>
        <v>07:34</v>
      </c>
    </row>
    <row r="131" spans="1:18" x14ac:dyDescent="0.25">
      <c r="A131" s="1">
        <v>130</v>
      </c>
      <c r="B131">
        <v>6</v>
      </c>
      <c r="D131">
        <v>76310</v>
      </c>
      <c r="E131" t="s">
        <v>9</v>
      </c>
      <c r="G131" s="1">
        <v>2</v>
      </c>
      <c r="H131" s="6">
        <f>COUNTIF(wnioski!$M$2:$M$816,pot!D131)</f>
        <v>1</v>
      </c>
      <c r="I131" t="str">
        <f>VLOOKUP(D131,wnioski!$M$2:$AZ$816,5,0)</f>
        <v>SA135</v>
      </c>
      <c r="J131" t="str">
        <f>VLOOKUP(D131,wnioski!$M$2:$AZ$816,4,0)</f>
        <v>ROM</v>
      </c>
      <c r="L131">
        <f t="shared" si="3"/>
        <v>76310</v>
      </c>
      <c r="M131" t="str">
        <f>IF(VLOOKUP(D131,wnioski!$M$2:$AZ$816,2,0)=0,"",VLOOKUP(D131,wnioski!$M$2:$AZ$816,2,0))</f>
        <v/>
      </c>
      <c r="N131" t="str">
        <f>IF(VLOOKUP(D131,wnioski!$M$2:$AZ$816,3,0)=0,"",VLOOKUP(D131,wnioski!$M$2:$AZ$816,3,0))</f>
        <v/>
      </c>
      <c r="O131" t="str">
        <f>VLOOKUP(D131,wnioski!$M$2:$AZ$816,15,0)</f>
        <v>07:43</v>
      </c>
      <c r="P131" t="str">
        <f>VLOOKUP(D131,wnioski!$M$2:$AZ$816,14,0)</f>
        <v>Żary</v>
      </c>
      <c r="Q131" t="str">
        <f>VLOOKUP(D131,wnioski!$M$2:$AZ$816,16,0)</f>
        <v>Legnica</v>
      </c>
      <c r="R131" t="str">
        <f>VLOOKUP(D131,wnioski!$M$2:$AZ$816,17,0)</f>
        <v>09:03</v>
      </c>
    </row>
    <row r="132" spans="1:18" x14ac:dyDescent="0.25">
      <c r="A132" s="1">
        <v>131</v>
      </c>
      <c r="B132">
        <v>6</v>
      </c>
      <c r="D132">
        <v>60431</v>
      </c>
      <c r="E132" t="s">
        <v>7</v>
      </c>
      <c r="G132" s="1">
        <v>2</v>
      </c>
      <c r="H132" s="6">
        <f>COUNTIF(wnioski!$M$2:$M$816,pot!D132)</f>
        <v>1</v>
      </c>
      <c r="I132" t="str">
        <f>VLOOKUP(D132,wnioski!$M$2:$AZ$816,5,0)</f>
        <v>SA135</v>
      </c>
      <c r="J132" t="str">
        <f>VLOOKUP(D132,wnioski!$M$2:$AZ$816,4,0)</f>
        <v>ROM</v>
      </c>
      <c r="L132">
        <f t="shared" si="3"/>
        <v>60431</v>
      </c>
      <c r="M132" t="str">
        <f>IF(VLOOKUP(D132,wnioski!$M$2:$AZ$816,2,0)=0,"",VLOOKUP(D132,wnioski!$M$2:$AZ$816,2,0))</f>
        <v/>
      </c>
      <c r="N132" t="str">
        <f>IF(VLOOKUP(D132,wnioski!$M$2:$AZ$816,3,0)=0,"",VLOOKUP(D132,wnioski!$M$2:$AZ$816,3,0))</f>
        <v/>
      </c>
      <c r="O132" t="str">
        <f>VLOOKUP(D132,wnioski!$M$2:$AZ$816,15,0)</f>
        <v>05:35</v>
      </c>
      <c r="P132" t="str">
        <f>VLOOKUP(D132,wnioski!$M$2:$AZ$816,14,0)</f>
        <v>Legnica</v>
      </c>
      <c r="Q132" t="str">
        <f>VLOOKUP(D132,wnioski!$M$2:$AZ$816,16,0)</f>
        <v>Chocianów</v>
      </c>
      <c r="R132" t="str">
        <f>VLOOKUP(D132,wnioski!$M$2:$AZ$816,17,0)</f>
        <v>06:14</v>
      </c>
    </row>
    <row r="133" spans="1:18" x14ac:dyDescent="0.25">
      <c r="A133" s="1">
        <v>132</v>
      </c>
      <c r="B133">
        <v>6</v>
      </c>
      <c r="D133">
        <v>60460</v>
      </c>
      <c r="E133" t="s">
        <v>7</v>
      </c>
      <c r="G133" s="1">
        <v>2</v>
      </c>
      <c r="H133" s="6">
        <f>COUNTIF(wnioski!$M$2:$M$816,pot!D133)</f>
        <v>1</v>
      </c>
      <c r="I133" t="str">
        <f>VLOOKUP(D133,wnioski!$M$2:$AZ$816,5,0)</f>
        <v>SA135</v>
      </c>
      <c r="J133" t="str">
        <f>VLOOKUP(D133,wnioski!$M$2:$AZ$816,4,0)</f>
        <v>ROM</v>
      </c>
      <c r="L133">
        <f t="shared" si="3"/>
        <v>60460</v>
      </c>
      <c r="M133" t="str">
        <f>IF(VLOOKUP(D133,wnioski!$M$2:$AZ$816,2,0)=0,"",VLOOKUP(D133,wnioski!$M$2:$AZ$816,2,0))</f>
        <v/>
      </c>
      <c r="N133" t="str">
        <f>IF(VLOOKUP(D133,wnioski!$M$2:$AZ$816,3,0)=0,"",VLOOKUP(D133,wnioski!$M$2:$AZ$816,3,0))</f>
        <v/>
      </c>
      <c r="O133" t="str">
        <f>VLOOKUP(D133,wnioski!$M$2:$AZ$816,15,0)</f>
        <v>06:40</v>
      </c>
      <c r="P133" t="str">
        <f>VLOOKUP(D133,wnioski!$M$2:$AZ$816,14,0)</f>
        <v>Chocianów</v>
      </c>
      <c r="Q133" t="str">
        <f>VLOOKUP(D133,wnioski!$M$2:$AZ$816,16,0)</f>
        <v>Legnica</v>
      </c>
      <c r="R133" t="str">
        <f>VLOOKUP(D133,wnioski!$M$2:$AZ$816,17,0)</f>
        <v>07:20</v>
      </c>
    </row>
    <row r="134" spans="1:18" x14ac:dyDescent="0.25">
      <c r="A134" s="1">
        <v>133</v>
      </c>
      <c r="B134">
        <v>6</v>
      </c>
      <c r="D134">
        <v>60433</v>
      </c>
      <c r="E134" t="s">
        <v>7</v>
      </c>
      <c r="G134" s="1">
        <v>2</v>
      </c>
      <c r="H134" s="6">
        <f>COUNTIF(wnioski!$M$2:$M$816,pot!D134)</f>
        <v>1</v>
      </c>
      <c r="I134" t="str">
        <f>VLOOKUP(D134,wnioski!$M$2:$AZ$816,5,0)</f>
        <v>SA135</v>
      </c>
      <c r="J134" t="str">
        <f>VLOOKUP(D134,wnioski!$M$2:$AZ$816,4,0)</f>
        <v>ROM</v>
      </c>
      <c r="L134">
        <f t="shared" si="3"/>
        <v>60433</v>
      </c>
      <c r="M134" t="str">
        <f>IF(VLOOKUP(D134,wnioski!$M$2:$AZ$816,2,0)=0,"",VLOOKUP(D134,wnioski!$M$2:$AZ$816,2,0))</f>
        <v/>
      </c>
      <c r="N134" t="str">
        <f>IF(VLOOKUP(D134,wnioski!$M$2:$AZ$816,3,0)=0,"",VLOOKUP(D134,wnioski!$M$2:$AZ$816,3,0))</f>
        <v/>
      </c>
      <c r="O134" t="str">
        <f>VLOOKUP(D134,wnioski!$M$2:$AZ$816,15,0)</f>
        <v>07:47</v>
      </c>
      <c r="P134" t="str">
        <f>VLOOKUP(D134,wnioski!$M$2:$AZ$816,14,0)</f>
        <v>Legnica</v>
      </c>
      <c r="Q134" t="str">
        <f>VLOOKUP(D134,wnioski!$M$2:$AZ$816,16,0)</f>
        <v>Chocianów</v>
      </c>
      <c r="R134" t="str">
        <f>VLOOKUP(D134,wnioski!$M$2:$AZ$816,17,0)</f>
        <v>08:26</v>
      </c>
    </row>
    <row r="135" spans="1:18" x14ac:dyDescent="0.25">
      <c r="A135" s="1">
        <v>134</v>
      </c>
      <c r="B135">
        <v>6</v>
      </c>
      <c r="D135">
        <v>60462</v>
      </c>
      <c r="E135" t="s">
        <v>7</v>
      </c>
      <c r="G135" s="1">
        <v>2</v>
      </c>
      <c r="H135" s="6">
        <f>COUNTIF(wnioski!$M$2:$M$816,pot!D135)</f>
        <v>1</v>
      </c>
      <c r="I135" t="str">
        <f>VLOOKUP(D135,wnioski!$M$2:$AZ$816,5,0)</f>
        <v>SA135</v>
      </c>
      <c r="J135" t="str">
        <f>VLOOKUP(D135,wnioski!$M$2:$AZ$816,4,0)</f>
        <v>ROM</v>
      </c>
      <c r="L135">
        <f t="shared" si="3"/>
        <v>60462</v>
      </c>
      <c r="M135" t="str">
        <f>IF(VLOOKUP(D135,wnioski!$M$2:$AZ$816,2,0)=0,"",VLOOKUP(D135,wnioski!$M$2:$AZ$816,2,0))</f>
        <v/>
      </c>
      <c r="N135" t="str">
        <f>IF(VLOOKUP(D135,wnioski!$M$2:$AZ$816,3,0)=0,"",VLOOKUP(D135,wnioski!$M$2:$AZ$816,3,0))</f>
        <v/>
      </c>
      <c r="O135" t="str">
        <f>VLOOKUP(D135,wnioski!$M$2:$AZ$816,15,0)</f>
        <v>08:42</v>
      </c>
      <c r="P135" t="str">
        <f>VLOOKUP(D135,wnioski!$M$2:$AZ$816,14,0)</f>
        <v>Chocianów</v>
      </c>
      <c r="Q135" t="str">
        <f>VLOOKUP(D135,wnioski!$M$2:$AZ$816,16,0)</f>
        <v>Legnica</v>
      </c>
      <c r="R135" t="str">
        <f>VLOOKUP(D135,wnioski!$M$2:$AZ$816,17,0)</f>
        <v>09:22</v>
      </c>
    </row>
    <row r="136" spans="1:18" x14ac:dyDescent="0.25">
      <c r="A136" s="1">
        <v>135</v>
      </c>
      <c r="B136">
        <v>6</v>
      </c>
      <c r="D136" t="s">
        <v>4625</v>
      </c>
      <c r="E136" t="s">
        <v>8</v>
      </c>
      <c r="G136" s="1">
        <v>2</v>
      </c>
      <c r="H136" s="6">
        <f>COUNTIF(wnioski!$M$2:$M$816,pot!D136)</f>
        <v>2</v>
      </c>
      <c r="I136" t="str">
        <f>VLOOKUP(D136,wnioski!$M$2:$AZ$816,5,0)</f>
        <v>SA135</v>
      </c>
      <c r="J136" t="str">
        <f>VLOOKUP(D136,wnioski!$M$2:$AZ$816,4,0)</f>
        <v>ROM</v>
      </c>
      <c r="L136" t="str">
        <f t="shared" si="3"/>
        <v>69836/7</v>
      </c>
      <c r="M136" t="str">
        <f>IF(VLOOKUP(D136,wnioski!$M$2:$AZ$816,2,0)=0,"",VLOOKUP(D136,wnioski!$M$2:$AZ$816,2,0))</f>
        <v/>
      </c>
      <c r="N136" t="str">
        <f>IF(VLOOKUP(D136,wnioski!$M$2:$AZ$816,3,0)=0,"",VLOOKUP(D136,wnioski!$M$2:$AZ$816,3,0))</f>
        <v/>
      </c>
      <c r="O136" t="str">
        <f>VLOOKUP(D136,wnioski!$M$2:$AZ$816,15,0)</f>
        <v>10:21</v>
      </c>
      <c r="P136" t="str">
        <f>VLOOKUP(D136,wnioski!$M$2:$AZ$816,14,0)</f>
        <v>Legnica</v>
      </c>
      <c r="Q136" t="str">
        <f>VLOOKUP(D136,wnioski!$M$2:$AZ$816,16,0)</f>
        <v>Kłodzko Miasto</v>
      </c>
      <c r="R136" t="str">
        <f>VLOOKUP(D136,wnioski!$M$2:$AZ$816,17,0)</f>
        <v>13:25</v>
      </c>
    </row>
    <row r="137" spans="1:18" x14ac:dyDescent="0.25">
      <c r="A137" s="1">
        <v>136</v>
      </c>
      <c r="B137">
        <v>6</v>
      </c>
      <c r="D137" t="s">
        <v>1204</v>
      </c>
      <c r="E137" t="s">
        <v>8</v>
      </c>
      <c r="G137" s="1">
        <v>2</v>
      </c>
      <c r="H137" s="6">
        <f>COUNTIF(wnioski!$M$2:$M$816,pot!D137)</f>
        <v>4</v>
      </c>
      <c r="I137" t="str">
        <f>VLOOKUP(D137,wnioski!$M$2:$AZ$816,5,0)</f>
        <v>SA135</v>
      </c>
      <c r="J137" t="str">
        <f>VLOOKUP(D137,wnioski!$M$2:$AZ$816,4,0)</f>
        <v>ROM</v>
      </c>
      <c r="L137" t="str">
        <f t="shared" si="3"/>
        <v>69426/7</v>
      </c>
      <c r="M137" t="str">
        <f>IF(VLOOKUP(D137,wnioski!$M$2:$AZ$816,2,0)=0,"",VLOOKUP(D137,wnioski!$M$2:$AZ$816,2,0))</f>
        <v/>
      </c>
      <c r="N137" t="str">
        <f>IF(VLOOKUP(D137,wnioski!$M$2:$AZ$816,3,0)=0,"",VLOOKUP(D137,wnioski!$M$2:$AZ$816,3,0))</f>
        <v/>
      </c>
      <c r="O137" t="str">
        <f>VLOOKUP(D137,wnioski!$M$2:$AZ$816,15,0)</f>
        <v>14:29</v>
      </c>
      <c r="P137" t="str">
        <f>VLOOKUP(D137,wnioski!$M$2:$AZ$816,14,0)</f>
        <v>Kłodzko Miasto</v>
      </c>
      <c r="Q137" t="str">
        <f>VLOOKUP(D137,wnioski!$M$2:$AZ$816,16,0)</f>
        <v>Wałbrzych Miasto</v>
      </c>
      <c r="R137" t="str">
        <f>VLOOKUP(D137,wnioski!$M$2:$AZ$816,17,0)</f>
        <v>16:07</v>
      </c>
    </row>
    <row r="138" spans="1:18" x14ac:dyDescent="0.25">
      <c r="A138" s="1">
        <v>137</v>
      </c>
      <c r="B138">
        <v>6</v>
      </c>
      <c r="D138" t="s">
        <v>6851</v>
      </c>
      <c r="E138" t="s">
        <v>8</v>
      </c>
      <c r="G138" s="1">
        <v>2</v>
      </c>
      <c r="H138" s="6">
        <f>COUNTIF(wnioski!$M$2:$M$816,pot!D138)</f>
        <v>4</v>
      </c>
      <c r="I138" t="str">
        <f>VLOOKUP(D138,wnioski!$M$2:$AZ$816,5,0)</f>
        <v>SA135</v>
      </c>
      <c r="J138" t="str">
        <f>VLOOKUP(D138,wnioski!$M$2:$AZ$816,4,0)</f>
        <v>ROM</v>
      </c>
      <c r="L138" t="str">
        <f t="shared" si="3"/>
        <v>69411/0</v>
      </c>
      <c r="M138" t="str">
        <f>IF(VLOOKUP(D138,wnioski!$M$2:$AZ$816,2,0)=0,"",VLOOKUP(D138,wnioski!$M$2:$AZ$816,2,0))</f>
        <v/>
      </c>
      <c r="N138" t="str">
        <f>IF(VLOOKUP(D138,wnioski!$M$2:$AZ$816,3,0)=0,"",VLOOKUP(D138,wnioski!$M$2:$AZ$816,3,0))</f>
        <v/>
      </c>
      <c r="O138" t="str">
        <f>VLOOKUP(D138,wnioski!$M$2:$AZ$816,15,0)</f>
        <v>16:22</v>
      </c>
      <c r="P138" t="str">
        <f>VLOOKUP(D138,wnioski!$M$2:$AZ$816,14,0)</f>
        <v>Wałbrzych Miasto</v>
      </c>
      <c r="Q138" t="str">
        <f>VLOOKUP(D138,wnioski!$M$2:$AZ$816,16,0)</f>
        <v>Kłodzko Miasto</v>
      </c>
      <c r="R138" t="str">
        <f>VLOOKUP(D138,wnioski!$M$2:$AZ$816,17,0)</f>
        <v>17:50</v>
      </c>
    </row>
    <row r="139" spans="1:18" x14ac:dyDescent="0.25">
      <c r="A139" s="1">
        <v>138</v>
      </c>
      <c r="B139">
        <v>6</v>
      </c>
      <c r="D139" t="s">
        <v>3301</v>
      </c>
      <c r="E139" t="s">
        <v>8</v>
      </c>
      <c r="G139" s="1">
        <v>2</v>
      </c>
      <c r="H139" s="6">
        <f>COUNTIF(wnioski!$M$2:$M$816,pot!D139)</f>
        <v>6</v>
      </c>
      <c r="I139" t="str">
        <f>VLOOKUP(D139,wnioski!$M$2:$AZ$816,5,0)</f>
        <v>SA135</v>
      </c>
      <c r="J139" t="str">
        <f>VLOOKUP(D139,wnioski!$M$2:$AZ$816,4,0)</f>
        <v>ROM</v>
      </c>
      <c r="L139" t="str">
        <f t="shared" si="3"/>
        <v>69430/1</v>
      </c>
      <c r="M139" t="str">
        <f>IF(VLOOKUP(D139,wnioski!$M$2:$AZ$816,2,0)=0,"",VLOOKUP(D139,wnioski!$M$2:$AZ$816,2,0))</f>
        <v/>
      </c>
      <c r="N139" t="str">
        <f>IF(VLOOKUP(D139,wnioski!$M$2:$AZ$816,3,0)=0,"",VLOOKUP(D139,wnioski!$M$2:$AZ$816,3,0))</f>
        <v/>
      </c>
      <c r="O139" t="str">
        <f>VLOOKUP(D139,wnioski!$M$2:$AZ$816,15,0)</f>
        <v>19:11</v>
      </c>
      <c r="P139" t="str">
        <f>VLOOKUP(D139,wnioski!$M$2:$AZ$816,14,0)</f>
        <v>Kłodzko Miasto</v>
      </c>
      <c r="Q139" t="str">
        <f>VLOOKUP(D139,wnioski!$M$2:$AZ$816,16,0)</f>
        <v>Jelenia Góra</v>
      </c>
      <c r="R139" t="str">
        <f>VLOOKUP(D139,wnioski!$M$2:$AZ$816,17,0)</f>
        <v>21:09</v>
      </c>
    </row>
    <row r="140" spans="1:18" x14ac:dyDescent="0.25">
      <c r="A140" s="1">
        <v>139</v>
      </c>
      <c r="B140">
        <v>6</v>
      </c>
      <c r="D140" t="s">
        <v>2923</v>
      </c>
      <c r="E140" t="s">
        <v>8</v>
      </c>
      <c r="G140" s="1">
        <v>3</v>
      </c>
      <c r="H140" s="6">
        <f>COUNTIF(wnioski!$M$2:$M$816,pot!D140)</f>
        <v>7</v>
      </c>
      <c r="I140" t="str">
        <f>VLOOKUP(D140,wnioski!$M$2:$AZ$816,5,0)</f>
        <v>SA135</v>
      </c>
      <c r="J140" t="str">
        <f>VLOOKUP(D140,wnioski!$M$2:$AZ$816,4,0)</f>
        <v>ROM</v>
      </c>
      <c r="L140" t="str">
        <f t="shared" si="3"/>
        <v>69402/3</v>
      </c>
      <c r="M140" t="str">
        <f>IF(VLOOKUP(D140,wnioski!$M$2:$AZ$816,2,0)=0,"",VLOOKUP(D140,wnioski!$M$2:$AZ$816,2,0))</f>
        <v/>
      </c>
      <c r="N140" t="str">
        <f>IF(VLOOKUP(D140,wnioski!$M$2:$AZ$816,3,0)=0,"",VLOOKUP(D140,wnioski!$M$2:$AZ$816,3,0))</f>
        <v/>
      </c>
      <c r="O140" t="str">
        <f>VLOOKUP(D140,wnioski!$M$2:$AZ$816,15,0)</f>
        <v>05:30</v>
      </c>
      <c r="P140" t="str">
        <f>VLOOKUP(D140,wnioski!$M$2:$AZ$816,14,0)</f>
        <v>Jelenia Góra</v>
      </c>
      <c r="Q140" t="str">
        <f>VLOOKUP(D140,wnioski!$M$2:$AZ$816,16,0)</f>
        <v>Kłodzko Miasto</v>
      </c>
      <c r="R140" t="str">
        <f>VLOOKUP(D140,wnioski!$M$2:$AZ$816,17,0)</f>
        <v>07:31</v>
      </c>
    </row>
    <row r="141" spans="1:18" x14ac:dyDescent="0.25">
      <c r="A141" s="1">
        <v>140</v>
      </c>
      <c r="B141">
        <v>6</v>
      </c>
      <c r="D141" t="s">
        <v>5457</v>
      </c>
      <c r="E141" t="s">
        <v>8</v>
      </c>
      <c r="G141" s="1">
        <v>3</v>
      </c>
      <c r="H141" s="6">
        <f>COUNTIF(wnioski!$M$2:$M$816,pot!D141)</f>
        <v>4</v>
      </c>
      <c r="I141" t="str">
        <f>VLOOKUP(D141,wnioski!$M$2:$AZ$816,5,0)</f>
        <v>SA135</v>
      </c>
      <c r="J141" t="str">
        <f>VLOOKUP(D141,wnioski!$M$2:$AZ$816,4,0)</f>
        <v>ROM</v>
      </c>
      <c r="L141" t="str">
        <f t="shared" si="3"/>
        <v>69424/5</v>
      </c>
      <c r="M141" t="str">
        <f>IF(VLOOKUP(D141,wnioski!$M$2:$AZ$816,2,0)=0,"",VLOOKUP(D141,wnioski!$M$2:$AZ$816,2,0))</f>
        <v/>
      </c>
      <c r="N141" t="str">
        <f>IF(VLOOKUP(D141,wnioski!$M$2:$AZ$816,3,0)=0,"",VLOOKUP(D141,wnioski!$M$2:$AZ$816,3,0))</f>
        <v/>
      </c>
      <c r="O141" t="str">
        <f>VLOOKUP(D141,wnioski!$M$2:$AZ$816,15,0)</f>
        <v>07:41</v>
      </c>
      <c r="P141" t="str">
        <f>VLOOKUP(D141,wnioski!$M$2:$AZ$816,14,0)</f>
        <v>Kłodzko Miasto</v>
      </c>
      <c r="Q141" t="str">
        <f>VLOOKUP(D141,wnioski!$M$2:$AZ$816,16,0)</f>
        <v>Wałbrzych Miasto</v>
      </c>
      <c r="R141" t="str">
        <f>VLOOKUP(D141,wnioski!$M$2:$AZ$816,17,0)</f>
        <v>09:07</v>
      </c>
    </row>
    <row r="142" spans="1:18" x14ac:dyDescent="0.25">
      <c r="A142" s="1">
        <v>141</v>
      </c>
      <c r="B142">
        <v>6</v>
      </c>
      <c r="D142">
        <v>666023</v>
      </c>
      <c r="E142" t="s">
        <v>8</v>
      </c>
      <c r="G142" s="1">
        <v>3</v>
      </c>
      <c r="H142" s="6">
        <f>COUNTIF(wnioski!$M$2:$M$816,pot!D142)</f>
        <v>4</v>
      </c>
      <c r="I142" t="str">
        <f>VLOOKUP(D142,wnioski!$M$2:$AZ$816,5,0)</f>
        <v>SA135</v>
      </c>
      <c r="J142" t="str">
        <f>VLOOKUP(D142,wnioski!$M$2:$AZ$816,4,0)</f>
        <v>PWM</v>
      </c>
      <c r="L142">
        <f t="shared" si="3"/>
        <v>666023</v>
      </c>
      <c r="M142" t="str">
        <f>IF(VLOOKUP(D142,wnioski!$M$2:$AZ$816,2,0)=0,"",VLOOKUP(D142,wnioski!$M$2:$AZ$816,2,0))</f>
        <v/>
      </c>
      <c r="N142" t="str">
        <f>IF(VLOOKUP(D142,wnioski!$M$2:$AZ$816,3,0)=0,"",VLOOKUP(D142,wnioski!$M$2:$AZ$816,3,0))</f>
        <v/>
      </c>
      <c r="O142" t="str">
        <f>VLOOKUP(D142,wnioski!$M$2:$AZ$816,15,0)</f>
        <v>09:12</v>
      </c>
      <c r="P142" t="str">
        <f>VLOOKUP(D142,wnioski!$M$2:$AZ$816,14,0)</f>
        <v>Wałbrzych Miasto</v>
      </c>
      <c r="Q142" t="str">
        <f>VLOOKUP(D142,wnioski!$M$2:$AZ$816,16,0)</f>
        <v>Wałbrzych Główny</v>
      </c>
      <c r="R142" t="str">
        <f>VLOOKUP(D142,wnioski!$M$2:$AZ$816,17,0)</f>
        <v>09:24</v>
      </c>
    </row>
    <row r="143" spans="1:18" x14ac:dyDescent="0.25">
      <c r="A143" s="1">
        <v>142</v>
      </c>
      <c r="B143">
        <v>6</v>
      </c>
      <c r="D143" t="s">
        <v>3440</v>
      </c>
      <c r="E143" t="s">
        <v>8</v>
      </c>
      <c r="G143" s="1">
        <v>3</v>
      </c>
      <c r="H143" s="6">
        <f>COUNTIF(wnioski!$M$2:$M$816,pot!D143)</f>
        <v>6</v>
      </c>
      <c r="I143" t="str">
        <f>VLOOKUP(D143,wnioski!$M$2:$AZ$816,5,0)</f>
        <v>SA135</v>
      </c>
      <c r="J143" t="str">
        <f>VLOOKUP(D143,wnioski!$M$2:$AZ$816,4,0)</f>
        <v>ROM</v>
      </c>
      <c r="L143" t="str">
        <f t="shared" si="3"/>
        <v>69408/9</v>
      </c>
      <c r="M143" t="str">
        <f>IF(VLOOKUP(D143,wnioski!$M$2:$AZ$816,2,0)=0,"",VLOOKUP(D143,wnioski!$M$2:$AZ$816,2,0))</f>
        <v/>
      </c>
      <c r="N143" t="str">
        <f>IF(VLOOKUP(D143,wnioski!$M$2:$AZ$816,3,0)=0,"",VLOOKUP(D143,wnioski!$M$2:$AZ$816,3,0))</f>
        <v/>
      </c>
      <c r="O143" t="str">
        <f>VLOOKUP(D143,wnioski!$M$2:$AZ$816,15,0)</f>
        <v>10:31</v>
      </c>
      <c r="P143" t="str">
        <f>VLOOKUP(D143,wnioski!$M$2:$AZ$816,14,0)</f>
        <v>Wałbrzych Główny</v>
      </c>
      <c r="Q143" t="str">
        <f>VLOOKUP(D143,wnioski!$M$2:$AZ$816,16,0)</f>
        <v>Duszniki-Zdrój</v>
      </c>
      <c r="R143" t="str">
        <f>VLOOKUP(D143,wnioski!$M$2:$AZ$816,17,0)</f>
        <v>12:47</v>
      </c>
    </row>
    <row r="144" spans="1:18" x14ac:dyDescent="0.25">
      <c r="A144" s="1">
        <v>143</v>
      </c>
      <c r="B144">
        <v>6</v>
      </c>
      <c r="D144">
        <v>69498</v>
      </c>
      <c r="E144" t="s">
        <v>8</v>
      </c>
      <c r="G144" s="1">
        <v>3</v>
      </c>
      <c r="H144" s="6">
        <f>COUNTIF(wnioski!$M$2:$M$816,pot!D144)</f>
        <v>1</v>
      </c>
      <c r="I144" t="str">
        <f>VLOOKUP(D144,wnioski!$M$2:$AZ$816,5,0)</f>
        <v>SA135</v>
      </c>
      <c r="J144" t="str">
        <f>VLOOKUP(D144,wnioski!$M$2:$AZ$816,4,0)</f>
        <v>ROM</v>
      </c>
      <c r="L144">
        <f t="shared" si="3"/>
        <v>69498</v>
      </c>
      <c r="M144" t="str">
        <f>IF(VLOOKUP(D144,wnioski!$M$2:$AZ$816,2,0)=0,"",VLOOKUP(D144,wnioski!$M$2:$AZ$816,2,0))</f>
        <v/>
      </c>
      <c r="N144" t="str">
        <f>IF(VLOOKUP(D144,wnioski!$M$2:$AZ$816,3,0)=0,"",VLOOKUP(D144,wnioski!$M$2:$AZ$816,3,0))</f>
        <v/>
      </c>
      <c r="O144" t="str">
        <f>VLOOKUP(D144,wnioski!$M$2:$AZ$816,15,0)</f>
        <v>13:40</v>
      </c>
      <c r="P144" t="str">
        <f>VLOOKUP(D144,wnioski!$M$2:$AZ$816,14,0)</f>
        <v>Duszniki-Zdrój</v>
      </c>
      <c r="Q144" t="str">
        <f>VLOOKUP(D144,wnioski!$M$2:$AZ$816,16,0)</f>
        <v>Kłodzko Miasto</v>
      </c>
      <c r="R144" t="str">
        <f>VLOOKUP(D144,wnioski!$M$2:$AZ$816,17,0)</f>
        <v>14:24</v>
      </c>
    </row>
    <row r="145" spans="1:18" x14ac:dyDescent="0.25">
      <c r="A145" s="1">
        <v>144</v>
      </c>
      <c r="B145">
        <v>6</v>
      </c>
      <c r="D145" t="s">
        <v>4509</v>
      </c>
      <c r="E145" t="s">
        <v>8</v>
      </c>
      <c r="G145" s="1">
        <v>3</v>
      </c>
      <c r="H145" s="6">
        <f>COUNTIF(wnioski!$M$2:$M$816,pot!D145)</f>
        <v>2</v>
      </c>
      <c r="I145" t="str">
        <f>VLOOKUP(D145,wnioski!$M$2:$AZ$816,5,0)</f>
        <v>SA135</v>
      </c>
      <c r="J145" t="str">
        <f>VLOOKUP(D145,wnioski!$M$2:$AZ$816,4,0)</f>
        <v>ROM</v>
      </c>
      <c r="L145" t="str">
        <f t="shared" si="3"/>
        <v>69818/9</v>
      </c>
      <c r="M145" t="str">
        <f>IF(VLOOKUP(D145,wnioski!$M$2:$AZ$816,2,0)=0,"",VLOOKUP(D145,wnioski!$M$2:$AZ$816,2,0))</f>
        <v/>
      </c>
      <c r="N145" t="str">
        <f>IF(VLOOKUP(D145,wnioski!$M$2:$AZ$816,3,0)=0,"",VLOOKUP(D145,wnioski!$M$2:$AZ$816,3,0))</f>
        <v/>
      </c>
      <c r="O145" t="str">
        <f>VLOOKUP(D145,wnioski!$M$2:$AZ$816,15,0)</f>
        <v>15:22</v>
      </c>
      <c r="P145" t="str">
        <f>VLOOKUP(D145,wnioski!$M$2:$AZ$816,14,0)</f>
        <v>Kłodzko Miasto</v>
      </c>
      <c r="Q145" t="str">
        <f>VLOOKUP(D145,wnioski!$M$2:$AZ$816,16,0)</f>
        <v>Legnica</v>
      </c>
      <c r="R145" t="str">
        <f>VLOOKUP(D145,wnioski!$M$2:$AZ$816,17,0)</f>
        <v>18:12</v>
      </c>
    </row>
    <row r="146" spans="1:18" x14ac:dyDescent="0.25">
      <c r="A146" s="1">
        <v>145</v>
      </c>
      <c r="B146">
        <v>6</v>
      </c>
      <c r="D146" t="s">
        <v>4591</v>
      </c>
      <c r="E146" t="s">
        <v>8</v>
      </c>
      <c r="G146" s="1">
        <v>3</v>
      </c>
      <c r="H146" s="6">
        <f>COUNTIF(wnioski!$M$2:$M$816,pot!D146)</f>
        <v>2</v>
      </c>
      <c r="I146" t="str">
        <f>VLOOKUP(D146,wnioski!$M$2:$AZ$816,5,0)</f>
        <v>SA135</v>
      </c>
      <c r="J146" t="str">
        <f>VLOOKUP(D146,wnioski!$M$2:$AZ$816,4,0)</f>
        <v>ROM</v>
      </c>
      <c r="L146" t="str">
        <f t="shared" si="3"/>
        <v>69846/7</v>
      </c>
      <c r="M146" t="str">
        <f>IF(VLOOKUP(D146,wnioski!$M$2:$AZ$816,2,0)=0,"",VLOOKUP(D146,wnioski!$M$2:$AZ$816,2,0))</f>
        <v/>
      </c>
      <c r="N146" t="str">
        <f>IF(VLOOKUP(D146,wnioski!$M$2:$AZ$816,3,0)=0,"",VLOOKUP(D146,wnioski!$M$2:$AZ$816,3,0))</f>
        <v/>
      </c>
      <c r="O146" t="str">
        <f>VLOOKUP(D146,wnioski!$M$2:$AZ$816,15,0)</f>
        <v>19:02</v>
      </c>
      <c r="P146" t="str">
        <f>VLOOKUP(D146,wnioski!$M$2:$AZ$816,14,0)</f>
        <v>Legnica</v>
      </c>
      <c r="Q146" t="str">
        <f>VLOOKUP(D146,wnioski!$M$2:$AZ$816,16,0)</f>
        <v>Kłodzko Miasto</v>
      </c>
      <c r="R146" t="str">
        <f>VLOOKUP(D146,wnioski!$M$2:$AZ$816,17,0)</f>
        <v>21:42</v>
      </c>
    </row>
    <row r="147" spans="1:18" x14ac:dyDescent="0.25">
      <c r="A147" s="1">
        <v>146</v>
      </c>
      <c r="B147">
        <v>6</v>
      </c>
      <c r="D147">
        <v>666010</v>
      </c>
      <c r="E147" t="s">
        <v>8</v>
      </c>
      <c r="G147" s="1">
        <v>3</v>
      </c>
      <c r="H147" s="6">
        <f>COUNTIF(wnioski!$M$2:$M$816,pot!D147)</f>
        <v>1</v>
      </c>
      <c r="I147" t="str">
        <f>VLOOKUP(D147,wnioski!$M$2:$AZ$816,5,0)</f>
        <v>SA135</v>
      </c>
      <c r="J147" t="str">
        <f>VLOOKUP(D147,wnioski!$M$2:$AZ$816,4,0)</f>
        <v>PWM</v>
      </c>
      <c r="L147">
        <f t="shared" si="3"/>
        <v>666010</v>
      </c>
      <c r="M147" t="str">
        <f>IF(VLOOKUP(D147,wnioski!$M$2:$AZ$816,2,0)=0,"",VLOOKUP(D147,wnioski!$M$2:$AZ$816,2,0))</f>
        <v/>
      </c>
      <c r="N147" t="str">
        <f>IF(VLOOKUP(D147,wnioski!$M$2:$AZ$816,3,0)=0,"",VLOOKUP(D147,wnioski!$M$2:$AZ$816,3,0))</f>
        <v/>
      </c>
      <c r="O147" t="str">
        <f>VLOOKUP(D147,wnioski!$M$2:$AZ$816,15,0)</f>
        <v>21:48</v>
      </c>
      <c r="P147" t="str">
        <f>VLOOKUP(D147,wnioski!$M$2:$AZ$816,14,0)</f>
        <v>Kłodzko Miasto</v>
      </c>
      <c r="Q147" t="str">
        <f>VLOOKUP(D147,wnioski!$M$2:$AZ$816,16,0)</f>
        <v>Kłodzko Główne</v>
      </c>
      <c r="R147" t="str">
        <f>VLOOKUP(D147,wnioski!$M$2:$AZ$816,17,0)</f>
        <v>21:51</v>
      </c>
    </row>
    <row r="148" spans="1:18" x14ac:dyDescent="0.25">
      <c r="A148" s="1">
        <v>147</v>
      </c>
      <c r="B148">
        <v>6</v>
      </c>
      <c r="D148">
        <v>666013</v>
      </c>
      <c r="E148" t="s">
        <v>8</v>
      </c>
      <c r="G148" s="1">
        <v>4</v>
      </c>
      <c r="H148" s="6">
        <f>COUNTIF(wnioski!$M$2:$M$816,pot!D148)</f>
        <v>1</v>
      </c>
      <c r="I148" t="str">
        <f>VLOOKUP(D148,wnioski!$M$2:$AZ$816,5,0)</f>
        <v>SA135</v>
      </c>
      <c r="J148" t="str">
        <f>VLOOKUP(D148,wnioski!$M$2:$AZ$816,4,0)</f>
        <v>PWM</v>
      </c>
      <c r="L148">
        <f t="shared" si="3"/>
        <v>666013</v>
      </c>
      <c r="M148" t="str">
        <f>IF(VLOOKUP(D148,wnioski!$M$2:$AZ$816,2,0)=0,"",VLOOKUP(D148,wnioski!$M$2:$AZ$816,2,0))</f>
        <v/>
      </c>
      <c r="N148" t="str">
        <f>IF(VLOOKUP(D148,wnioski!$M$2:$AZ$816,3,0)=0,"",VLOOKUP(D148,wnioski!$M$2:$AZ$816,3,0))</f>
        <v/>
      </c>
      <c r="O148" t="str">
        <f>VLOOKUP(D148,wnioski!$M$2:$AZ$816,15,0)</f>
        <v>05:31</v>
      </c>
      <c r="P148" t="str">
        <f>VLOOKUP(D148,wnioski!$M$2:$AZ$816,14,0)</f>
        <v>Kłodzko Główne</v>
      </c>
      <c r="Q148" t="str">
        <f>VLOOKUP(D148,wnioski!$M$2:$AZ$816,16,0)</f>
        <v>Kłodzko Miasto</v>
      </c>
      <c r="R148" t="str">
        <f>VLOOKUP(D148,wnioski!$M$2:$AZ$816,17,0)</f>
        <v>05:35</v>
      </c>
    </row>
    <row r="149" spans="1:18" x14ac:dyDescent="0.25">
      <c r="A149" s="1">
        <v>148</v>
      </c>
      <c r="B149">
        <v>6</v>
      </c>
      <c r="D149" t="s">
        <v>6797</v>
      </c>
      <c r="E149" t="s">
        <v>8</v>
      </c>
      <c r="G149" s="1">
        <v>4</v>
      </c>
      <c r="H149" s="6">
        <f>COUNTIF(wnioski!$M$2:$M$816,pot!D149)</f>
        <v>4</v>
      </c>
      <c r="I149" t="str">
        <f>VLOOKUP(D149,wnioski!$M$2:$AZ$816,5,0)</f>
        <v>SA135</v>
      </c>
      <c r="J149" t="str">
        <f>VLOOKUP(D149,wnioski!$M$2:$AZ$816,4,0)</f>
        <v>ROM</v>
      </c>
      <c r="L149" t="str">
        <f t="shared" si="3"/>
        <v>69420/1</v>
      </c>
      <c r="M149" t="str">
        <f>IF(VLOOKUP(D149,wnioski!$M$2:$AZ$816,2,0)=0,"",VLOOKUP(D149,wnioski!$M$2:$AZ$816,2,0))</f>
        <v/>
      </c>
      <c r="N149" t="str">
        <f>IF(VLOOKUP(D149,wnioski!$M$2:$AZ$816,3,0)=0,"",VLOOKUP(D149,wnioski!$M$2:$AZ$816,3,0))</f>
        <v/>
      </c>
      <c r="O149" t="str">
        <f>VLOOKUP(D149,wnioski!$M$2:$AZ$816,15,0)</f>
        <v>05:45</v>
      </c>
      <c r="P149" t="str">
        <f>VLOOKUP(D149,wnioski!$M$2:$AZ$816,14,0)</f>
        <v>Kłodzko Miasto</v>
      </c>
      <c r="Q149" t="str">
        <f>VLOOKUP(D149,wnioski!$M$2:$AZ$816,16,0)</f>
        <v>Wałbrzych Miasto</v>
      </c>
      <c r="R149" t="str">
        <f>VLOOKUP(D149,wnioski!$M$2:$AZ$816,17,0)</f>
        <v>07:15</v>
      </c>
    </row>
    <row r="150" spans="1:18" x14ac:dyDescent="0.25">
      <c r="A150" s="1">
        <v>149</v>
      </c>
      <c r="B150">
        <v>6</v>
      </c>
      <c r="D150" t="s">
        <v>6900</v>
      </c>
      <c r="E150" t="s">
        <v>9</v>
      </c>
      <c r="G150" s="1">
        <v>4</v>
      </c>
      <c r="H150" s="6">
        <f>COUNTIF(wnioski!$M$2:$M$816,pot!D150)</f>
        <v>3</v>
      </c>
      <c r="I150" t="str">
        <f>VLOOKUP(D150,wnioski!$M$2:$AZ$816,5,0)</f>
        <v>SA135</v>
      </c>
      <c r="J150" t="str">
        <f>VLOOKUP(D150,wnioski!$M$2:$AZ$816,4,0)</f>
        <v>ROM</v>
      </c>
      <c r="L150" t="str">
        <f t="shared" si="3"/>
        <v>69405/4</v>
      </c>
      <c r="M150" t="str">
        <f>IF(VLOOKUP(D150,wnioski!$M$2:$AZ$816,2,0)=0,"",VLOOKUP(D150,wnioski!$M$2:$AZ$816,2,0))</f>
        <v/>
      </c>
      <c r="N150" t="str">
        <f>IF(VLOOKUP(D150,wnioski!$M$2:$AZ$816,3,0)=0,"",VLOOKUP(D150,wnioski!$M$2:$AZ$816,3,0))</f>
        <v/>
      </c>
      <c r="O150" t="str">
        <f>VLOOKUP(D150,wnioski!$M$2:$AZ$816,15,0)</f>
        <v>08:46</v>
      </c>
      <c r="P150" t="str">
        <f>VLOOKUP(D150,wnioski!$M$2:$AZ$816,14,0)</f>
        <v>Wałbrzych Miasto</v>
      </c>
      <c r="Q150" t="str">
        <f>VLOOKUP(D150,wnioski!$M$2:$AZ$816,16,0)</f>
        <v>Kudowa-Zdrój</v>
      </c>
      <c r="R150" t="str">
        <f>VLOOKUP(D150,wnioski!$M$2:$AZ$816,17,0)</f>
        <v>11:23</v>
      </c>
    </row>
    <row r="151" spans="1:18" x14ac:dyDescent="0.25">
      <c r="A151" s="1">
        <v>150</v>
      </c>
      <c r="B151">
        <v>6</v>
      </c>
      <c r="D151" t="s">
        <v>3387</v>
      </c>
      <c r="E151" t="s">
        <v>9</v>
      </c>
      <c r="G151" s="1">
        <v>4</v>
      </c>
      <c r="H151" s="6">
        <f>COUNTIF(wnioski!$M$2:$M$816,pot!D151)</f>
        <v>4</v>
      </c>
      <c r="I151" t="str">
        <f>VLOOKUP(D151,wnioski!$M$2:$AZ$816,5,0)</f>
        <v>SA135</v>
      </c>
      <c r="J151" t="str">
        <f>VLOOKUP(D151,wnioski!$M$2:$AZ$816,4,0)</f>
        <v>ROM</v>
      </c>
      <c r="L151" t="str">
        <f t="shared" si="3"/>
        <v>69814/5</v>
      </c>
      <c r="M151" t="str">
        <f>IF(VLOOKUP(D151,wnioski!$M$2:$AZ$816,2,0)=0,"",VLOOKUP(D151,wnioski!$M$2:$AZ$816,2,0))</f>
        <v/>
      </c>
      <c r="N151" t="str">
        <f>IF(VLOOKUP(D151,wnioski!$M$2:$AZ$816,3,0)=0,"",VLOOKUP(D151,wnioski!$M$2:$AZ$816,3,0))</f>
        <v/>
      </c>
      <c r="O151" t="str">
        <f>VLOOKUP(D151,wnioski!$M$2:$AZ$816,15,0)</f>
        <v>11:39</v>
      </c>
      <c r="P151" t="str">
        <f>VLOOKUP(D151,wnioski!$M$2:$AZ$816,14,0)</f>
        <v>Kudowa-Zdrój</v>
      </c>
      <c r="Q151" t="str">
        <f>VLOOKUP(D151,wnioski!$M$2:$AZ$816,16,0)</f>
        <v>Legnica</v>
      </c>
      <c r="R151" t="str">
        <f>VLOOKUP(D151,wnioski!$M$2:$AZ$816,17,0)</f>
        <v>16:02</v>
      </c>
    </row>
    <row r="152" spans="1:18" x14ac:dyDescent="0.25">
      <c r="A152" s="1">
        <v>151</v>
      </c>
      <c r="B152">
        <v>6</v>
      </c>
      <c r="D152" t="s">
        <v>3409</v>
      </c>
      <c r="E152" t="s">
        <v>7</v>
      </c>
      <c r="G152" s="1">
        <v>4</v>
      </c>
      <c r="H152" s="6">
        <f>COUNTIF(wnioski!$M$2:$M$816,pot!D152)</f>
        <v>5</v>
      </c>
      <c r="I152" t="str">
        <f>VLOOKUP(D152,wnioski!$M$2:$AZ$816,5,0)</f>
        <v>SA135</v>
      </c>
      <c r="J152" t="str">
        <f>VLOOKUP(D152,wnioski!$M$2:$AZ$816,4,0)</f>
        <v>ROM</v>
      </c>
      <c r="L152" t="str">
        <f t="shared" si="3"/>
        <v>69407/6</v>
      </c>
      <c r="M152" t="str">
        <f>IF(VLOOKUP(D152,wnioski!$M$2:$AZ$816,2,0)=0,"",VLOOKUP(D152,wnioski!$M$2:$AZ$816,2,0))</f>
        <v/>
      </c>
      <c r="N152" t="str">
        <f>IF(VLOOKUP(D152,wnioski!$M$2:$AZ$816,3,0)=0,"",VLOOKUP(D152,wnioski!$M$2:$AZ$816,3,0))</f>
        <v/>
      </c>
      <c r="O152" t="str">
        <f>VLOOKUP(D152,wnioski!$M$2:$AZ$816,15,0)</f>
        <v>08:46</v>
      </c>
      <c r="P152" t="str">
        <f>VLOOKUP(D152,wnioski!$M$2:$AZ$816,14,0)</f>
        <v>Wałbrzych Miasto</v>
      </c>
      <c r="Q152" t="str">
        <f>VLOOKUP(D152,wnioski!$M$2:$AZ$816,16,0)</f>
        <v>Kłodzko Miasto</v>
      </c>
      <c r="R152" t="str">
        <f>VLOOKUP(D152,wnioski!$M$2:$AZ$816,17,0)</f>
        <v>10:14</v>
      </c>
    </row>
    <row r="153" spans="1:18" x14ac:dyDescent="0.25">
      <c r="A153" s="1">
        <v>152</v>
      </c>
      <c r="B153">
        <v>6</v>
      </c>
      <c r="D153" t="s">
        <v>4529</v>
      </c>
      <c r="E153" t="s">
        <v>7</v>
      </c>
      <c r="G153" s="1">
        <v>4</v>
      </c>
      <c r="H153" s="6">
        <f>COUNTIF(wnioski!$M$2:$M$816,pot!D153)</f>
        <v>2</v>
      </c>
      <c r="I153" t="str">
        <f>VLOOKUP(D153,wnioski!$M$2:$AZ$816,5,0)</f>
        <v>SA135</v>
      </c>
      <c r="J153" t="str">
        <f>VLOOKUP(D153,wnioski!$M$2:$AZ$816,4,0)</f>
        <v>ROM</v>
      </c>
      <c r="L153" t="str">
        <f t="shared" si="3"/>
        <v>69810/1</v>
      </c>
      <c r="M153" t="str">
        <f>IF(VLOOKUP(D153,wnioski!$M$2:$AZ$816,2,0)=0,"",VLOOKUP(D153,wnioski!$M$2:$AZ$816,2,0))</f>
        <v/>
      </c>
      <c r="N153" t="str">
        <f>IF(VLOOKUP(D153,wnioski!$M$2:$AZ$816,3,0)=0,"",VLOOKUP(D153,wnioski!$M$2:$AZ$816,3,0))</f>
        <v/>
      </c>
      <c r="O153" t="str">
        <f>VLOOKUP(D153,wnioski!$M$2:$AZ$816,15,0)</f>
        <v>11:09</v>
      </c>
      <c r="P153" t="str">
        <f>VLOOKUP(D153,wnioski!$M$2:$AZ$816,14,0)</f>
        <v>Kłodzko Miasto</v>
      </c>
      <c r="Q153" t="str">
        <f>VLOOKUP(D153,wnioski!$M$2:$AZ$816,16,0)</f>
        <v>Legnica</v>
      </c>
      <c r="R153" t="str">
        <f>VLOOKUP(D153,wnioski!$M$2:$AZ$816,17,0)</f>
        <v>13:58</v>
      </c>
    </row>
    <row r="154" spans="1:18" x14ac:dyDescent="0.25">
      <c r="A154" s="1">
        <v>153</v>
      </c>
      <c r="B154">
        <v>6</v>
      </c>
      <c r="D154">
        <v>69842</v>
      </c>
      <c r="E154" t="s">
        <v>8</v>
      </c>
      <c r="G154" s="1">
        <v>4</v>
      </c>
      <c r="H154" s="6">
        <f>COUNTIF(wnioski!$M$2:$M$816,pot!D154)</f>
        <v>2</v>
      </c>
      <c r="I154" t="str">
        <f>VLOOKUP(D154,wnioski!$M$2:$AZ$816,5,0)</f>
        <v>SA135</v>
      </c>
      <c r="J154" t="str">
        <f>VLOOKUP(D154,wnioski!$M$2:$AZ$816,4,0)</f>
        <v>ROM</v>
      </c>
      <c r="L154">
        <f t="shared" si="3"/>
        <v>69842</v>
      </c>
      <c r="M154" t="str">
        <f>IF(VLOOKUP(D154,wnioski!$M$2:$AZ$816,2,0)=0,"",VLOOKUP(D154,wnioski!$M$2:$AZ$816,2,0))</f>
        <v/>
      </c>
      <c r="N154" t="str">
        <f>IF(VLOOKUP(D154,wnioski!$M$2:$AZ$816,3,0)=0,"",VLOOKUP(D154,wnioski!$M$2:$AZ$816,3,0))</f>
        <v/>
      </c>
      <c r="O154" t="str">
        <f>VLOOKUP(D154,wnioski!$M$2:$AZ$816,15,0)</f>
        <v>16:16</v>
      </c>
      <c r="P154" t="str">
        <f>VLOOKUP(D154,wnioski!$M$2:$AZ$816,14,0)</f>
        <v>Legnica</v>
      </c>
      <c r="Q154" t="str">
        <f>VLOOKUP(D154,wnioski!$M$2:$AZ$816,16,0)</f>
        <v>Bielawa Zachodnia</v>
      </c>
      <c r="R154" t="str">
        <f>VLOOKUP(D154,wnioski!$M$2:$AZ$816,17,0)</f>
        <v>18:19</v>
      </c>
    </row>
    <row r="155" spans="1:18" x14ac:dyDescent="0.25">
      <c r="A155" s="1">
        <v>154</v>
      </c>
      <c r="B155">
        <v>6</v>
      </c>
      <c r="D155" t="s">
        <v>7997</v>
      </c>
      <c r="E155" t="s">
        <v>8</v>
      </c>
      <c r="G155" s="1">
        <v>4</v>
      </c>
      <c r="H155" s="6">
        <f>COUNTIF(wnioski!$M$2:$M$816,pot!D155)</f>
        <v>1</v>
      </c>
      <c r="I155" t="str">
        <f>VLOOKUP(D155,wnioski!$M$2:$AZ$816,5,0)</f>
        <v>SA135</v>
      </c>
      <c r="J155" t="str">
        <f>VLOOKUP(D155,wnioski!$M$2:$AZ$816,4,0)</f>
        <v>ROM</v>
      </c>
      <c r="L155" t="str">
        <f t="shared" si="3"/>
        <v>69845/4</v>
      </c>
      <c r="M155" t="str">
        <f>IF(VLOOKUP(D155,wnioski!$M$2:$AZ$816,2,0)=0,"",VLOOKUP(D155,wnioski!$M$2:$AZ$816,2,0))</f>
        <v/>
      </c>
      <c r="N155" t="str">
        <f>IF(VLOOKUP(D155,wnioski!$M$2:$AZ$816,3,0)=0,"",VLOOKUP(D155,wnioski!$M$2:$AZ$816,3,0))</f>
        <v/>
      </c>
      <c r="O155" t="str">
        <f>VLOOKUP(D155,wnioski!$M$2:$AZ$816,15,0)</f>
        <v>18:37</v>
      </c>
      <c r="P155" t="str">
        <f>VLOOKUP(D155,wnioski!$M$2:$AZ$816,14,0)</f>
        <v>Bielawa Zachodnia</v>
      </c>
      <c r="Q155" t="str">
        <f>VLOOKUP(D155,wnioski!$M$2:$AZ$816,16,0)</f>
        <v>Kamieniec Ząbkowicki</v>
      </c>
      <c r="R155" t="str">
        <f>VLOOKUP(D155,wnioski!$M$2:$AZ$816,17,0)</f>
        <v>19:30</v>
      </c>
    </row>
    <row r="156" spans="1:18" x14ac:dyDescent="0.25">
      <c r="A156" s="1">
        <v>155</v>
      </c>
      <c r="B156">
        <v>6</v>
      </c>
      <c r="D156">
        <v>66249</v>
      </c>
      <c r="E156" t="s">
        <v>8</v>
      </c>
      <c r="G156" s="1">
        <v>4</v>
      </c>
      <c r="H156" s="6">
        <f>COUNTIF(wnioski!$M$2:$M$816,pot!D156)</f>
        <v>1</v>
      </c>
      <c r="I156" t="str">
        <f>VLOOKUP(D156,wnioski!$M$2:$AZ$816,5,0)</f>
        <v>SA135</v>
      </c>
      <c r="J156" t="str">
        <f>VLOOKUP(D156,wnioski!$M$2:$AZ$816,4,0)</f>
        <v>ROM</v>
      </c>
      <c r="L156">
        <f t="shared" si="3"/>
        <v>66249</v>
      </c>
      <c r="M156" t="str">
        <f>IF(VLOOKUP(D156,wnioski!$M$2:$AZ$816,2,0)=0,"",VLOOKUP(D156,wnioski!$M$2:$AZ$816,2,0))</f>
        <v/>
      </c>
      <c r="N156" t="str">
        <f>IF(VLOOKUP(D156,wnioski!$M$2:$AZ$816,3,0)=0,"",VLOOKUP(D156,wnioski!$M$2:$AZ$816,3,0))</f>
        <v/>
      </c>
      <c r="O156" t="str">
        <f>VLOOKUP(D156,wnioski!$M$2:$AZ$816,15,0)</f>
        <v>20:45</v>
      </c>
      <c r="P156" t="str">
        <f>VLOOKUP(D156,wnioski!$M$2:$AZ$816,14,0)</f>
        <v>Kamieniec Ząbkowicki</v>
      </c>
      <c r="Q156" t="str">
        <f>VLOOKUP(D156,wnioski!$M$2:$AZ$816,16,0)</f>
        <v>Kłodzko Główne</v>
      </c>
      <c r="R156" t="str">
        <f>VLOOKUP(D156,wnioski!$M$2:$AZ$816,17,0)</f>
        <v>21:04</v>
      </c>
    </row>
    <row r="157" spans="1:18" x14ac:dyDescent="0.25">
      <c r="A157" s="1">
        <v>156</v>
      </c>
      <c r="B157">
        <v>7</v>
      </c>
      <c r="D157">
        <v>69549</v>
      </c>
      <c r="E157" t="s">
        <v>8</v>
      </c>
      <c r="G157" s="1">
        <v>1</v>
      </c>
      <c r="H157" s="6">
        <f>COUNTIF(wnioski!$M$2:$M$816,pot!D157)</f>
        <v>1</v>
      </c>
      <c r="I157" t="str">
        <f>VLOOKUP(D157,wnioski!$M$2:$AZ$816,5,0)</f>
        <v>SA135</v>
      </c>
      <c r="J157" t="str">
        <f>VLOOKUP(D157,wnioski!$M$2:$AZ$816,4,0)</f>
        <v>RMM</v>
      </c>
      <c r="L157">
        <f t="shared" si="3"/>
        <v>69549</v>
      </c>
      <c r="M157" t="str">
        <f>IF(VLOOKUP(D157,wnioski!$M$2:$AZ$816,2,0)=0,"",VLOOKUP(D157,wnioski!$M$2:$AZ$816,2,0))</f>
        <v>5300</v>
      </c>
      <c r="N157" t="str">
        <f>IF(VLOOKUP(D157,wnioski!$M$2:$AZ$816,3,0)=0,"",VLOOKUP(D157,wnioski!$M$2:$AZ$816,3,0))</f>
        <v/>
      </c>
      <c r="O157" t="str">
        <f>VLOOKUP(D157,wnioski!$M$2:$AZ$816,15,0)</f>
        <v>04:00</v>
      </c>
      <c r="P157" t="str">
        <f>VLOOKUP(D157,wnioski!$M$2:$AZ$816,14,0)</f>
        <v>Legnica</v>
      </c>
      <c r="Q157" t="str">
        <f>VLOOKUP(D157,wnioski!$M$2:$AZ$816,16,0)</f>
        <v>Goerlitz</v>
      </c>
      <c r="R157" t="str">
        <f>VLOOKUP(D157,wnioski!$M$2:$AZ$816,17,0)</f>
        <v>05:27</v>
      </c>
    </row>
    <row r="158" spans="1:18" x14ac:dyDescent="0.25">
      <c r="A158" s="1">
        <v>157</v>
      </c>
      <c r="B158">
        <v>7</v>
      </c>
      <c r="D158">
        <v>69870</v>
      </c>
      <c r="E158" t="s">
        <v>8</v>
      </c>
      <c r="G158" s="1">
        <v>1</v>
      </c>
      <c r="H158" s="6">
        <f>COUNTIF(wnioski!$M$2:$M$816,pot!D158)</f>
        <v>1</v>
      </c>
      <c r="I158" t="str">
        <f>VLOOKUP(D158,wnioski!$M$2:$AZ$816,5,0)</f>
        <v>SA135</v>
      </c>
      <c r="J158" t="str">
        <f>VLOOKUP(D158,wnioski!$M$2:$AZ$816,4,0)</f>
        <v>RMM</v>
      </c>
      <c r="L158">
        <f t="shared" si="3"/>
        <v>69870</v>
      </c>
      <c r="M158" t="str">
        <f>IF(VLOOKUP(D158,wnioski!$M$2:$AZ$816,2,0)=0,"",VLOOKUP(D158,wnioski!$M$2:$AZ$816,2,0))</f>
        <v>5301</v>
      </c>
      <c r="N158" t="str">
        <f>IF(VLOOKUP(D158,wnioski!$M$2:$AZ$816,3,0)=0,"",VLOOKUP(D158,wnioski!$M$2:$AZ$816,3,0))</f>
        <v/>
      </c>
      <c r="O158" t="str">
        <f>VLOOKUP(D158,wnioski!$M$2:$AZ$816,15,0)</f>
        <v>05:39</v>
      </c>
      <c r="P158" t="str">
        <f>VLOOKUP(D158,wnioski!$M$2:$AZ$816,14,0)</f>
        <v>Goerlitz</v>
      </c>
      <c r="Q158" t="str">
        <f>VLOOKUP(D158,wnioski!$M$2:$AZ$816,16,0)</f>
        <v>Jelenia Góra</v>
      </c>
      <c r="R158" t="str">
        <f>VLOOKUP(D158,wnioski!$M$2:$AZ$816,17,0)</f>
        <v>07:15</v>
      </c>
    </row>
    <row r="159" spans="1:18" x14ac:dyDescent="0.25">
      <c r="A159" s="1">
        <v>158</v>
      </c>
      <c r="B159">
        <v>7</v>
      </c>
      <c r="D159">
        <v>69853</v>
      </c>
      <c r="E159" t="s">
        <v>8</v>
      </c>
      <c r="G159" s="1">
        <v>1</v>
      </c>
      <c r="H159" s="6">
        <f>COUNTIF(wnioski!$M$2:$M$816,pot!D159)</f>
        <v>1</v>
      </c>
      <c r="I159" t="str">
        <f>VLOOKUP(D159,wnioski!$M$2:$AZ$816,5,0)</f>
        <v>SA135</v>
      </c>
      <c r="J159" t="str">
        <f>VLOOKUP(D159,wnioski!$M$2:$AZ$816,4,0)</f>
        <v>RMM</v>
      </c>
      <c r="L159">
        <f t="shared" si="3"/>
        <v>69853</v>
      </c>
      <c r="M159" t="str">
        <f>IF(VLOOKUP(D159,wnioski!$M$2:$AZ$816,2,0)=0,"",VLOOKUP(D159,wnioski!$M$2:$AZ$816,2,0))</f>
        <v>5304</v>
      </c>
      <c r="N159" t="str">
        <f>IF(VLOOKUP(D159,wnioski!$M$2:$AZ$816,3,0)=0,"",VLOOKUP(D159,wnioski!$M$2:$AZ$816,3,0))</f>
        <v/>
      </c>
      <c r="O159" t="str">
        <f>VLOOKUP(D159,wnioski!$M$2:$AZ$816,15,0)</f>
        <v>07:45</v>
      </c>
      <c r="P159" t="str">
        <f>VLOOKUP(D159,wnioski!$M$2:$AZ$816,14,0)</f>
        <v>Jelenia Góra</v>
      </c>
      <c r="Q159" t="str">
        <f>VLOOKUP(D159,wnioski!$M$2:$AZ$816,16,0)</f>
        <v>Goerlitz</v>
      </c>
      <c r="R159" t="str">
        <f>VLOOKUP(D159,wnioski!$M$2:$AZ$816,17,0)</f>
        <v>09:27</v>
      </c>
    </row>
    <row r="160" spans="1:18" x14ac:dyDescent="0.25">
      <c r="A160" s="1">
        <v>159</v>
      </c>
      <c r="B160">
        <v>7</v>
      </c>
      <c r="D160">
        <v>69874</v>
      </c>
      <c r="E160" t="s">
        <v>8</v>
      </c>
      <c r="G160" s="1">
        <v>1</v>
      </c>
      <c r="H160" s="6">
        <f>COUNTIF(wnioski!$M$2:$M$816,pot!D160)</f>
        <v>1</v>
      </c>
      <c r="I160" t="str">
        <f>VLOOKUP(D160,wnioski!$M$2:$AZ$816,5,0)</f>
        <v>SA135</v>
      </c>
      <c r="J160" t="str">
        <f>VLOOKUP(D160,wnioski!$M$2:$AZ$816,4,0)</f>
        <v>RMM</v>
      </c>
      <c r="L160">
        <f t="shared" si="3"/>
        <v>69874</v>
      </c>
      <c r="M160" t="str">
        <f>IF(VLOOKUP(D160,wnioski!$M$2:$AZ$816,2,0)=0,"",VLOOKUP(D160,wnioski!$M$2:$AZ$816,2,0))</f>
        <v>5305</v>
      </c>
      <c r="N160" t="str">
        <f>IF(VLOOKUP(D160,wnioski!$M$2:$AZ$816,3,0)=0,"",VLOOKUP(D160,wnioski!$M$2:$AZ$816,3,0))</f>
        <v/>
      </c>
      <c r="O160" t="str">
        <f>VLOOKUP(D160,wnioski!$M$2:$AZ$816,15,0)</f>
        <v>09:39</v>
      </c>
      <c r="P160" t="str">
        <f>VLOOKUP(D160,wnioski!$M$2:$AZ$816,14,0)</f>
        <v>Goerlitz</v>
      </c>
      <c r="Q160" t="str">
        <f>VLOOKUP(D160,wnioski!$M$2:$AZ$816,16,0)</f>
        <v>Jelenia Góra</v>
      </c>
      <c r="R160" t="str">
        <f>VLOOKUP(D160,wnioski!$M$2:$AZ$816,17,0)</f>
        <v>11:15</v>
      </c>
    </row>
    <row r="161" spans="1:18" x14ac:dyDescent="0.25">
      <c r="A161" s="1">
        <v>160</v>
      </c>
      <c r="B161">
        <v>7</v>
      </c>
      <c r="D161">
        <v>69857</v>
      </c>
      <c r="E161" t="s">
        <v>8</v>
      </c>
      <c r="G161" s="1">
        <v>1</v>
      </c>
      <c r="H161" s="6">
        <f>COUNTIF(wnioski!$M$2:$M$816,pot!D161)</f>
        <v>1</v>
      </c>
      <c r="I161" t="str">
        <f>VLOOKUP(D161,wnioski!$M$2:$AZ$816,5,0)</f>
        <v>SA135</v>
      </c>
      <c r="J161" t="str">
        <f>VLOOKUP(D161,wnioski!$M$2:$AZ$816,4,0)</f>
        <v>RMM</v>
      </c>
      <c r="L161">
        <f t="shared" si="3"/>
        <v>69857</v>
      </c>
      <c r="M161" t="str">
        <f>IF(VLOOKUP(D161,wnioski!$M$2:$AZ$816,2,0)=0,"",VLOOKUP(D161,wnioski!$M$2:$AZ$816,2,0))</f>
        <v>5308</v>
      </c>
      <c r="N161" t="str">
        <f>IF(VLOOKUP(D161,wnioski!$M$2:$AZ$816,3,0)=0,"",VLOOKUP(D161,wnioski!$M$2:$AZ$816,3,0))</f>
        <v/>
      </c>
      <c r="O161" t="str">
        <f>VLOOKUP(D161,wnioski!$M$2:$AZ$816,15,0)</f>
        <v>13:45</v>
      </c>
      <c r="P161" t="str">
        <f>VLOOKUP(D161,wnioski!$M$2:$AZ$816,14,0)</f>
        <v>Jelenia Góra</v>
      </c>
      <c r="Q161" t="str">
        <f>VLOOKUP(D161,wnioski!$M$2:$AZ$816,16,0)</f>
        <v>Goerlitz</v>
      </c>
      <c r="R161" t="str">
        <f>VLOOKUP(D161,wnioski!$M$2:$AZ$816,17,0)</f>
        <v>15:27</v>
      </c>
    </row>
    <row r="162" spans="1:18" x14ac:dyDescent="0.25">
      <c r="A162" s="1">
        <v>161</v>
      </c>
      <c r="B162">
        <v>7</v>
      </c>
      <c r="D162">
        <v>69878</v>
      </c>
      <c r="E162" t="s">
        <v>8</v>
      </c>
      <c r="G162" s="1">
        <v>1</v>
      </c>
      <c r="H162" s="6">
        <f>COUNTIF(wnioski!$M$2:$M$816,pot!D162)</f>
        <v>1</v>
      </c>
      <c r="I162" t="str">
        <f>VLOOKUP(D162,wnioski!$M$2:$AZ$816,5,0)</f>
        <v>SA135</v>
      </c>
      <c r="J162" t="str">
        <f>VLOOKUP(D162,wnioski!$M$2:$AZ$816,4,0)</f>
        <v>RMM</v>
      </c>
      <c r="L162">
        <f t="shared" si="3"/>
        <v>69878</v>
      </c>
      <c r="M162" t="str">
        <f>IF(VLOOKUP(D162,wnioski!$M$2:$AZ$816,2,0)=0,"",VLOOKUP(D162,wnioski!$M$2:$AZ$816,2,0))</f>
        <v>5309</v>
      </c>
      <c r="N162" t="str">
        <f>IF(VLOOKUP(D162,wnioski!$M$2:$AZ$816,3,0)=0,"",VLOOKUP(D162,wnioski!$M$2:$AZ$816,3,0))</f>
        <v/>
      </c>
      <c r="O162" t="str">
        <f>VLOOKUP(D162,wnioski!$M$2:$AZ$816,15,0)</f>
        <v>15:39</v>
      </c>
      <c r="P162" t="str">
        <f>VLOOKUP(D162,wnioski!$M$2:$AZ$816,14,0)</f>
        <v>Goerlitz</v>
      </c>
      <c r="Q162" t="str">
        <f>VLOOKUP(D162,wnioski!$M$2:$AZ$816,16,0)</f>
        <v>Jelenia Góra</v>
      </c>
      <c r="R162" t="str">
        <f>VLOOKUP(D162,wnioski!$M$2:$AZ$816,17,0)</f>
        <v>17:15</v>
      </c>
    </row>
    <row r="163" spans="1:18" x14ac:dyDescent="0.25">
      <c r="A163" s="1">
        <v>162</v>
      </c>
      <c r="B163">
        <v>7</v>
      </c>
      <c r="D163">
        <v>69861</v>
      </c>
      <c r="E163" t="s">
        <v>8</v>
      </c>
      <c r="G163" s="1">
        <v>1</v>
      </c>
      <c r="H163" s="6">
        <f>COUNTIF(wnioski!$M$2:$M$816,pot!D163)</f>
        <v>1</v>
      </c>
      <c r="I163" t="str">
        <f>VLOOKUP(D163,wnioski!$M$2:$AZ$816,5,0)</f>
        <v>SA135</v>
      </c>
      <c r="J163" t="str">
        <f>VLOOKUP(D163,wnioski!$M$2:$AZ$816,4,0)</f>
        <v>RMM</v>
      </c>
      <c r="L163">
        <f t="shared" si="3"/>
        <v>69861</v>
      </c>
      <c r="M163" t="str">
        <f>IF(VLOOKUP(D163,wnioski!$M$2:$AZ$816,2,0)=0,"",VLOOKUP(D163,wnioski!$M$2:$AZ$816,2,0))</f>
        <v>5312</v>
      </c>
      <c r="N163" t="str">
        <f>IF(VLOOKUP(D163,wnioski!$M$2:$AZ$816,3,0)=0,"",VLOOKUP(D163,wnioski!$M$2:$AZ$816,3,0))</f>
        <v/>
      </c>
      <c r="O163" t="str">
        <f>VLOOKUP(D163,wnioski!$M$2:$AZ$816,15,0)</f>
        <v>17:42</v>
      </c>
      <c r="P163" t="str">
        <f>VLOOKUP(D163,wnioski!$M$2:$AZ$816,14,0)</f>
        <v>Jelenia Góra</v>
      </c>
      <c r="Q163" t="str">
        <f>VLOOKUP(D163,wnioski!$M$2:$AZ$816,16,0)</f>
        <v>Goerlitz</v>
      </c>
      <c r="R163" t="str">
        <f>VLOOKUP(D163,wnioski!$M$2:$AZ$816,17,0)</f>
        <v>19:27</v>
      </c>
    </row>
    <row r="164" spans="1:18" x14ac:dyDescent="0.25">
      <c r="A164" s="1">
        <v>163</v>
      </c>
      <c r="B164">
        <v>7</v>
      </c>
      <c r="D164">
        <v>69982</v>
      </c>
      <c r="E164" t="s">
        <v>8</v>
      </c>
      <c r="G164" s="1">
        <v>1</v>
      </c>
      <c r="H164" s="6">
        <f>COUNTIF(wnioski!$M$2:$M$816,pot!D164)</f>
        <v>2</v>
      </c>
      <c r="I164" t="str">
        <f>VLOOKUP(D164,wnioski!$M$2:$AZ$816,5,0)</f>
        <v>SA135</v>
      </c>
      <c r="J164" t="str">
        <f>VLOOKUP(D164,wnioski!$M$2:$AZ$816,4,0)</f>
        <v>RMM</v>
      </c>
      <c r="L164">
        <f t="shared" si="3"/>
        <v>69982</v>
      </c>
      <c r="M164" t="str">
        <f>IF(VLOOKUP(D164,wnioski!$M$2:$AZ$816,2,0)=0,"",VLOOKUP(D164,wnioski!$M$2:$AZ$816,2,0))</f>
        <v>5313</v>
      </c>
      <c r="N164" t="str">
        <f>IF(VLOOKUP(D164,wnioski!$M$2:$AZ$816,3,0)=0,"",VLOOKUP(D164,wnioski!$M$2:$AZ$816,3,0))</f>
        <v/>
      </c>
      <c r="O164" t="str">
        <f>VLOOKUP(D164,wnioski!$M$2:$AZ$816,15,0)</f>
        <v>19:39</v>
      </c>
      <c r="P164" t="str">
        <f>VLOOKUP(D164,wnioski!$M$2:$AZ$816,14,0)</f>
        <v>Goerlitz</v>
      </c>
      <c r="Q164" t="str">
        <f>VLOOKUP(D164,wnioski!$M$2:$AZ$816,16,0)</f>
        <v>Wałbrzych Główny</v>
      </c>
      <c r="R164" t="str">
        <f>VLOOKUP(D164,wnioski!$M$2:$AZ$816,17,0)</f>
        <v>22:41</v>
      </c>
    </row>
    <row r="165" spans="1:18" x14ac:dyDescent="0.25">
      <c r="A165" s="1">
        <v>164</v>
      </c>
      <c r="B165">
        <v>7</v>
      </c>
      <c r="D165">
        <v>69851</v>
      </c>
      <c r="E165" t="s">
        <v>8</v>
      </c>
      <c r="G165" s="1">
        <v>2</v>
      </c>
      <c r="H165" s="6">
        <f>COUNTIF(wnioski!$M$2:$M$816,pot!D165)</f>
        <v>3</v>
      </c>
      <c r="I165" t="str">
        <f>VLOOKUP(D165,wnioski!$M$2:$AZ$816,5,0)</f>
        <v>SA135</v>
      </c>
      <c r="J165" t="str">
        <f>VLOOKUP(D165,wnioski!$M$2:$AZ$816,4,0)</f>
        <v>RMM</v>
      </c>
      <c r="L165">
        <f t="shared" si="3"/>
        <v>69851</v>
      </c>
      <c r="M165" t="str">
        <f>IF(VLOOKUP(D165,wnioski!$M$2:$AZ$816,2,0)=0,"",VLOOKUP(D165,wnioski!$M$2:$AZ$816,2,0))</f>
        <v>5302</v>
      </c>
      <c r="N165" t="str">
        <f>IF(VLOOKUP(D165,wnioski!$M$2:$AZ$816,3,0)=0,"",VLOOKUP(D165,wnioski!$M$2:$AZ$816,3,0))</f>
        <v/>
      </c>
      <c r="O165" t="str">
        <f>VLOOKUP(D165,wnioski!$M$2:$AZ$816,15,0)</f>
        <v>04:20</v>
      </c>
      <c r="P165" t="str">
        <f>VLOOKUP(D165,wnioski!$M$2:$AZ$816,14,0)</f>
        <v>Wałbrzych Główny</v>
      </c>
      <c r="Q165" t="str">
        <f>VLOOKUP(D165,wnioski!$M$2:$AZ$816,16,0)</f>
        <v>Goerlitz</v>
      </c>
      <c r="R165" t="str">
        <f>VLOOKUP(D165,wnioski!$M$2:$AZ$816,17,0)</f>
        <v>07:27</v>
      </c>
    </row>
    <row r="166" spans="1:18" x14ac:dyDescent="0.25">
      <c r="A166" s="1">
        <v>165</v>
      </c>
      <c r="B166">
        <v>7</v>
      </c>
      <c r="D166">
        <v>69872</v>
      </c>
      <c r="E166" t="s">
        <v>8</v>
      </c>
      <c r="G166" s="1">
        <v>2</v>
      </c>
      <c r="H166" s="6">
        <f>COUNTIF(wnioski!$M$2:$M$816,pot!D166)</f>
        <v>1</v>
      </c>
      <c r="I166" t="str">
        <f>VLOOKUP(D166,wnioski!$M$2:$AZ$816,5,0)</f>
        <v>SA135</v>
      </c>
      <c r="J166" t="str">
        <f>VLOOKUP(D166,wnioski!$M$2:$AZ$816,4,0)</f>
        <v>RMM</v>
      </c>
      <c r="L166">
        <f t="shared" si="3"/>
        <v>69872</v>
      </c>
      <c r="M166" t="str">
        <f>IF(VLOOKUP(D166,wnioski!$M$2:$AZ$816,2,0)=0,"",VLOOKUP(D166,wnioski!$M$2:$AZ$816,2,0))</f>
        <v>5303</v>
      </c>
      <c r="N166" t="str">
        <f>IF(VLOOKUP(D166,wnioski!$M$2:$AZ$816,3,0)=0,"",VLOOKUP(D166,wnioski!$M$2:$AZ$816,3,0))</f>
        <v/>
      </c>
      <c r="O166" t="str">
        <f>VLOOKUP(D166,wnioski!$M$2:$AZ$816,15,0)</f>
        <v>07:39</v>
      </c>
      <c r="P166" t="str">
        <f>VLOOKUP(D166,wnioski!$M$2:$AZ$816,14,0)</f>
        <v>Goerlitz</v>
      </c>
      <c r="Q166" t="str">
        <f>VLOOKUP(D166,wnioski!$M$2:$AZ$816,16,0)</f>
        <v>Jelenia Góra</v>
      </c>
      <c r="R166" t="str">
        <f>VLOOKUP(D166,wnioski!$M$2:$AZ$816,17,0)</f>
        <v>09:15</v>
      </c>
    </row>
    <row r="167" spans="1:18" x14ac:dyDescent="0.25">
      <c r="A167" s="1">
        <v>166</v>
      </c>
      <c r="B167">
        <v>7</v>
      </c>
      <c r="D167">
        <v>69855</v>
      </c>
      <c r="E167" t="s">
        <v>8</v>
      </c>
      <c r="G167" s="1">
        <v>2</v>
      </c>
      <c r="H167" s="6">
        <f>COUNTIF(wnioski!$M$2:$M$816,pot!D167)</f>
        <v>1</v>
      </c>
      <c r="I167" t="str">
        <f>VLOOKUP(D167,wnioski!$M$2:$AZ$816,5,0)</f>
        <v>SA135</v>
      </c>
      <c r="J167" t="str">
        <f>VLOOKUP(D167,wnioski!$M$2:$AZ$816,4,0)</f>
        <v>RMM</v>
      </c>
      <c r="L167">
        <f t="shared" si="3"/>
        <v>69855</v>
      </c>
      <c r="M167" t="str">
        <f>IF(VLOOKUP(D167,wnioski!$M$2:$AZ$816,2,0)=0,"",VLOOKUP(D167,wnioski!$M$2:$AZ$816,2,0))</f>
        <v>5306</v>
      </c>
      <c r="N167" t="str">
        <f>IF(VLOOKUP(D167,wnioski!$M$2:$AZ$816,3,0)=0,"",VLOOKUP(D167,wnioski!$M$2:$AZ$816,3,0))</f>
        <v/>
      </c>
      <c r="O167" t="str">
        <f>VLOOKUP(D167,wnioski!$M$2:$AZ$816,15,0)</f>
        <v>09:45</v>
      </c>
      <c r="P167" t="str">
        <f>VLOOKUP(D167,wnioski!$M$2:$AZ$816,14,0)</f>
        <v>Jelenia Góra</v>
      </c>
      <c r="Q167" t="str">
        <f>VLOOKUP(D167,wnioski!$M$2:$AZ$816,16,0)</f>
        <v>Goerlitz</v>
      </c>
      <c r="R167" t="str">
        <f>VLOOKUP(D167,wnioski!$M$2:$AZ$816,17,0)</f>
        <v>11:27</v>
      </c>
    </row>
    <row r="168" spans="1:18" x14ac:dyDescent="0.25">
      <c r="A168" s="1">
        <v>167</v>
      </c>
      <c r="B168">
        <v>7</v>
      </c>
      <c r="D168">
        <v>5377</v>
      </c>
      <c r="E168" t="s">
        <v>8</v>
      </c>
      <c r="G168" s="1">
        <v>2</v>
      </c>
      <c r="H168" s="6">
        <f>COUNTIF(wnioski!$M$2:$M$816,pot!D168)</f>
        <v>1</v>
      </c>
      <c r="I168" t="str">
        <f>VLOOKUP(D168,wnioski!$M$2:$AZ$816,5,0)</f>
        <v>SA135</v>
      </c>
      <c r="J168" t="str">
        <f>VLOOKUP(D168,wnioski!$M$2:$AZ$816,4,0)</f>
        <v>PWM</v>
      </c>
      <c r="L168">
        <f t="shared" si="3"/>
        <v>5377</v>
      </c>
      <c r="M168" t="str">
        <f>IF(VLOOKUP(D168,wnioski!$M$2:$AZ$816,2,0)=0,"",VLOOKUP(D168,wnioski!$M$2:$AZ$816,2,0))</f>
        <v>5377</v>
      </c>
      <c r="N168" t="str">
        <f>IF(VLOOKUP(D168,wnioski!$M$2:$AZ$816,3,0)=0,"",VLOOKUP(D168,wnioski!$M$2:$AZ$816,3,0))</f>
        <v/>
      </c>
      <c r="O168" t="str">
        <f>VLOOKUP(D168,wnioski!$M$2:$AZ$816,15,0)</f>
        <v>11:36</v>
      </c>
      <c r="P168" t="str">
        <f>VLOOKUP(D168,wnioski!$M$2:$AZ$816,14,0)</f>
        <v>Goerlitz</v>
      </c>
      <c r="Q168" t="str">
        <f>VLOOKUP(D168,wnioski!$M$2:$AZ$816,16,0)</f>
        <v>Zgorzelec</v>
      </c>
      <c r="R168" t="str">
        <f>VLOOKUP(D168,wnioski!$M$2:$AZ$816,17,0)</f>
        <v>11:40</v>
      </c>
    </row>
    <row r="169" spans="1:18" x14ac:dyDescent="0.25">
      <c r="A169" s="1">
        <v>168</v>
      </c>
      <c r="B169">
        <v>7</v>
      </c>
      <c r="D169">
        <v>5376</v>
      </c>
      <c r="E169" t="s">
        <v>8</v>
      </c>
      <c r="G169" s="1">
        <v>2</v>
      </c>
      <c r="H169" s="6">
        <f>COUNTIF(wnioski!$M$2:$M$816,pot!D169)</f>
        <v>1</v>
      </c>
      <c r="I169" t="str">
        <f>VLOOKUP(D169,wnioski!$M$2:$AZ$816,5,0)</f>
        <v>SA135</v>
      </c>
      <c r="J169" t="str">
        <f>VLOOKUP(D169,wnioski!$M$2:$AZ$816,4,0)</f>
        <v>PWM</v>
      </c>
      <c r="L169">
        <f t="shared" si="3"/>
        <v>5376</v>
      </c>
      <c r="M169" t="str">
        <f>IF(VLOOKUP(D169,wnioski!$M$2:$AZ$816,2,0)=0,"",VLOOKUP(D169,wnioski!$M$2:$AZ$816,2,0))</f>
        <v>5376</v>
      </c>
      <c r="N169" t="str">
        <f>IF(VLOOKUP(D169,wnioski!$M$2:$AZ$816,3,0)=0,"",VLOOKUP(D169,wnioski!$M$2:$AZ$816,3,0))</f>
        <v/>
      </c>
      <c r="O169" t="str">
        <f>VLOOKUP(D169,wnioski!$M$2:$AZ$816,15,0)</f>
        <v>13:24</v>
      </c>
      <c r="P169" t="str">
        <f>VLOOKUP(D169,wnioski!$M$2:$AZ$816,14,0)</f>
        <v>Zgorzelec</v>
      </c>
      <c r="Q169" t="str">
        <f>VLOOKUP(D169,wnioski!$M$2:$AZ$816,16,0)</f>
        <v>Goerlitz</v>
      </c>
      <c r="R169" t="str">
        <f>VLOOKUP(D169,wnioski!$M$2:$AZ$816,17,0)</f>
        <v>13:28</v>
      </c>
    </row>
    <row r="170" spans="1:18" x14ac:dyDescent="0.25">
      <c r="A170" s="1">
        <v>169</v>
      </c>
      <c r="B170">
        <v>7</v>
      </c>
      <c r="D170">
        <v>69876</v>
      </c>
      <c r="E170" t="s">
        <v>8</v>
      </c>
      <c r="G170" s="1">
        <v>2</v>
      </c>
      <c r="H170" s="6">
        <f>COUNTIF(wnioski!$M$2:$M$816,pot!D170)</f>
        <v>1</v>
      </c>
      <c r="I170" t="str">
        <f>VLOOKUP(D170,wnioski!$M$2:$AZ$816,5,0)</f>
        <v>SA135</v>
      </c>
      <c r="J170" t="str">
        <f>VLOOKUP(D170,wnioski!$M$2:$AZ$816,4,0)</f>
        <v>RMM</v>
      </c>
      <c r="L170">
        <f t="shared" si="3"/>
        <v>69876</v>
      </c>
      <c r="M170" t="str">
        <f>IF(VLOOKUP(D170,wnioski!$M$2:$AZ$816,2,0)=0,"",VLOOKUP(D170,wnioski!$M$2:$AZ$816,2,0))</f>
        <v>5307</v>
      </c>
      <c r="N170" t="str">
        <f>IF(VLOOKUP(D170,wnioski!$M$2:$AZ$816,3,0)=0,"",VLOOKUP(D170,wnioski!$M$2:$AZ$816,3,0))</f>
        <v/>
      </c>
      <c r="O170" t="str">
        <f>VLOOKUP(D170,wnioski!$M$2:$AZ$816,15,0)</f>
        <v>13:39</v>
      </c>
      <c r="P170" t="str">
        <f>VLOOKUP(D170,wnioski!$M$2:$AZ$816,14,0)</f>
        <v>Goerlitz</v>
      </c>
      <c r="Q170" t="str">
        <f>VLOOKUP(D170,wnioski!$M$2:$AZ$816,16,0)</f>
        <v>Jelenia Góra</v>
      </c>
      <c r="R170" t="str">
        <f>VLOOKUP(D170,wnioski!$M$2:$AZ$816,17,0)</f>
        <v>15:15</v>
      </c>
    </row>
    <row r="171" spans="1:18" x14ac:dyDescent="0.25">
      <c r="A171" s="1">
        <v>170</v>
      </c>
      <c r="B171">
        <v>7</v>
      </c>
      <c r="D171">
        <v>69859</v>
      </c>
      <c r="E171" t="s">
        <v>8</v>
      </c>
      <c r="G171" s="1">
        <v>2</v>
      </c>
      <c r="H171" s="6">
        <f>COUNTIF(wnioski!$M$2:$M$816,pot!D171)</f>
        <v>1</v>
      </c>
      <c r="I171" t="str">
        <f>VLOOKUP(D171,wnioski!$M$2:$AZ$816,5,0)</f>
        <v>SA135</v>
      </c>
      <c r="J171" t="str">
        <f>VLOOKUP(D171,wnioski!$M$2:$AZ$816,4,0)</f>
        <v>RMM</v>
      </c>
      <c r="L171">
        <f t="shared" si="3"/>
        <v>69859</v>
      </c>
      <c r="M171" t="str">
        <f>IF(VLOOKUP(D171,wnioski!$M$2:$AZ$816,2,0)=0,"",VLOOKUP(D171,wnioski!$M$2:$AZ$816,2,0))</f>
        <v>5310</v>
      </c>
      <c r="N171" t="str">
        <f>IF(VLOOKUP(D171,wnioski!$M$2:$AZ$816,3,0)=0,"",VLOOKUP(D171,wnioski!$M$2:$AZ$816,3,0))</f>
        <v/>
      </c>
      <c r="O171" t="str">
        <f>VLOOKUP(D171,wnioski!$M$2:$AZ$816,15,0)</f>
        <v>15:45</v>
      </c>
      <c r="P171" t="str">
        <f>VLOOKUP(D171,wnioski!$M$2:$AZ$816,14,0)</f>
        <v>Jelenia Góra</v>
      </c>
      <c r="Q171" t="str">
        <f>VLOOKUP(D171,wnioski!$M$2:$AZ$816,16,0)</f>
        <v>Goerlitz</v>
      </c>
      <c r="R171" t="str">
        <f>VLOOKUP(D171,wnioski!$M$2:$AZ$816,17,0)</f>
        <v>17:27</v>
      </c>
    </row>
    <row r="172" spans="1:18" x14ac:dyDescent="0.25">
      <c r="A172" s="1">
        <v>171</v>
      </c>
      <c r="B172">
        <v>7</v>
      </c>
      <c r="D172">
        <v>69880</v>
      </c>
      <c r="E172" t="s">
        <v>8</v>
      </c>
      <c r="G172" s="1">
        <v>2</v>
      </c>
      <c r="H172" s="6">
        <f>COUNTIF(wnioski!$M$2:$M$816,pot!D172)</f>
        <v>1</v>
      </c>
      <c r="I172" t="str">
        <f>VLOOKUP(D172,wnioski!$M$2:$AZ$816,5,0)</f>
        <v>SA135</v>
      </c>
      <c r="J172" t="str">
        <f>VLOOKUP(D172,wnioski!$M$2:$AZ$816,4,0)</f>
        <v>RMM</v>
      </c>
      <c r="L172">
        <f t="shared" si="3"/>
        <v>69880</v>
      </c>
      <c r="M172" t="str">
        <f>IF(VLOOKUP(D172,wnioski!$M$2:$AZ$816,2,0)=0,"",VLOOKUP(D172,wnioski!$M$2:$AZ$816,2,0))</f>
        <v>5311</v>
      </c>
      <c r="N172" t="str">
        <f>IF(VLOOKUP(D172,wnioski!$M$2:$AZ$816,3,0)=0,"",VLOOKUP(D172,wnioski!$M$2:$AZ$816,3,0))</f>
        <v/>
      </c>
      <c r="O172" t="str">
        <f>VLOOKUP(D172,wnioski!$M$2:$AZ$816,15,0)</f>
        <v>17:39</v>
      </c>
      <c r="P172" t="str">
        <f>VLOOKUP(D172,wnioski!$M$2:$AZ$816,14,0)</f>
        <v>Goerlitz</v>
      </c>
      <c r="Q172" t="str">
        <f>VLOOKUP(D172,wnioski!$M$2:$AZ$816,16,0)</f>
        <v>Jelenia Góra</v>
      </c>
      <c r="R172" t="str">
        <f>VLOOKUP(D172,wnioski!$M$2:$AZ$816,17,0)</f>
        <v>19:15</v>
      </c>
    </row>
    <row r="173" spans="1:18" x14ac:dyDescent="0.25">
      <c r="A173" s="1">
        <v>172</v>
      </c>
      <c r="B173">
        <v>7</v>
      </c>
      <c r="C173"/>
      <c r="D173">
        <v>69863</v>
      </c>
      <c r="E173" t="s">
        <v>8</v>
      </c>
      <c r="F173"/>
      <c r="G173" s="1">
        <v>2</v>
      </c>
      <c r="H173" s="6">
        <f>COUNTIF(wnioski!$M$2:$M$816,pot!D173)</f>
        <v>1</v>
      </c>
      <c r="I173" t="str">
        <f>VLOOKUP(D173,wnioski!$M$2:$AZ$816,5,0)</f>
        <v>SA135</v>
      </c>
      <c r="J173" t="str">
        <f>VLOOKUP(D173,wnioski!$M$2:$AZ$816,4,0)</f>
        <v>RMM</v>
      </c>
      <c r="L173">
        <f t="shared" si="3"/>
        <v>69863</v>
      </c>
      <c r="M173" t="str">
        <f>IF(VLOOKUP(D173,wnioski!$M$2:$AZ$816,2,0)=0,"",VLOOKUP(D173,wnioski!$M$2:$AZ$816,2,0))</f>
        <v>5314</v>
      </c>
      <c r="N173" t="str">
        <f>IF(VLOOKUP(D173,wnioski!$M$2:$AZ$816,3,0)=0,"",VLOOKUP(D173,wnioski!$M$2:$AZ$816,3,0))</f>
        <v/>
      </c>
      <c r="O173" t="str">
        <f>VLOOKUP(D173,wnioski!$M$2:$AZ$816,15,0)</f>
        <v>19:45</v>
      </c>
      <c r="P173" t="str">
        <f>VLOOKUP(D173,wnioski!$M$2:$AZ$816,14,0)</f>
        <v>Jelenia Góra</v>
      </c>
      <c r="Q173" t="str">
        <f>VLOOKUP(D173,wnioski!$M$2:$AZ$816,16,0)</f>
        <v>Goerlitz</v>
      </c>
      <c r="R173" t="str">
        <f>VLOOKUP(D173,wnioski!$M$2:$AZ$816,17,0)</f>
        <v>21:27</v>
      </c>
    </row>
    <row r="174" spans="1:18" x14ac:dyDescent="0.25">
      <c r="A174" s="1">
        <v>173</v>
      </c>
      <c r="B174">
        <v>7</v>
      </c>
      <c r="C174"/>
      <c r="D174">
        <v>69530</v>
      </c>
      <c r="E174" t="s">
        <v>8</v>
      </c>
      <c r="F174"/>
      <c r="G174" s="1">
        <v>2</v>
      </c>
      <c r="H174" s="6">
        <f>COUNTIF(wnioski!$M$2:$M$816,pot!D174)</f>
        <v>2</v>
      </c>
      <c r="I174" t="str">
        <f>VLOOKUP(D174,wnioski!$M$2:$AZ$816,5,0)</f>
        <v>SA135</v>
      </c>
      <c r="J174" t="str">
        <f>VLOOKUP(D174,wnioski!$M$2:$AZ$816,4,0)</f>
        <v>RMM</v>
      </c>
      <c r="L174">
        <f t="shared" si="3"/>
        <v>69530</v>
      </c>
      <c r="M174" t="str">
        <f>IF(VLOOKUP(D174,wnioski!$M$2:$AZ$816,2,0)=0,"",VLOOKUP(D174,wnioski!$M$2:$AZ$816,2,0))</f>
        <v>5315</v>
      </c>
      <c r="N174" t="str">
        <f>IF(VLOOKUP(D174,wnioski!$M$2:$AZ$816,3,0)=0,"",VLOOKUP(D174,wnioski!$M$2:$AZ$816,3,0))</f>
        <v/>
      </c>
      <c r="O174" t="str">
        <f>VLOOKUP(D174,wnioski!$M$2:$AZ$816,15,0)</f>
        <v>21:39</v>
      </c>
      <c r="P174" t="str">
        <f>VLOOKUP(D174,wnioski!$M$2:$AZ$816,14,0)</f>
        <v>Goerlitz</v>
      </c>
      <c r="Q174" t="str">
        <f>VLOOKUP(D174,wnioski!$M$2:$AZ$816,16,0)</f>
        <v>Legnica</v>
      </c>
      <c r="R174" t="str">
        <f>VLOOKUP(D174,wnioski!$M$2:$AZ$816,17,0)</f>
        <v>23:08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B3BFA-17F9-4F2E-BE7E-E82A40083FC8}">
  <sheetPr filterMode="1"/>
  <dimension ref="A1:AZ816"/>
  <sheetViews>
    <sheetView topLeftCell="K1" workbookViewId="0">
      <selection activeCell="M764" sqref="M764"/>
    </sheetView>
  </sheetViews>
  <sheetFormatPr defaultRowHeight="15" x14ac:dyDescent="0.25"/>
  <cols>
    <col min="8" max="8" width="10.140625" bestFit="1" customWidth="1"/>
  </cols>
  <sheetData>
    <row r="1" spans="1:5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  <c r="M1" t="s">
        <v>1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69</v>
      </c>
      <c r="AV1" t="s">
        <v>70</v>
      </c>
      <c r="AW1" t="s">
        <v>71</v>
      </c>
      <c r="AX1" t="s">
        <v>72</v>
      </c>
      <c r="AY1" t="s">
        <v>73</v>
      </c>
      <c r="AZ1" t="s">
        <v>74</v>
      </c>
    </row>
    <row r="2" spans="1:52" hidden="1" x14ac:dyDescent="0.25">
      <c r="A2" t="s">
        <v>75</v>
      </c>
      <c r="B2" t="s">
        <v>76</v>
      </c>
      <c r="C2" t="s">
        <v>77</v>
      </c>
      <c r="D2" t="s">
        <v>78</v>
      </c>
      <c r="E2" t="s">
        <v>79</v>
      </c>
      <c r="F2" t="s">
        <v>79</v>
      </c>
      <c r="G2" t="s">
        <v>79</v>
      </c>
      <c r="J2" t="s">
        <v>80</v>
      </c>
      <c r="K2" t="s">
        <v>81</v>
      </c>
      <c r="L2" t="s">
        <v>80</v>
      </c>
      <c r="M2" t="s">
        <v>82</v>
      </c>
      <c r="O2" t="s">
        <v>83</v>
      </c>
      <c r="P2" t="s">
        <v>84</v>
      </c>
      <c r="Q2" t="s">
        <v>85</v>
      </c>
      <c r="R2" t="s">
        <v>86</v>
      </c>
      <c r="S2" t="s">
        <v>87</v>
      </c>
      <c r="T2" t="s">
        <v>88</v>
      </c>
      <c r="U2" t="s">
        <v>89</v>
      </c>
      <c r="V2" t="s">
        <v>90</v>
      </c>
      <c r="W2" t="s">
        <v>91</v>
      </c>
      <c r="X2" t="s">
        <v>92</v>
      </c>
      <c r="Y2" t="s">
        <v>93</v>
      </c>
      <c r="Z2" t="s">
        <v>94</v>
      </c>
      <c r="AA2" t="s">
        <v>95</v>
      </c>
      <c r="AB2" t="s">
        <v>96</v>
      </c>
      <c r="AC2" t="s">
        <v>97</v>
      </c>
      <c r="AD2" t="s">
        <v>94</v>
      </c>
      <c r="AE2" t="s">
        <v>95</v>
      </c>
      <c r="AF2" t="s">
        <v>96</v>
      </c>
      <c r="AG2" t="s">
        <v>97</v>
      </c>
      <c r="AI2" t="s">
        <v>98</v>
      </c>
      <c r="AJ2" t="s">
        <v>94</v>
      </c>
      <c r="AK2" t="s">
        <v>99</v>
      </c>
      <c r="AL2" t="s">
        <v>100</v>
      </c>
      <c r="AM2" t="s">
        <v>101</v>
      </c>
      <c r="AQ2" t="s">
        <v>102</v>
      </c>
      <c r="AT2" t="s">
        <v>77</v>
      </c>
      <c r="AV2" t="s">
        <v>103</v>
      </c>
      <c r="AZ2" t="s">
        <v>80</v>
      </c>
    </row>
    <row r="3" spans="1:52" hidden="1" x14ac:dyDescent="0.25">
      <c r="A3" t="s">
        <v>104</v>
      </c>
      <c r="B3" t="s">
        <v>105</v>
      </c>
      <c r="C3" t="s">
        <v>106</v>
      </c>
      <c r="D3" t="s">
        <v>78</v>
      </c>
      <c r="E3" t="s">
        <v>107</v>
      </c>
      <c r="F3" t="s">
        <v>108</v>
      </c>
      <c r="G3" t="s">
        <v>108</v>
      </c>
      <c r="H3" t="s">
        <v>109</v>
      </c>
      <c r="J3" t="s">
        <v>80</v>
      </c>
      <c r="K3" t="s">
        <v>110</v>
      </c>
      <c r="L3" t="s">
        <v>111</v>
      </c>
      <c r="M3" t="s">
        <v>112</v>
      </c>
      <c r="P3" t="s">
        <v>84</v>
      </c>
      <c r="Q3" t="s">
        <v>85</v>
      </c>
      <c r="R3" t="s">
        <v>86</v>
      </c>
      <c r="S3" t="s">
        <v>87</v>
      </c>
      <c r="T3" t="s">
        <v>113</v>
      </c>
      <c r="U3" t="s">
        <v>114</v>
      </c>
      <c r="V3" t="s">
        <v>115</v>
      </c>
      <c r="W3" t="s">
        <v>116</v>
      </c>
      <c r="X3" t="s">
        <v>117</v>
      </c>
      <c r="Y3" t="s">
        <v>93</v>
      </c>
      <c r="Z3" t="s">
        <v>94</v>
      </c>
      <c r="AA3" t="s">
        <v>118</v>
      </c>
      <c r="AB3" t="s">
        <v>119</v>
      </c>
      <c r="AC3" t="s">
        <v>120</v>
      </c>
      <c r="AD3" t="s">
        <v>94</v>
      </c>
      <c r="AE3" t="s">
        <v>118</v>
      </c>
      <c r="AF3" t="s">
        <v>119</v>
      </c>
      <c r="AG3" t="s">
        <v>120</v>
      </c>
      <c r="AI3" t="s">
        <v>121</v>
      </c>
      <c r="AJ3" t="s">
        <v>94</v>
      </c>
      <c r="AK3" t="s">
        <v>99</v>
      </c>
      <c r="AL3" t="s">
        <v>122</v>
      </c>
      <c r="AM3" t="s">
        <v>123</v>
      </c>
      <c r="AQ3" t="s">
        <v>124</v>
      </c>
      <c r="AR3" t="s">
        <v>125</v>
      </c>
      <c r="AT3" t="s">
        <v>126</v>
      </c>
      <c r="AU3" t="s">
        <v>127</v>
      </c>
      <c r="AV3" t="s">
        <v>128</v>
      </c>
      <c r="AZ3" t="s">
        <v>80</v>
      </c>
    </row>
    <row r="4" spans="1:52" hidden="1" x14ac:dyDescent="0.25">
      <c r="A4" t="s">
        <v>129</v>
      </c>
      <c r="B4" t="s">
        <v>130</v>
      </c>
      <c r="C4" t="s">
        <v>131</v>
      </c>
      <c r="D4" t="s">
        <v>78</v>
      </c>
      <c r="E4" t="s">
        <v>132</v>
      </c>
      <c r="F4" t="s">
        <v>132</v>
      </c>
      <c r="G4" t="s">
        <v>132</v>
      </c>
      <c r="J4" t="s">
        <v>80</v>
      </c>
      <c r="K4" t="s">
        <v>81</v>
      </c>
      <c r="L4" t="s">
        <v>80</v>
      </c>
      <c r="M4" t="s">
        <v>133</v>
      </c>
      <c r="P4" t="s">
        <v>134</v>
      </c>
      <c r="Q4" t="s">
        <v>135</v>
      </c>
      <c r="R4" t="s">
        <v>86</v>
      </c>
      <c r="S4" t="s">
        <v>87</v>
      </c>
      <c r="T4" t="s">
        <v>136</v>
      </c>
      <c r="U4" t="s">
        <v>137</v>
      </c>
      <c r="V4" t="s">
        <v>138</v>
      </c>
      <c r="W4" t="s">
        <v>139</v>
      </c>
      <c r="X4" t="s">
        <v>140</v>
      </c>
      <c r="Y4" t="s">
        <v>93</v>
      </c>
      <c r="Z4" t="s">
        <v>96</v>
      </c>
      <c r="AA4" t="s">
        <v>141</v>
      </c>
      <c r="AB4" t="s">
        <v>94</v>
      </c>
      <c r="AC4" t="s">
        <v>142</v>
      </c>
      <c r="AD4" t="s">
        <v>96</v>
      </c>
      <c r="AE4" t="s">
        <v>141</v>
      </c>
      <c r="AF4" t="s">
        <v>94</v>
      </c>
      <c r="AG4" t="s">
        <v>142</v>
      </c>
      <c r="AI4" t="s">
        <v>143</v>
      </c>
      <c r="AJ4" t="s">
        <v>96</v>
      </c>
      <c r="AK4" t="s">
        <v>99</v>
      </c>
      <c r="AL4" t="s">
        <v>144</v>
      </c>
      <c r="AM4" t="s">
        <v>145</v>
      </c>
      <c r="AQ4" t="s">
        <v>146</v>
      </c>
      <c r="AT4" t="s">
        <v>131</v>
      </c>
      <c r="AV4" t="s">
        <v>128</v>
      </c>
      <c r="AZ4" t="s">
        <v>80</v>
      </c>
    </row>
    <row r="5" spans="1:52" hidden="1" x14ac:dyDescent="0.25">
      <c r="A5" t="s">
        <v>147</v>
      </c>
      <c r="B5" t="s">
        <v>148</v>
      </c>
      <c r="C5" t="s">
        <v>149</v>
      </c>
      <c r="D5" t="s">
        <v>150</v>
      </c>
      <c r="E5" t="s">
        <v>151</v>
      </c>
      <c r="F5" t="s">
        <v>152</v>
      </c>
      <c r="G5" t="s">
        <v>152</v>
      </c>
      <c r="H5" t="s">
        <v>153</v>
      </c>
      <c r="J5" t="s">
        <v>80</v>
      </c>
      <c r="K5" t="s">
        <v>110</v>
      </c>
      <c r="L5" t="s">
        <v>111</v>
      </c>
      <c r="M5">
        <v>66502</v>
      </c>
      <c r="P5" t="s">
        <v>154</v>
      </c>
      <c r="Q5" t="s">
        <v>155</v>
      </c>
      <c r="R5" t="s">
        <v>156</v>
      </c>
      <c r="S5" t="s">
        <v>157</v>
      </c>
      <c r="T5" t="s">
        <v>158</v>
      </c>
      <c r="U5" t="s">
        <v>159</v>
      </c>
      <c r="V5" t="s">
        <v>160</v>
      </c>
      <c r="W5" t="s">
        <v>161</v>
      </c>
      <c r="X5" t="s">
        <v>162</v>
      </c>
      <c r="Y5" t="s">
        <v>93</v>
      </c>
      <c r="Z5" t="s">
        <v>163</v>
      </c>
      <c r="AA5" t="s">
        <v>164</v>
      </c>
      <c r="AB5" t="s">
        <v>119</v>
      </c>
      <c r="AC5" t="s">
        <v>165</v>
      </c>
      <c r="AD5" t="s">
        <v>163</v>
      </c>
      <c r="AE5" t="s">
        <v>164</v>
      </c>
      <c r="AF5" t="s">
        <v>119</v>
      </c>
      <c r="AG5" t="s">
        <v>165</v>
      </c>
      <c r="AI5" t="s">
        <v>166</v>
      </c>
      <c r="AJ5" t="s">
        <v>163</v>
      </c>
      <c r="AK5" t="s">
        <v>99</v>
      </c>
      <c r="AL5" t="s">
        <v>167</v>
      </c>
      <c r="AM5" t="s">
        <v>168</v>
      </c>
      <c r="AQ5" t="s">
        <v>169</v>
      </c>
      <c r="AR5" t="s">
        <v>125</v>
      </c>
      <c r="AT5" t="s">
        <v>170</v>
      </c>
      <c r="AU5" t="s">
        <v>171</v>
      </c>
      <c r="AV5" t="s">
        <v>128</v>
      </c>
      <c r="AZ5" t="s">
        <v>80</v>
      </c>
    </row>
    <row r="6" spans="1:52" hidden="1" x14ac:dyDescent="0.25">
      <c r="A6" t="s">
        <v>172</v>
      </c>
      <c r="B6" t="s">
        <v>173</v>
      </c>
      <c r="C6" t="s">
        <v>174</v>
      </c>
      <c r="D6" t="s">
        <v>150</v>
      </c>
      <c r="E6" t="s">
        <v>175</v>
      </c>
      <c r="F6" t="s">
        <v>176</v>
      </c>
      <c r="G6" t="s">
        <v>176</v>
      </c>
      <c r="H6" t="s">
        <v>177</v>
      </c>
      <c r="J6" t="s">
        <v>80</v>
      </c>
      <c r="K6" t="s">
        <v>110</v>
      </c>
      <c r="L6" t="s">
        <v>111</v>
      </c>
      <c r="M6">
        <v>66555</v>
      </c>
      <c r="O6" t="s">
        <v>178</v>
      </c>
      <c r="P6" t="s">
        <v>154</v>
      </c>
      <c r="Q6" t="s">
        <v>155</v>
      </c>
      <c r="R6" t="s">
        <v>156</v>
      </c>
      <c r="S6" t="s">
        <v>157</v>
      </c>
      <c r="T6" t="s">
        <v>179</v>
      </c>
      <c r="U6" t="s">
        <v>180</v>
      </c>
      <c r="W6" t="s">
        <v>161</v>
      </c>
      <c r="X6" t="s">
        <v>181</v>
      </c>
      <c r="Y6" t="s">
        <v>93</v>
      </c>
      <c r="Z6" t="s">
        <v>182</v>
      </c>
      <c r="AA6" t="s">
        <v>183</v>
      </c>
      <c r="AB6" t="s">
        <v>163</v>
      </c>
      <c r="AC6" t="s">
        <v>184</v>
      </c>
      <c r="AD6" t="s">
        <v>182</v>
      </c>
      <c r="AE6" t="s">
        <v>183</v>
      </c>
      <c r="AF6" t="s">
        <v>163</v>
      </c>
      <c r="AG6" t="s">
        <v>184</v>
      </c>
      <c r="AI6" t="s">
        <v>185</v>
      </c>
      <c r="AJ6" t="s">
        <v>182</v>
      </c>
      <c r="AK6" t="s">
        <v>99</v>
      </c>
      <c r="AL6" t="s">
        <v>186</v>
      </c>
      <c r="AM6" t="s">
        <v>187</v>
      </c>
      <c r="AQ6" t="s">
        <v>188</v>
      </c>
      <c r="AR6" t="s">
        <v>125</v>
      </c>
      <c r="AT6" t="s">
        <v>189</v>
      </c>
      <c r="AU6" t="s">
        <v>171</v>
      </c>
      <c r="AV6" t="s">
        <v>190</v>
      </c>
      <c r="AZ6" t="s">
        <v>80</v>
      </c>
    </row>
    <row r="7" spans="1:52" hidden="1" x14ac:dyDescent="0.25">
      <c r="A7" t="s">
        <v>191</v>
      </c>
      <c r="B7" t="s">
        <v>192</v>
      </c>
      <c r="C7" t="s">
        <v>193</v>
      </c>
      <c r="D7" t="s">
        <v>150</v>
      </c>
      <c r="E7" t="s">
        <v>194</v>
      </c>
      <c r="F7" t="s">
        <v>195</v>
      </c>
      <c r="G7" t="s">
        <v>195</v>
      </c>
      <c r="H7" t="s">
        <v>196</v>
      </c>
      <c r="J7" t="s">
        <v>80</v>
      </c>
      <c r="K7" t="s">
        <v>110</v>
      </c>
      <c r="L7" t="s">
        <v>111</v>
      </c>
      <c r="M7">
        <v>66520</v>
      </c>
      <c r="P7" t="s">
        <v>154</v>
      </c>
      <c r="Q7" t="s">
        <v>155</v>
      </c>
      <c r="R7" t="s">
        <v>156</v>
      </c>
      <c r="S7" t="s">
        <v>157</v>
      </c>
      <c r="T7" t="s">
        <v>179</v>
      </c>
      <c r="U7" t="s">
        <v>197</v>
      </c>
      <c r="V7" t="s">
        <v>198</v>
      </c>
      <c r="W7" t="s">
        <v>161</v>
      </c>
      <c r="X7" t="s">
        <v>181</v>
      </c>
      <c r="Y7" t="s">
        <v>93</v>
      </c>
      <c r="Z7" t="s">
        <v>163</v>
      </c>
      <c r="AA7" t="s">
        <v>199</v>
      </c>
      <c r="AB7" t="s">
        <v>182</v>
      </c>
      <c r="AC7" t="s">
        <v>200</v>
      </c>
      <c r="AD7" t="s">
        <v>163</v>
      </c>
      <c r="AE7" t="s">
        <v>199</v>
      </c>
      <c r="AF7" t="s">
        <v>182</v>
      </c>
      <c r="AG7" t="s">
        <v>200</v>
      </c>
      <c r="AI7" t="s">
        <v>201</v>
      </c>
      <c r="AJ7" t="s">
        <v>163</v>
      </c>
      <c r="AK7" t="s">
        <v>99</v>
      </c>
      <c r="AL7" t="s">
        <v>202</v>
      </c>
      <c r="AM7" t="s">
        <v>187</v>
      </c>
      <c r="AQ7" t="s">
        <v>203</v>
      </c>
      <c r="AR7" t="s">
        <v>125</v>
      </c>
      <c r="AT7" t="s">
        <v>204</v>
      </c>
      <c r="AU7" t="s">
        <v>171</v>
      </c>
      <c r="AV7" t="s">
        <v>128</v>
      </c>
      <c r="AZ7" t="s">
        <v>80</v>
      </c>
    </row>
    <row r="8" spans="1:52" hidden="1" x14ac:dyDescent="0.25">
      <c r="A8" t="s">
        <v>205</v>
      </c>
      <c r="B8" t="s">
        <v>206</v>
      </c>
      <c r="C8" t="s">
        <v>207</v>
      </c>
      <c r="D8" t="s">
        <v>150</v>
      </c>
      <c r="E8" t="s">
        <v>208</v>
      </c>
      <c r="F8" t="s">
        <v>209</v>
      </c>
      <c r="G8" t="s">
        <v>209</v>
      </c>
      <c r="H8" t="s">
        <v>210</v>
      </c>
      <c r="J8" t="s">
        <v>80</v>
      </c>
      <c r="K8" t="s">
        <v>110</v>
      </c>
      <c r="L8" t="s">
        <v>111</v>
      </c>
      <c r="M8">
        <v>66155</v>
      </c>
      <c r="O8" t="s">
        <v>211</v>
      </c>
      <c r="P8" t="s">
        <v>212</v>
      </c>
      <c r="Q8" t="s">
        <v>155</v>
      </c>
      <c r="R8" t="s">
        <v>156</v>
      </c>
      <c r="S8" t="s">
        <v>157</v>
      </c>
      <c r="T8" t="s">
        <v>158</v>
      </c>
      <c r="U8" t="s">
        <v>213</v>
      </c>
      <c r="V8" t="s">
        <v>214</v>
      </c>
      <c r="W8" t="s">
        <v>161</v>
      </c>
      <c r="X8" t="s">
        <v>162</v>
      </c>
      <c r="Y8" t="s">
        <v>93</v>
      </c>
      <c r="Z8" t="s">
        <v>119</v>
      </c>
      <c r="AA8" t="s">
        <v>215</v>
      </c>
      <c r="AB8" t="s">
        <v>163</v>
      </c>
      <c r="AC8" t="s">
        <v>216</v>
      </c>
      <c r="AD8" t="s">
        <v>119</v>
      </c>
      <c r="AE8" t="s">
        <v>215</v>
      </c>
      <c r="AF8" t="s">
        <v>163</v>
      </c>
      <c r="AG8" t="s">
        <v>216</v>
      </c>
      <c r="AI8" t="s">
        <v>217</v>
      </c>
      <c r="AJ8" t="s">
        <v>119</v>
      </c>
      <c r="AK8" t="s">
        <v>99</v>
      </c>
      <c r="AL8" t="s">
        <v>218</v>
      </c>
      <c r="AM8" t="s">
        <v>219</v>
      </c>
      <c r="AQ8" t="s">
        <v>220</v>
      </c>
      <c r="AR8" t="s">
        <v>125</v>
      </c>
      <c r="AT8" t="s">
        <v>221</v>
      </c>
      <c r="AU8" t="s">
        <v>222</v>
      </c>
      <c r="AV8" t="s">
        <v>190</v>
      </c>
      <c r="AZ8" t="s">
        <v>80</v>
      </c>
    </row>
    <row r="9" spans="1:52" hidden="1" x14ac:dyDescent="0.25">
      <c r="A9" t="s">
        <v>223</v>
      </c>
      <c r="B9" t="s">
        <v>224</v>
      </c>
      <c r="C9" t="s">
        <v>225</v>
      </c>
      <c r="D9" t="s">
        <v>78</v>
      </c>
      <c r="E9" t="s">
        <v>226</v>
      </c>
      <c r="F9" t="s">
        <v>227</v>
      </c>
      <c r="G9" t="s">
        <v>227</v>
      </c>
      <c r="H9" t="s">
        <v>228</v>
      </c>
      <c r="J9" t="s">
        <v>80</v>
      </c>
      <c r="K9" t="s">
        <v>110</v>
      </c>
      <c r="L9" t="s">
        <v>111</v>
      </c>
      <c r="M9" t="s">
        <v>229</v>
      </c>
      <c r="P9" t="s">
        <v>84</v>
      </c>
      <c r="Q9" t="s">
        <v>85</v>
      </c>
      <c r="R9" t="s">
        <v>86</v>
      </c>
      <c r="S9" t="s">
        <v>87</v>
      </c>
      <c r="T9" t="s">
        <v>113</v>
      </c>
      <c r="U9" t="s">
        <v>230</v>
      </c>
      <c r="V9" t="s">
        <v>231</v>
      </c>
      <c r="W9" t="s">
        <v>232</v>
      </c>
      <c r="X9" t="s">
        <v>233</v>
      </c>
      <c r="Y9" t="s">
        <v>93</v>
      </c>
      <c r="Z9" t="s">
        <v>94</v>
      </c>
      <c r="AA9" t="s">
        <v>95</v>
      </c>
      <c r="AB9" t="s">
        <v>119</v>
      </c>
      <c r="AC9" t="s">
        <v>234</v>
      </c>
      <c r="AD9" t="s">
        <v>94</v>
      </c>
      <c r="AE9" t="s">
        <v>95</v>
      </c>
      <c r="AF9" t="s">
        <v>119</v>
      </c>
      <c r="AG9" t="s">
        <v>234</v>
      </c>
      <c r="AI9" t="s">
        <v>98</v>
      </c>
      <c r="AJ9" t="s">
        <v>94</v>
      </c>
      <c r="AK9" t="s">
        <v>99</v>
      </c>
      <c r="AL9" t="s">
        <v>235</v>
      </c>
      <c r="AM9" t="s">
        <v>219</v>
      </c>
      <c r="AQ9" t="s">
        <v>236</v>
      </c>
      <c r="AR9" t="s">
        <v>125</v>
      </c>
      <c r="AT9" t="s">
        <v>237</v>
      </c>
      <c r="AU9" t="s">
        <v>127</v>
      </c>
      <c r="AV9" t="s">
        <v>128</v>
      </c>
      <c r="AZ9" t="s">
        <v>80</v>
      </c>
    </row>
    <row r="10" spans="1:52" hidden="1" x14ac:dyDescent="0.25">
      <c r="A10" t="s">
        <v>238</v>
      </c>
      <c r="B10" t="s">
        <v>239</v>
      </c>
      <c r="C10" t="s">
        <v>240</v>
      </c>
      <c r="D10" t="s">
        <v>150</v>
      </c>
      <c r="E10" t="s">
        <v>241</v>
      </c>
      <c r="F10" t="s">
        <v>242</v>
      </c>
      <c r="G10" t="s">
        <v>242</v>
      </c>
      <c r="H10" t="s">
        <v>243</v>
      </c>
      <c r="J10" t="s">
        <v>80</v>
      </c>
      <c r="K10" t="s">
        <v>110</v>
      </c>
      <c r="L10" t="s">
        <v>111</v>
      </c>
      <c r="M10">
        <v>69777</v>
      </c>
      <c r="P10" t="s">
        <v>154</v>
      </c>
      <c r="Q10" t="s">
        <v>155</v>
      </c>
      <c r="R10" t="s">
        <v>156</v>
      </c>
      <c r="S10" t="s">
        <v>157</v>
      </c>
      <c r="T10" t="s">
        <v>244</v>
      </c>
      <c r="U10" t="s">
        <v>245</v>
      </c>
      <c r="V10" t="s">
        <v>246</v>
      </c>
      <c r="W10" t="s">
        <v>247</v>
      </c>
      <c r="X10" t="s">
        <v>248</v>
      </c>
      <c r="Y10" t="s">
        <v>93</v>
      </c>
      <c r="Z10" t="s">
        <v>249</v>
      </c>
      <c r="AA10" t="s">
        <v>250</v>
      </c>
      <c r="AB10" t="s">
        <v>119</v>
      </c>
      <c r="AC10" t="s">
        <v>251</v>
      </c>
      <c r="AD10" t="s">
        <v>249</v>
      </c>
      <c r="AE10" t="s">
        <v>250</v>
      </c>
      <c r="AF10" t="s">
        <v>119</v>
      </c>
      <c r="AG10" t="s">
        <v>251</v>
      </c>
      <c r="AI10" t="s">
        <v>252</v>
      </c>
      <c r="AJ10" t="s">
        <v>249</v>
      </c>
      <c r="AK10" t="s">
        <v>99</v>
      </c>
      <c r="AL10" t="s">
        <v>253</v>
      </c>
      <c r="AM10" t="s">
        <v>254</v>
      </c>
      <c r="AQ10" t="s">
        <v>255</v>
      </c>
      <c r="AR10" t="s">
        <v>125</v>
      </c>
      <c r="AT10" t="s">
        <v>256</v>
      </c>
      <c r="AU10" t="s">
        <v>171</v>
      </c>
      <c r="AV10" t="s">
        <v>128</v>
      </c>
      <c r="AZ10" t="s">
        <v>80</v>
      </c>
    </row>
    <row r="11" spans="1:52" hidden="1" x14ac:dyDescent="0.25">
      <c r="A11" t="s">
        <v>257</v>
      </c>
      <c r="B11" t="s">
        <v>239</v>
      </c>
      <c r="C11" t="s">
        <v>258</v>
      </c>
      <c r="D11" t="s">
        <v>150</v>
      </c>
      <c r="E11" t="s">
        <v>259</v>
      </c>
      <c r="F11" t="s">
        <v>242</v>
      </c>
      <c r="G11" t="s">
        <v>242</v>
      </c>
      <c r="H11" t="s">
        <v>260</v>
      </c>
      <c r="J11" t="s">
        <v>80</v>
      </c>
      <c r="K11" t="s">
        <v>110</v>
      </c>
      <c r="L11" t="s">
        <v>111</v>
      </c>
      <c r="M11">
        <v>69777</v>
      </c>
      <c r="P11" t="s">
        <v>154</v>
      </c>
      <c r="Q11" t="s">
        <v>155</v>
      </c>
      <c r="R11" t="s">
        <v>156</v>
      </c>
      <c r="S11" t="s">
        <v>157</v>
      </c>
      <c r="T11" t="s">
        <v>244</v>
      </c>
      <c r="U11" t="s">
        <v>245</v>
      </c>
      <c r="V11" t="s">
        <v>246</v>
      </c>
      <c r="W11" t="s">
        <v>261</v>
      </c>
      <c r="X11" t="s">
        <v>248</v>
      </c>
      <c r="Y11" t="s">
        <v>93</v>
      </c>
      <c r="Z11" t="s">
        <v>249</v>
      </c>
      <c r="AA11" t="s">
        <v>250</v>
      </c>
      <c r="AB11" t="s">
        <v>119</v>
      </c>
      <c r="AC11" t="s">
        <v>251</v>
      </c>
      <c r="AD11" t="s">
        <v>249</v>
      </c>
      <c r="AE11" t="s">
        <v>250</v>
      </c>
      <c r="AF11" t="s">
        <v>119</v>
      </c>
      <c r="AG11" t="s">
        <v>251</v>
      </c>
      <c r="AI11" t="s">
        <v>252</v>
      </c>
      <c r="AJ11" t="s">
        <v>249</v>
      </c>
      <c r="AK11" t="s">
        <v>99</v>
      </c>
      <c r="AL11" t="s">
        <v>262</v>
      </c>
      <c r="AM11" t="s">
        <v>263</v>
      </c>
      <c r="AQ11" t="s">
        <v>264</v>
      </c>
      <c r="AR11" t="s">
        <v>125</v>
      </c>
      <c r="AT11" t="s">
        <v>265</v>
      </c>
      <c r="AU11" t="s">
        <v>171</v>
      </c>
      <c r="AV11" t="s">
        <v>128</v>
      </c>
      <c r="AZ11" t="s">
        <v>80</v>
      </c>
    </row>
    <row r="12" spans="1:52" hidden="1" x14ac:dyDescent="0.25">
      <c r="A12" t="s">
        <v>2437</v>
      </c>
      <c r="B12" t="s">
        <v>2438</v>
      </c>
      <c r="C12" t="s">
        <v>2439</v>
      </c>
      <c r="D12" t="s">
        <v>78</v>
      </c>
      <c r="E12" t="s">
        <v>2440</v>
      </c>
      <c r="F12" t="s">
        <v>2441</v>
      </c>
      <c r="G12" t="s">
        <v>2441</v>
      </c>
      <c r="H12" t="s">
        <v>2442</v>
      </c>
      <c r="J12" t="s">
        <v>80</v>
      </c>
      <c r="K12" t="s">
        <v>81</v>
      </c>
      <c r="L12" t="s">
        <v>111</v>
      </c>
      <c r="M12" t="s">
        <v>2443</v>
      </c>
      <c r="O12" t="s">
        <v>2162</v>
      </c>
      <c r="P12" t="s">
        <v>154</v>
      </c>
      <c r="Q12" t="s">
        <v>155</v>
      </c>
      <c r="R12" t="s">
        <v>156</v>
      </c>
      <c r="S12" t="s">
        <v>157</v>
      </c>
      <c r="T12" t="s">
        <v>2318</v>
      </c>
      <c r="U12" t="s">
        <v>2241</v>
      </c>
      <c r="V12" t="s">
        <v>2242</v>
      </c>
      <c r="W12" t="s">
        <v>797</v>
      </c>
      <c r="X12" t="s">
        <v>2319</v>
      </c>
      <c r="Y12" t="s">
        <v>93</v>
      </c>
      <c r="Z12" t="s">
        <v>119</v>
      </c>
      <c r="AA12" t="s">
        <v>1379</v>
      </c>
      <c r="AB12" t="s">
        <v>249</v>
      </c>
      <c r="AC12" t="s">
        <v>2444</v>
      </c>
      <c r="AD12" t="s">
        <v>119</v>
      </c>
      <c r="AE12" t="s">
        <v>1379</v>
      </c>
      <c r="AF12" t="s">
        <v>249</v>
      </c>
      <c r="AG12" t="s">
        <v>2444</v>
      </c>
      <c r="AI12" t="s">
        <v>1381</v>
      </c>
      <c r="AJ12" t="s">
        <v>119</v>
      </c>
      <c r="AK12" t="s">
        <v>99</v>
      </c>
      <c r="AL12" t="s">
        <v>2445</v>
      </c>
      <c r="AM12" t="s">
        <v>2446</v>
      </c>
      <c r="AQ12" t="s">
        <v>2447</v>
      </c>
      <c r="AR12" t="s">
        <v>125</v>
      </c>
      <c r="AT12" t="s">
        <v>2448</v>
      </c>
      <c r="AU12" t="s">
        <v>2173</v>
      </c>
      <c r="AV12" t="s">
        <v>128</v>
      </c>
      <c r="AZ12" t="s">
        <v>80</v>
      </c>
    </row>
    <row r="13" spans="1:52" hidden="1" x14ac:dyDescent="0.25">
      <c r="A13" t="s">
        <v>7069</v>
      </c>
      <c r="B13" t="s">
        <v>7070</v>
      </c>
      <c r="C13" t="s">
        <v>7071</v>
      </c>
      <c r="D13" t="s">
        <v>2544</v>
      </c>
      <c r="E13" t="s">
        <v>7072</v>
      </c>
      <c r="F13" t="s">
        <v>7073</v>
      </c>
      <c r="G13" t="s">
        <v>7073</v>
      </c>
      <c r="J13" t="s">
        <v>80</v>
      </c>
      <c r="K13" t="s">
        <v>110</v>
      </c>
      <c r="L13" t="s">
        <v>111</v>
      </c>
      <c r="M13" t="s">
        <v>7074</v>
      </c>
      <c r="O13" t="s">
        <v>2162</v>
      </c>
      <c r="P13" t="s">
        <v>154</v>
      </c>
      <c r="Q13" t="s">
        <v>155</v>
      </c>
      <c r="R13" t="s">
        <v>156</v>
      </c>
      <c r="S13" t="s">
        <v>157</v>
      </c>
      <c r="T13" t="s">
        <v>2318</v>
      </c>
      <c r="U13" t="s">
        <v>2361</v>
      </c>
      <c r="V13" t="s">
        <v>2213</v>
      </c>
      <c r="W13" t="s">
        <v>161</v>
      </c>
      <c r="X13" t="s">
        <v>7015</v>
      </c>
      <c r="Y13" t="s">
        <v>93</v>
      </c>
      <c r="Z13" t="s">
        <v>119</v>
      </c>
      <c r="AA13" t="s">
        <v>6614</v>
      </c>
      <c r="AB13" t="s">
        <v>249</v>
      </c>
      <c r="AC13" t="s">
        <v>7075</v>
      </c>
      <c r="AD13" t="s">
        <v>119</v>
      </c>
      <c r="AE13" t="s">
        <v>6614</v>
      </c>
      <c r="AF13" t="s">
        <v>249</v>
      </c>
      <c r="AG13" t="s">
        <v>7075</v>
      </c>
      <c r="AI13" t="s">
        <v>7076</v>
      </c>
      <c r="AJ13" t="s">
        <v>119</v>
      </c>
      <c r="AK13" t="s">
        <v>99</v>
      </c>
      <c r="AL13" t="s">
        <v>7077</v>
      </c>
      <c r="AM13" t="s">
        <v>7078</v>
      </c>
      <c r="AN13" t="s">
        <v>2555</v>
      </c>
      <c r="AR13" t="s">
        <v>125</v>
      </c>
      <c r="AT13" t="s">
        <v>7079</v>
      </c>
      <c r="AV13" t="s">
        <v>128</v>
      </c>
      <c r="AZ13" t="s">
        <v>80</v>
      </c>
    </row>
    <row r="14" spans="1:52" hidden="1" x14ac:dyDescent="0.25">
      <c r="A14" t="s">
        <v>291</v>
      </c>
      <c r="B14" t="s">
        <v>292</v>
      </c>
      <c r="C14" t="s">
        <v>293</v>
      </c>
      <c r="D14" t="s">
        <v>150</v>
      </c>
      <c r="E14" t="s">
        <v>294</v>
      </c>
      <c r="F14" t="s">
        <v>295</v>
      </c>
      <c r="G14" t="s">
        <v>295</v>
      </c>
      <c r="H14" t="s">
        <v>296</v>
      </c>
      <c r="J14" t="s">
        <v>80</v>
      </c>
      <c r="K14" t="s">
        <v>110</v>
      </c>
      <c r="L14" t="s">
        <v>111</v>
      </c>
      <c r="M14" t="s">
        <v>297</v>
      </c>
      <c r="O14" t="s">
        <v>298</v>
      </c>
      <c r="P14" t="s">
        <v>154</v>
      </c>
      <c r="Q14" t="s">
        <v>155</v>
      </c>
      <c r="R14" t="s">
        <v>156</v>
      </c>
      <c r="S14" t="s">
        <v>157</v>
      </c>
      <c r="T14" t="s">
        <v>299</v>
      </c>
      <c r="U14" t="s">
        <v>300</v>
      </c>
      <c r="V14" t="s">
        <v>301</v>
      </c>
      <c r="W14" t="s">
        <v>302</v>
      </c>
      <c r="X14" t="s">
        <v>303</v>
      </c>
      <c r="Y14" t="s">
        <v>93</v>
      </c>
      <c r="Z14" t="s">
        <v>304</v>
      </c>
      <c r="AA14" t="s">
        <v>305</v>
      </c>
      <c r="AB14" t="s">
        <v>119</v>
      </c>
      <c r="AC14" t="s">
        <v>306</v>
      </c>
      <c r="AD14" t="s">
        <v>304</v>
      </c>
      <c r="AE14" t="s">
        <v>305</v>
      </c>
      <c r="AF14" t="s">
        <v>119</v>
      </c>
      <c r="AG14" t="s">
        <v>306</v>
      </c>
      <c r="AI14" t="s">
        <v>307</v>
      </c>
      <c r="AJ14" t="s">
        <v>304</v>
      </c>
      <c r="AK14" t="s">
        <v>99</v>
      </c>
      <c r="AL14" t="s">
        <v>308</v>
      </c>
      <c r="AM14" t="s">
        <v>309</v>
      </c>
      <c r="AQ14" t="s">
        <v>310</v>
      </c>
      <c r="AR14" t="s">
        <v>125</v>
      </c>
      <c r="AT14" t="s">
        <v>311</v>
      </c>
      <c r="AU14" t="s">
        <v>312</v>
      </c>
      <c r="AV14" t="s">
        <v>190</v>
      </c>
      <c r="AZ14" t="s">
        <v>80</v>
      </c>
    </row>
    <row r="15" spans="1:52" hidden="1" x14ac:dyDescent="0.25">
      <c r="A15" t="s">
        <v>313</v>
      </c>
      <c r="B15" t="s">
        <v>314</v>
      </c>
      <c r="C15" t="s">
        <v>315</v>
      </c>
      <c r="D15" t="s">
        <v>150</v>
      </c>
      <c r="E15" t="s">
        <v>316</v>
      </c>
      <c r="F15" t="s">
        <v>317</v>
      </c>
      <c r="G15" t="s">
        <v>317</v>
      </c>
      <c r="H15" t="s">
        <v>318</v>
      </c>
      <c r="J15" t="s">
        <v>80</v>
      </c>
      <c r="K15" t="s">
        <v>110</v>
      </c>
      <c r="L15" t="s">
        <v>111</v>
      </c>
      <c r="M15" t="s">
        <v>319</v>
      </c>
      <c r="P15" t="s">
        <v>154</v>
      </c>
      <c r="Q15" t="s">
        <v>155</v>
      </c>
      <c r="R15" t="s">
        <v>156</v>
      </c>
      <c r="S15" t="s">
        <v>157</v>
      </c>
      <c r="T15" t="s">
        <v>320</v>
      </c>
      <c r="U15" t="s">
        <v>321</v>
      </c>
      <c r="V15" t="s">
        <v>322</v>
      </c>
      <c r="W15" t="s">
        <v>247</v>
      </c>
      <c r="X15" t="s">
        <v>323</v>
      </c>
      <c r="Y15" t="s">
        <v>93</v>
      </c>
      <c r="Z15" t="s">
        <v>249</v>
      </c>
      <c r="AA15" t="s">
        <v>324</v>
      </c>
      <c r="AB15" t="s">
        <v>304</v>
      </c>
      <c r="AC15" t="s">
        <v>325</v>
      </c>
      <c r="AD15" t="s">
        <v>249</v>
      </c>
      <c r="AE15" t="s">
        <v>324</v>
      </c>
      <c r="AF15" t="s">
        <v>304</v>
      </c>
      <c r="AG15" t="s">
        <v>325</v>
      </c>
      <c r="AI15" t="s">
        <v>326</v>
      </c>
      <c r="AJ15" t="s">
        <v>249</v>
      </c>
      <c r="AK15" t="s">
        <v>99</v>
      </c>
      <c r="AL15" t="s">
        <v>327</v>
      </c>
      <c r="AM15" t="s">
        <v>328</v>
      </c>
      <c r="AQ15" t="s">
        <v>329</v>
      </c>
      <c r="AR15" t="s">
        <v>125</v>
      </c>
      <c r="AT15" t="s">
        <v>330</v>
      </c>
      <c r="AU15" t="s">
        <v>312</v>
      </c>
      <c r="AV15" t="s">
        <v>128</v>
      </c>
      <c r="AZ15" t="s">
        <v>80</v>
      </c>
    </row>
    <row r="16" spans="1:52" hidden="1" x14ac:dyDescent="0.25">
      <c r="A16" t="s">
        <v>331</v>
      </c>
      <c r="B16" t="s">
        <v>314</v>
      </c>
      <c r="C16" t="s">
        <v>332</v>
      </c>
      <c r="D16" t="s">
        <v>150</v>
      </c>
      <c r="E16" t="s">
        <v>333</v>
      </c>
      <c r="F16" t="s">
        <v>317</v>
      </c>
      <c r="G16" t="s">
        <v>317</v>
      </c>
      <c r="H16" t="s">
        <v>334</v>
      </c>
      <c r="J16" t="s">
        <v>80</v>
      </c>
      <c r="K16" t="s">
        <v>110</v>
      </c>
      <c r="L16" t="s">
        <v>111</v>
      </c>
      <c r="M16" t="s">
        <v>319</v>
      </c>
      <c r="P16" t="s">
        <v>154</v>
      </c>
      <c r="Q16" t="s">
        <v>155</v>
      </c>
      <c r="R16" t="s">
        <v>156</v>
      </c>
      <c r="S16" t="s">
        <v>157</v>
      </c>
      <c r="T16" t="s">
        <v>320</v>
      </c>
      <c r="U16" t="s">
        <v>321</v>
      </c>
      <c r="V16" t="s">
        <v>322</v>
      </c>
      <c r="W16" t="s">
        <v>261</v>
      </c>
      <c r="X16" t="s">
        <v>323</v>
      </c>
      <c r="Y16" t="s">
        <v>93</v>
      </c>
      <c r="Z16" t="s">
        <v>249</v>
      </c>
      <c r="AA16" t="s">
        <v>324</v>
      </c>
      <c r="AB16" t="s">
        <v>304</v>
      </c>
      <c r="AC16" t="s">
        <v>325</v>
      </c>
      <c r="AD16" t="s">
        <v>249</v>
      </c>
      <c r="AE16" t="s">
        <v>324</v>
      </c>
      <c r="AF16" t="s">
        <v>304</v>
      </c>
      <c r="AG16" t="s">
        <v>325</v>
      </c>
      <c r="AI16" t="s">
        <v>326</v>
      </c>
      <c r="AJ16" t="s">
        <v>249</v>
      </c>
      <c r="AK16" t="s">
        <v>99</v>
      </c>
      <c r="AL16" t="s">
        <v>335</v>
      </c>
      <c r="AM16" t="s">
        <v>336</v>
      </c>
      <c r="AQ16" t="s">
        <v>337</v>
      </c>
      <c r="AR16" t="s">
        <v>125</v>
      </c>
      <c r="AT16" t="s">
        <v>338</v>
      </c>
      <c r="AU16" t="s">
        <v>312</v>
      </c>
      <c r="AV16" t="s">
        <v>128</v>
      </c>
      <c r="AZ16" t="s">
        <v>80</v>
      </c>
    </row>
    <row r="17" spans="1:52" hidden="1" x14ac:dyDescent="0.25">
      <c r="A17" t="s">
        <v>339</v>
      </c>
      <c r="B17" t="s">
        <v>340</v>
      </c>
      <c r="C17" t="s">
        <v>341</v>
      </c>
      <c r="D17" t="s">
        <v>150</v>
      </c>
      <c r="E17" t="s">
        <v>342</v>
      </c>
      <c r="F17" t="s">
        <v>343</v>
      </c>
      <c r="G17" t="s">
        <v>343</v>
      </c>
      <c r="H17" t="s">
        <v>344</v>
      </c>
      <c r="J17" t="s">
        <v>80</v>
      </c>
      <c r="K17" t="s">
        <v>110</v>
      </c>
      <c r="L17" t="s">
        <v>111</v>
      </c>
      <c r="M17">
        <v>69771</v>
      </c>
      <c r="P17" t="s">
        <v>154</v>
      </c>
      <c r="Q17" t="s">
        <v>155</v>
      </c>
      <c r="R17" t="s">
        <v>156</v>
      </c>
      <c r="S17" t="s">
        <v>157</v>
      </c>
      <c r="T17" t="s">
        <v>244</v>
      </c>
      <c r="U17" t="s">
        <v>345</v>
      </c>
      <c r="V17" t="s">
        <v>346</v>
      </c>
      <c r="W17" t="s">
        <v>347</v>
      </c>
      <c r="X17" t="s">
        <v>348</v>
      </c>
      <c r="Y17" t="s">
        <v>93</v>
      </c>
      <c r="Z17" t="s">
        <v>249</v>
      </c>
      <c r="AA17" t="s">
        <v>349</v>
      </c>
      <c r="AB17" t="s">
        <v>119</v>
      </c>
      <c r="AC17" t="s">
        <v>350</v>
      </c>
      <c r="AD17" t="s">
        <v>249</v>
      </c>
      <c r="AE17" t="s">
        <v>349</v>
      </c>
      <c r="AF17" t="s">
        <v>119</v>
      </c>
      <c r="AG17" t="s">
        <v>350</v>
      </c>
      <c r="AI17" t="s">
        <v>351</v>
      </c>
      <c r="AJ17" t="s">
        <v>249</v>
      </c>
      <c r="AK17" t="s">
        <v>99</v>
      </c>
      <c r="AL17" t="s">
        <v>352</v>
      </c>
      <c r="AM17" t="s">
        <v>336</v>
      </c>
      <c r="AQ17" t="s">
        <v>353</v>
      </c>
      <c r="AR17" t="s">
        <v>125</v>
      </c>
      <c r="AT17" t="s">
        <v>354</v>
      </c>
      <c r="AU17" t="s">
        <v>312</v>
      </c>
      <c r="AV17" t="s">
        <v>128</v>
      </c>
      <c r="AZ17" t="s">
        <v>80</v>
      </c>
    </row>
    <row r="18" spans="1:52" hidden="1" x14ac:dyDescent="0.25">
      <c r="A18" t="s">
        <v>355</v>
      </c>
      <c r="B18" t="s">
        <v>340</v>
      </c>
      <c r="C18" t="s">
        <v>356</v>
      </c>
      <c r="D18" t="s">
        <v>150</v>
      </c>
      <c r="E18" t="s">
        <v>357</v>
      </c>
      <c r="F18" t="s">
        <v>343</v>
      </c>
      <c r="G18" t="s">
        <v>343</v>
      </c>
      <c r="H18" t="s">
        <v>358</v>
      </c>
      <c r="J18" t="s">
        <v>80</v>
      </c>
      <c r="K18" t="s">
        <v>110</v>
      </c>
      <c r="L18" t="s">
        <v>111</v>
      </c>
      <c r="M18">
        <v>69771</v>
      </c>
      <c r="P18" t="s">
        <v>154</v>
      </c>
      <c r="Q18" t="s">
        <v>155</v>
      </c>
      <c r="R18" t="s">
        <v>156</v>
      </c>
      <c r="S18" t="s">
        <v>157</v>
      </c>
      <c r="T18" t="s">
        <v>244</v>
      </c>
      <c r="U18" t="s">
        <v>345</v>
      </c>
      <c r="V18" t="s">
        <v>346</v>
      </c>
      <c r="W18" t="s">
        <v>359</v>
      </c>
      <c r="X18" t="s">
        <v>360</v>
      </c>
      <c r="Y18" t="s">
        <v>93</v>
      </c>
      <c r="Z18" t="s">
        <v>249</v>
      </c>
      <c r="AA18" t="s">
        <v>349</v>
      </c>
      <c r="AB18" t="s">
        <v>119</v>
      </c>
      <c r="AC18" t="s">
        <v>350</v>
      </c>
      <c r="AD18" t="s">
        <v>249</v>
      </c>
      <c r="AE18" t="s">
        <v>349</v>
      </c>
      <c r="AF18" t="s">
        <v>119</v>
      </c>
      <c r="AG18" t="s">
        <v>350</v>
      </c>
      <c r="AI18" t="s">
        <v>351</v>
      </c>
      <c r="AJ18" t="s">
        <v>249</v>
      </c>
      <c r="AK18" t="s">
        <v>99</v>
      </c>
      <c r="AL18" t="s">
        <v>361</v>
      </c>
      <c r="AM18" t="s">
        <v>328</v>
      </c>
      <c r="AQ18" t="s">
        <v>362</v>
      </c>
      <c r="AR18" t="s">
        <v>125</v>
      </c>
      <c r="AT18" t="s">
        <v>363</v>
      </c>
      <c r="AU18" t="s">
        <v>312</v>
      </c>
      <c r="AV18" t="s">
        <v>128</v>
      </c>
      <c r="AZ18" t="s">
        <v>80</v>
      </c>
    </row>
    <row r="19" spans="1:52" hidden="1" x14ac:dyDescent="0.25">
      <c r="A19" t="s">
        <v>364</v>
      </c>
      <c r="B19" t="s">
        <v>365</v>
      </c>
      <c r="C19" t="s">
        <v>366</v>
      </c>
      <c r="D19" t="s">
        <v>150</v>
      </c>
      <c r="E19" t="s">
        <v>367</v>
      </c>
      <c r="F19" t="s">
        <v>368</v>
      </c>
      <c r="G19" t="s">
        <v>368</v>
      </c>
      <c r="H19" t="s">
        <v>369</v>
      </c>
      <c r="J19" t="s">
        <v>80</v>
      </c>
      <c r="K19" t="s">
        <v>110</v>
      </c>
      <c r="L19" t="s">
        <v>111</v>
      </c>
      <c r="M19" t="s">
        <v>370</v>
      </c>
      <c r="P19" t="s">
        <v>154</v>
      </c>
      <c r="Q19" t="s">
        <v>155</v>
      </c>
      <c r="R19" t="s">
        <v>156</v>
      </c>
      <c r="S19" t="s">
        <v>157</v>
      </c>
      <c r="T19" t="s">
        <v>371</v>
      </c>
      <c r="U19" t="s">
        <v>372</v>
      </c>
      <c r="V19" t="s">
        <v>373</v>
      </c>
      <c r="W19" t="s">
        <v>359</v>
      </c>
      <c r="X19" t="s">
        <v>374</v>
      </c>
      <c r="Y19" t="s">
        <v>93</v>
      </c>
      <c r="Z19" t="s">
        <v>375</v>
      </c>
      <c r="AA19" t="s">
        <v>376</v>
      </c>
      <c r="AB19" t="s">
        <v>249</v>
      </c>
      <c r="AC19" t="s">
        <v>377</v>
      </c>
      <c r="AD19" t="s">
        <v>375</v>
      </c>
      <c r="AE19" t="s">
        <v>376</v>
      </c>
      <c r="AF19" t="s">
        <v>249</v>
      </c>
      <c r="AG19" t="s">
        <v>377</v>
      </c>
      <c r="AI19" t="s">
        <v>378</v>
      </c>
      <c r="AJ19" t="s">
        <v>375</v>
      </c>
      <c r="AK19" t="s">
        <v>99</v>
      </c>
      <c r="AL19" t="s">
        <v>379</v>
      </c>
      <c r="AM19" t="s">
        <v>380</v>
      </c>
      <c r="AQ19" t="s">
        <v>381</v>
      </c>
      <c r="AR19" t="s">
        <v>125</v>
      </c>
      <c r="AT19" t="s">
        <v>382</v>
      </c>
      <c r="AU19" t="s">
        <v>312</v>
      </c>
      <c r="AV19" t="s">
        <v>128</v>
      </c>
      <c r="AZ19" t="s">
        <v>80</v>
      </c>
    </row>
    <row r="20" spans="1:52" hidden="1" x14ac:dyDescent="0.25">
      <c r="A20" t="s">
        <v>383</v>
      </c>
      <c r="B20" t="s">
        <v>365</v>
      </c>
      <c r="C20" t="s">
        <v>384</v>
      </c>
      <c r="D20" t="s">
        <v>150</v>
      </c>
      <c r="E20" t="s">
        <v>385</v>
      </c>
      <c r="F20" t="s">
        <v>368</v>
      </c>
      <c r="G20" t="s">
        <v>368</v>
      </c>
      <c r="H20" t="s">
        <v>386</v>
      </c>
      <c r="J20" t="s">
        <v>80</v>
      </c>
      <c r="K20" t="s">
        <v>110</v>
      </c>
      <c r="L20" t="s">
        <v>111</v>
      </c>
      <c r="M20" t="s">
        <v>370</v>
      </c>
      <c r="P20" t="s">
        <v>154</v>
      </c>
      <c r="Q20" t="s">
        <v>155</v>
      </c>
      <c r="R20" t="s">
        <v>156</v>
      </c>
      <c r="S20" t="s">
        <v>157</v>
      </c>
      <c r="T20" t="s">
        <v>371</v>
      </c>
      <c r="U20" t="s">
        <v>372</v>
      </c>
      <c r="V20" t="s">
        <v>373</v>
      </c>
      <c r="W20" t="s">
        <v>347</v>
      </c>
      <c r="X20" t="s">
        <v>387</v>
      </c>
      <c r="Y20" t="s">
        <v>93</v>
      </c>
      <c r="Z20" t="s">
        <v>375</v>
      </c>
      <c r="AA20" t="s">
        <v>376</v>
      </c>
      <c r="AB20" t="s">
        <v>249</v>
      </c>
      <c r="AC20" t="s">
        <v>377</v>
      </c>
      <c r="AD20" t="s">
        <v>375</v>
      </c>
      <c r="AE20" t="s">
        <v>376</v>
      </c>
      <c r="AF20" t="s">
        <v>249</v>
      </c>
      <c r="AG20" t="s">
        <v>377</v>
      </c>
      <c r="AI20" t="s">
        <v>378</v>
      </c>
      <c r="AJ20" t="s">
        <v>375</v>
      </c>
      <c r="AK20" t="s">
        <v>99</v>
      </c>
      <c r="AL20" t="s">
        <v>388</v>
      </c>
      <c r="AM20" t="s">
        <v>389</v>
      </c>
      <c r="AQ20" t="s">
        <v>390</v>
      </c>
      <c r="AR20" t="s">
        <v>125</v>
      </c>
      <c r="AT20" t="s">
        <v>391</v>
      </c>
      <c r="AU20" t="s">
        <v>312</v>
      </c>
      <c r="AV20" t="s">
        <v>128</v>
      </c>
      <c r="AZ20" t="s">
        <v>80</v>
      </c>
    </row>
    <row r="21" spans="1:52" hidden="1" x14ac:dyDescent="0.25">
      <c r="A21" t="s">
        <v>392</v>
      </c>
      <c r="B21" t="s">
        <v>393</v>
      </c>
      <c r="C21" t="s">
        <v>394</v>
      </c>
      <c r="D21" t="s">
        <v>150</v>
      </c>
      <c r="E21" t="s">
        <v>395</v>
      </c>
      <c r="F21" t="s">
        <v>396</v>
      </c>
      <c r="G21" t="s">
        <v>396</v>
      </c>
      <c r="H21" t="s">
        <v>397</v>
      </c>
      <c r="J21" t="s">
        <v>80</v>
      </c>
      <c r="K21" t="s">
        <v>110</v>
      </c>
      <c r="L21" t="s">
        <v>111</v>
      </c>
      <c r="M21" t="s">
        <v>398</v>
      </c>
      <c r="P21" t="s">
        <v>154</v>
      </c>
      <c r="Q21" t="s">
        <v>155</v>
      </c>
      <c r="R21" t="s">
        <v>156</v>
      </c>
      <c r="S21" t="s">
        <v>157</v>
      </c>
      <c r="T21" t="s">
        <v>399</v>
      </c>
      <c r="U21" t="s">
        <v>400</v>
      </c>
      <c r="V21" t="s">
        <v>401</v>
      </c>
      <c r="W21" t="s">
        <v>359</v>
      </c>
      <c r="X21" t="s">
        <v>402</v>
      </c>
      <c r="Y21" t="s">
        <v>93</v>
      </c>
      <c r="Z21" t="s">
        <v>249</v>
      </c>
      <c r="AA21" t="s">
        <v>324</v>
      </c>
      <c r="AB21" t="s">
        <v>375</v>
      </c>
      <c r="AC21" t="s">
        <v>403</v>
      </c>
      <c r="AD21" t="s">
        <v>249</v>
      </c>
      <c r="AE21" t="s">
        <v>324</v>
      </c>
      <c r="AF21" t="s">
        <v>375</v>
      </c>
      <c r="AG21" t="s">
        <v>403</v>
      </c>
      <c r="AI21" t="s">
        <v>326</v>
      </c>
      <c r="AJ21" t="s">
        <v>249</v>
      </c>
      <c r="AK21" t="s">
        <v>99</v>
      </c>
      <c r="AL21" t="s">
        <v>404</v>
      </c>
      <c r="AM21" t="s">
        <v>405</v>
      </c>
      <c r="AQ21" t="s">
        <v>406</v>
      </c>
      <c r="AR21" t="s">
        <v>125</v>
      </c>
      <c r="AT21" t="s">
        <v>407</v>
      </c>
      <c r="AU21" t="s">
        <v>312</v>
      </c>
      <c r="AV21" t="s">
        <v>128</v>
      </c>
      <c r="AZ21" t="s">
        <v>80</v>
      </c>
    </row>
    <row r="22" spans="1:52" hidden="1" x14ac:dyDescent="0.25">
      <c r="A22" t="s">
        <v>408</v>
      </c>
      <c r="B22" t="s">
        <v>393</v>
      </c>
      <c r="C22" t="s">
        <v>409</v>
      </c>
      <c r="D22" t="s">
        <v>150</v>
      </c>
      <c r="E22" t="s">
        <v>410</v>
      </c>
      <c r="F22" t="s">
        <v>396</v>
      </c>
      <c r="G22" t="s">
        <v>396</v>
      </c>
      <c r="H22" t="s">
        <v>411</v>
      </c>
      <c r="J22" t="s">
        <v>80</v>
      </c>
      <c r="K22" t="s">
        <v>110</v>
      </c>
      <c r="L22" t="s">
        <v>111</v>
      </c>
      <c r="M22" t="s">
        <v>398</v>
      </c>
      <c r="P22" t="s">
        <v>154</v>
      </c>
      <c r="Q22" t="s">
        <v>155</v>
      </c>
      <c r="R22" t="s">
        <v>156</v>
      </c>
      <c r="S22" t="s">
        <v>157</v>
      </c>
      <c r="T22" t="s">
        <v>399</v>
      </c>
      <c r="U22" t="s">
        <v>400</v>
      </c>
      <c r="V22" t="s">
        <v>401</v>
      </c>
      <c r="W22" t="s">
        <v>347</v>
      </c>
      <c r="X22" t="s">
        <v>412</v>
      </c>
      <c r="Y22" t="s">
        <v>93</v>
      </c>
      <c r="Z22" t="s">
        <v>249</v>
      </c>
      <c r="AA22" t="s">
        <v>324</v>
      </c>
      <c r="AB22" t="s">
        <v>375</v>
      </c>
      <c r="AC22" t="s">
        <v>403</v>
      </c>
      <c r="AD22" t="s">
        <v>249</v>
      </c>
      <c r="AE22" t="s">
        <v>324</v>
      </c>
      <c r="AF22" t="s">
        <v>375</v>
      </c>
      <c r="AG22" t="s">
        <v>403</v>
      </c>
      <c r="AI22" t="s">
        <v>326</v>
      </c>
      <c r="AJ22" t="s">
        <v>249</v>
      </c>
      <c r="AK22" t="s">
        <v>99</v>
      </c>
      <c r="AL22" t="s">
        <v>413</v>
      </c>
      <c r="AM22" t="s">
        <v>405</v>
      </c>
      <c r="AQ22" t="s">
        <v>414</v>
      </c>
      <c r="AR22" t="s">
        <v>125</v>
      </c>
      <c r="AT22" t="s">
        <v>415</v>
      </c>
      <c r="AU22" t="s">
        <v>312</v>
      </c>
      <c r="AV22" t="s">
        <v>128</v>
      </c>
      <c r="AZ22" t="s">
        <v>80</v>
      </c>
    </row>
    <row r="23" spans="1:52" hidden="1" x14ac:dyDescent="0.25">
      <c r="A23" t="s">
        <v>416</v>
      </c>
      <c r="B23" t="s">
        <v>417</v>
      </c>
      <c r="C23" t="s">
        <v>418</v>
      </c>
      <c r="D23" t="s">
        <v>150</v>
      </c>
      <c r="E23" t="s">
        <v>419</v>
      </c>
      <c r="F23" t="s">
        <v>420</v>
      </c>
      <c r="G23" t="s">
        <v>420</v>
      </c>
      <c r="H23" t="s">
        <v>421</v>
      </c>
      <c r="J23" t="s">
        <v>80</v>
      </c>
      <c r="K23" t="s">
        <v>110</v>
      </c>
      <c r="L23" t="s">
        <v>111</v>
      </c>
      <c r="M23" t="s">
        <v>422</v>
      </c>
      <c r="P23" t="s">
        <v>154</v>
      </c>
      <c r="Q23" t="s">
        <v>155</v>
      </c>
      <c r="R23" t="s">
        <v>156</v>
      </c>
      <c r="S23" t="s">
        <v>157</v>
      </c>
      <c r="T23" t="s">
        <v>423</v>
      </c>
      <c r="U23" t="s">
        <v>301</v>
      </c>
      <c r="V23" t="s">
        <v>424</v>
      </c>
      <c r="W23" t="s">
        <v>425</v>
      </c>
      <c r="X23" t="s">
        <v>426</v>
      </c>
      <c r="Y23" t="s">
        <v>93</v>
      </c>
      <c r="Z23" t="s">
        <v>427</v>
      </c>
      <c r="AA23" t="s">
        <v>428</v>
      </c>
      <c r="AB23" t="s">
        <v>249</v>
      </c>
      <c r="AC23" t="s">
        <v>429</v>
      </c>
      <c r="AD23" t="s">
        <v>427</v>
      </c>
      <c r="AE23" t="s">
        <v>428</v>
      </c>
      <c r="AF23" t="s">
        <v>249</v>
      </c>
      <c r="AG23" t="s">
        <v>429</v>
      </c>
      <c r="AI23" t="s">
        <v>430</v>
      </c>
      <c r="AJ23" t="s">
        <v>427</v>
      </c>
      <c r="AK23" t="s">
        <v>99</v>
      </c>
      <c r="AL23" t="s">
        <v>431</v>
      </c>
      <c r="AM23" t="s">
        <v>432</v>
      </c>
      <c r="AQ23" t="s">
        <v>433</v>
      </c>
      <c r="AR23" t="s">
        <v>125</v>
      </c>
      <c r="AT23" t="s">
        <v>434</v>
      </c>
      <c r="AU23" t="s">
        <v>312</v>
      </c>
      <c r="AV23" t="s">
        <v>128</v>
      </c>
      <c r="AZ23" t="s">
        <v>80</v>
      </c>
    </row>
    <row r="24" spans="1:52" hidden="1" x14ac:dyDescent="0.25">
      <c r="A24" t="s">
        <v>435</v>
      </c>
      <c r="B24" t="s">
        <v>417</v>
      </c>
      <c r="C24" t="s">
        <v>436</v>
      </c>
      <c r="D24" t="s">
        <v>150</v>
      </c>
      <c r="E24" t="s">
        <v>437</v>
      </c>
      <c r="F24" t="s">
        <v>420</v>
      </c>
      <c r="G24" t="s">
        <v>420</v>
      </c>
      <c r="H24" t="s">
        <v>438</v>
      </c>
      <c r="J24" t="s">
        <v>80</v>
      </c>
      <c r="K24" t="s">
        <v>110</v>
      </c>
      <c r="L24" t="s">
        <v>111</v>
      </c>
      <c r="M24" t="s">
        <v>422</v>
      </c>
      <c r="P24" t="s">
        <v>154</v>
      </c>
      <c r="Q24" t="s">
        <v>155</v>
      </c>
      <c r="R24" t="s">
        <v>156</v>
      </c>
      <c r="S24" t="s">
        <v>157</v>
      </c>
      <c r="T24" t="s">
        <v>423</v>
      </c>
      <c r="U24" t="s">
        <v>301</v>
      </c>
      <c r="V24" t="s">
        <v>424</v>
      </c>
      <c r="W24" t="s">
        <v>439</v>
      </c>
      <c r="X24" t="s">
        <v>440</v>
      </c>
      <c r="Y24" t="s">
        <v>93</v>
      </c>
      <c r="Z24" t="s">
        <v>427</v>
      </c>
      <c r="AA24" t="s">
        <v>428</v>
      </c>
      <c r="AB24" t="s">
        <v>249</v>
      </c>
      <c r="AC24" t="s">
        <v>429</v>
      </c>
      <c r="AD24" t="s">
        <v>427</v>
      </c>
      <c r="AE24" t="s">
        <v>428</v>
      </c>
      <c r="AF24" t="s">
        <v>249</v>
      </c>
      <c r="AG24" t="s">
        <v>429</v>
      </c>
      <c r="AI24" t="s">
        <v>430</v>
      </c>
      <c r="AJ24" t="s">
        <v>427</v>
      </c>
      <c r="AK24" t="s">
        <v>99</v>
      </c>
      <c r="AL24" t="s">
        <v>441</v>
      </c>
      <c r="AM24" t="s">
        <v>432</v>
      </c>
      <c r="AQ24" t="s">
        <v>442</v>
      </c>
      <c r="AR24" t="s">
        <v>125</v>
      </c>
      <c r="AT24" t="s">
        <v>443</v>
      </c>
      <c r="AU24" t="s">
        <v>312</v>
      </c>
      <c r="AV24" t="s">
        <v>128</v>
      </c>
      <c r="AZ24" t="s">
        <v>80</v>
      </c>
    </row>
    <row r="25" spans="1:52" hidden="1" x14ac:dyDescent="0.25">
      <c r="A25" t="s">
        <v>444</v>
      </c>
      <c r="B25" t="s">
        <v>445</v>
      </c>
      <c r="C25" t="s">
        <v>446</v>
      </c>
      <c r="D25" t="s">
        <v>150</v>
      </c>
      <c r="E25" t="s">
        <v>447</v>
      </c>
      <c r="F25" t="s">
        <v>448</v>
      </c>
      <c r="G25" t="s">
        <v>448</v>
      </c>
      <c r="H25" t="s">
        <v>449</v>
      </c>
      <c r="J25" t="s">
        <v>80</v>
      </c>
      <c r="K25" t="s">
        <v>110</v>
      </c>
      <c r="L25" t="s">
        <v>111</v>
      </c>
      <c r="M25">
        <v>69699</v>
      </c>
      <c r="P25" t="s">
        <v>154</v>
      </c>
      <c r="Q25" t="s">
        <v>155</v>
      </c>
      <c r="R25" t="s">
        <v>156</v>
      </c>
      <c r="S25" t="s">
        <v>157</v>
      </c>
      <c r="T25" t="s">
        <v>450</v>
      </c>
      <c r="U25" t="s">
        <v>451</v>
      </c>
      <c r="V25" t="s">
        <v>452</v>
      </c>
      <c r="W25" t="s">
        <v>161</v>
      </c>
      <c r="X25" t="s">
        <v>453</v>
      </c>
      <c r="Y25" t="s">
        <v>93</v>
      </c>
      <c r="Z25" t="s">
        <v>119</v>
      </c>
      <c r="AA25" t="s">
        <v>454</v>
      </c>
      <c r="AB25" t="s">
        <v>427</v>
      </c>
      <c r="AC25" t="s">
        <v>455</v>
      </c>
      <c r="AD25" t="s">
        <v>119</v>
      </c>
      <c r="AE25" t="s">
        <v>454</v>
      </c>
      <c r="AF25" t="s">
        <v>427</v>
      </c>
      <c r="AG25" t="s">
        <v>455</v>
      </c>
      <c r="AI25" t="s">
        <v>456</v>
      </c>
      <c r="AJ25" t="s">
        <v>119</v>
      </c>
      <c r="AK25" t="s">
        <v>99</v>
      </c>
      <c r="AL25" t="s">
        <v>457</v>
      </c>
      <c r="AM25" t="s">
        <v>458</v>
      </c>
      <c r="AQ25" t="s">
        <v>459</v>
      </c>
      <c r="AR25" t="s">
        <v>125</v>
      </c>
      <c r="AT25" t="s">
        <v>460</v>
      </c>
      <c r="AU25" t="s">
        <v>312</v>
      </c>
      <c r="AV25" t="s">
        <v>128</v>
      </c>
      <c r="AZ25" t="s">
        <v>80</v>
      </c>
    </row>
    <row r="26" spans="1:52" hidden="1" x14ac:dyDescent="0.25">
      <c r="A26" t="s">
        <v>461</v>
      </c>
      <c r="B26" t="s">
        <v>462</v>
      </c>
      <c r="C26" t="s">
        <v>463</v>
      </c>
      <c r="D26" t="s">
        <v>150</v>
      </c>
      <c r="E26" t="s">
        <v>464</v>
      </c>
      <c r="F26" t="s">
        <v>465</v>
      </c>
      <c r="G26" t="s">
        <v>465</v>
      </c>
      <c r="H26" t="s">
        <v>466</v>
      </c>
      <c r="J26" t="s">
        <v>80</v>
      </c>
      <c r="K26" t="s">
        <v>110</v>
      </c>
      <c r="L26" t="s">
        <v>111</v>
      </c>
      <c r="M26">
        <v>69526</v>
      </c>
      <c r="O26" t="s">
        <v>467</v>
      </c>
      <c r="P26" t="s">
        <v>154</v>
      </c>
      <c r="Q26" t="s">
        <v>155</v>
      </c>
      <c r="R26" t="s">
        <v>156</v>
      </c>
      <c r="S26" t="s">
        <v>157</v>
      </c>
      <c r="T26" t="s">
        <v>468</v>
      </c>
      <c r="U26" t="s">
        <v>469</v>
      </c>
      <c r="V26" t="s">
        <v>470</v>
      </c>
      <c r="W26" t="s">
        <v>161</v>
      </c>
      <c r="X26" t="s">
        <v>471</v>
      </c>
      <c r="Y26" t="s">
        <v>93</v>
      </c>
      <c r="Z26" t="s">
        <v>472</v>
      </c>
      <c r="AA26" t="s">
        <v>473</v>
      </c>
      <c r="AB26" t="s">
        <v>119</v>
      </c>
      <c r="AC26" t="s">
        <v>474</v>
      </c>
      <c r="AD26" t="s">
        <v>472</v>
      </c>
      <c r="AE26" t="s">
        <v>473</v>
      </c>
      <c r="AF26" t="s">
        <v>119</v>
      </c>
      <c r="AG26" t="s">
        <v>474</v>
      </c>
      <c r="AI26" t="s">
        <v>475</v>
      </c>
      <c r="AJ26" t="s">
        <v>472</v>
      </c>
      <c r="AK26" t="s">
        <v>99</v>
      </c>
      <c r="AL26" t="s">
        <v>476</v>
      </c>
      <c r="AM26" t="s">
        <v>477</v>
      </c>
      <c r="AQ26" t="s">
        <v>478</v>
      </c>
      <c r="AR26" t="s">
        <v>125</v>
      </c>
      <c r="AT26" t="s">
        <v>479</v>
      </c>
      <c r="AU26" t="s">
        <v>312</v>
      </c>
      <c r="AV26" t="s">
        <v>128</v>
      </c>
      <c r="AZ26" t="s">
        <v>80</v>
      </c>
    </row>
    <row r="27" spans="1:52" hidden="1" x14ac:dyDescent="0.25">
      <c r="A27" t="s">
        <v>480</v>
      </c>
      <c r="B27" t="s">
        <v>481</v>
      </c>
      <c r="C27" t="s">
        <v>482</v>
      </c>
      <c r="D27" t="s">
        <v>150</v>
      </c>
      <c r="E27" t="s">
        <v>483</v>
      </c>
      <c r="F27" t="s">
        <v>484</v>
      </c>
      <c r="G27" t="s">
        <v>484</v>
      </c>
      <c r="H27" t="s">
        <v>485</v>
      </c>
      <c r="J27" t="s">
        <v>80</v>
      </c>
      <c r="K27" t="s">
        <v>110</v>
      </c>
      <c r="L27" t="s">
        <v>111</v>
      </c>
      <c r="M27">
        <v>69567</v>
      </c>
      <c r="P27" t="s">
        <v>154</v>
      </c>
      <c r="Q27" t="s">
        <v>155</v>
      </c>
      <c r="R27" t="s">
        <v>156</v>
      </c>
      <c r="S27" t="s">
        <v>157</v>
      </c>
      <c r="T27" t="s">
        <v>468</v>
      </c>
      <c r="U27" t="s">
        <v>486</v>
      </c>
      <c r="V27" t="s">
        <v>487</v>
      </c>
      <c r="W27" t="s">
        <v>488</v>
      </c>
      <c r="X27" t="s">
        <v>489</v>
      </c>
      <c r="Y27" t="s">
        <v>93</v>
      </c>
      <c r="Z27" t="s">
        <v>119</v>
      </c>
      <c r="AA27" t="s">
        <v>490</v>
      </c>
      <c r="AB27" t="s">
        <v>472</v>
      </c>
      <c r="AC27" t="s">
        <v>491</v>
      </c>
      <c r="AD27" t="s">
        <v>119</v>
      </c>
      <c r="AE27" t="s">
        <v>490</v>
      </c>
      <c r="AF27" t="s">
        <v>472</v>
      </c>
      <c r="AG27" t="s">
        <v>491</v>
      </c>
      <c r="AI27" t="s">
        <v>492</v>
      </c>
      <c r="AJ27" t="s">
        <v>119</v>
      </c>
      <c r="AK27" t="s">
        <v>99</v>
      </c>
      <c r="AL27" t="s">
        <v>493</v>
      </c>
      <c r="AM27" t="s">
        <v>494</v>
      </c>
      <c r="AQ27" t="s">
        <v>495</v>
      </c>
      <c r="AR27" t="s">
        <v>125</v>
      </c>
      <c r="AT27" t="s">
        <v>496</v>
      </c>
      <c r="AU27" t="s">
        <v>312</v>
      </c>
      <c r="AV27" t="s">
        <v>128</v>
      </c>
      <c r="AZ27" t="s">
        <v>80</v>
      </c>
    </row>
    <row r="28" spans="1:52" hidden="1" x14ac:dyDescent="0.25">
      <c r="A28" t="s">
        <v>497</v>
      </c>
      <c r="B28" t="s">
        <v>481</v>
      </c>
      <c r="C28" t="s">
        <v>498</v>
      </c>
      <c r="D28" t="s">
        <v>150</v>
      </c>
      <c r="E28" t="s">
        <v>499</v>
      </c>
      <c r="F28" t="s">
        <v>484</v>
      </c>
      <c r="G28" t="s">
        <v>484</v>
      </c>
      <c r="H28" t="s">
        <v>500</v>
      </c>
      <c r="J28" t="s">
        <v>80</v>
      </c>
      <c r="K28" t="s">
        <v>110</v>
      </c>
      <c r="L28" t="s">
        <v>111</v>
      </c>
      <c r="M28">
        <v>69567</v>
      </c>
      <c r="P28" t="s">
        <v>154</v>
      </c>
      <c r="Q28" t="s">
        <v>155</v>
      </c>
      <c r="R28" t="s">
        <v>156</v>
      </c>
      <c r="S28" t="s">
        <v>157</v>
      </c>
      <c r="T28" t="s">
        <v>468</v>
      </c>
      <c r="U28" t="s">
        <v>486</v>
      </c>
      <c r="V28" t="s">
        <v>487</v>
      </c>
      <c r="W28" t="s">
        <v>501</v>
      </c>
      <c r="X28" t="s">
        <v>502</v>
      </c>
      <c r="Y28" t="s">
        <v>93</v>
      </c>
      <c r="Z28" t="s">
        <v>119</v>
      </c>
      <c r="AA28" t="s">
        <v>490</v>
      </c>
      <c r="AB28" t="s">
        <v>472</v>
      </c>
      <c r="AC28" t="s">
        <v>491</v>
      </c>
      <c r="AD28" t="s">
        <v>119</v>
      </c>
      <c r="AE28" t="s">
        <v>490</v>
      </c>
      <c r="AF28" t="s">
        <v>472</v>
      </c>
      <c r="AG28" t="s">
        <v>491</v>
      </c>
      <c r="AI28" t="s">
        <v>492</v>
      </c>
      <c r="AJ28" t="s">
        <v>119</v>
      </c>
      <c r="AK28" t="s">
        <v>99</v>
      </c>
      <c r="AL28" t="s">
        <v>503</v>
      </c>
      <c r="AM28" t="s">
        <v>504</v>
      </c>
      <c r="AQ28" t="s">
        <v>505</v>
      </c>
      <c r="AR28" t="s">
        <v>125</v>
      </c>
      <c r="AT28" t="s">
        <v>506</v>
      </c>
      <c r="AU28" t="s">
        <v>312</v>
      </c>
      <c r="AV28" t="s">
        <v>128</v>
      </c>
      <c r="AZ28" t="s">
        <v>80</v>
      </c>
    </row>
    <row r="29" spans="1:52" hidden="1" x14ac:dyDescent="0.25">
      <c r="A29" t="s">
        <v>507</v>
      </c>
      <c r="B29" t="s">
        <v>508</v>
      </c>
      <c r="C29" t="s">
        <v>509</v>
      </c>
      <c r="D29" t="s">
        <v>150</v>
      </c>
      <c r="E29" t="s">
        <v>510</v>
      </c>
      <c r="F29" t="s">
        <v>511</v>
      </c>
      <c r="G29" t="s">
        <v>511</v>
      </c>
      <c r="H29" t="s">
        <v>512</v>
      </c>
      <c r="J29" t="s">
        <v>80</v>
      </c>
      <c r="K29" t="s">
        <v>110</v>
      </c>
      <c r="L29" t="s">
        <v>111</v>
      </c>
      <c r="M29">
        <v>69757</v>
      </c>
      <c r="P29" t="s">
        <v>154</v>
      </c>
      <c r="Q29" t="s">
        <v>155</v>
      </c>
      <c r="R29" t="s">
        <v>156</v>
      </c>
      <c r="S29" t="s">
        <v>157</v>
      </c>
      <c r="T29" t="s">
        <v>244</v>
      </c>
      <c r="U29" t="s">
        <v>513</v>
      </c>
      <c r="V29" t="s">
        <v>514</v>
      </c>
      <c r="W29" t="s">
        <v>515</v>
      </c>
      <c r="X29" t="s">
        <v>348</v>
      </c>
      <c r="Y29" t="s">
        <v>93</v>
      </c>
      <c r="Z29" t="s">
        <v>249</v>
      </c>
      <c r="AA29" t="s">
        <v>118</v>
      </c>
      <c r="AB29" t="s">
        <v>119</v>
      </c>
      <c r="AC29" t="s">
        <v>516</v>
      </c>
      <c r="AD29" t="s">
        <v>249</v>
      </c>
      <c r="AE29" t="s">
        <v>118</v>
      </c>
      <c r="AF29" t="s">
        <v>119</v>
      </c>
      <c r="AG29" t="s">
        <v>516</v>
      </c>
      <c r="AI29" t="s">
        <v>121</v>
      </c>
      <c r="AJ29" t="s">
        <v>249</v>
      </c>
      <c r="AK29" t="s">
        <v>99</v>
      </c>
      <c r="AL29" t="s">
        <v>517</v>
      </c>
      <c r="AM29" t="s">
        <v>518</v>
      </c>
      <c r="AQ29" t="s">
        <v>519</v>
      </c>
      <c r="AR29" t="s">
        <v>125</v>
      </c>
      <c r="AT29" t="s">
        <v>520</v>
      </c>
      <c r="AU29" t="s">
        <v>521</v>
      </c>
      <c r="AV29" t="s">
        <v>128</v>
      </c>
      <c r="AZ29" t="s">
        <v>80</v>
      </c>
    </row>
    <row r="30" spans="1:52" hidden="1" x14ac:dyDescent="0.25">
      <c r="A30" t="s">
        <v>522</v>
      </c>
      <c r="B30" t="s">
        <v>508</v>
      </c>
      <c r="C30" t="s">
        <v>523</v>
      </c>
      <c r="D30" t="s">
        <v>150</v>
      </c>
      <c r="E30" t="s">
        <v>524</v>
      </c>
      <c r="F30" t="s">
        <v>511</v>
      </c>
      <c r="G30" t="s">
        <v>511</v>
      </c>
      <c r="H30" t="s">
        <v>525</v>
      </c>
      <c r="J30" t="s">
        <v>80</v>
      </c>
      <c r="K30" t="s">
        <v>110</v>
      </c>
      <c r="L30" t="s">
        <v>111</v>
      </c>
      <c r="M30">
        <v>69757</v>
      </c>
      <c r="P30" t="s">
        <v>154</v>
      </c>
      <c r="Q30" t="s">
        <v>155</v>
      </c>
      <c r="R30" t="s">
        <v>156</v>
      </c>
      <c r="S30" t="s">
        <v>157</v>
      </c>
      <c r="T30" t="s">
        <v>244</v>
      </c>
      <c r="U30" t="s">
        <v>526</v>
      </c>
      <c r="V30" t="s">
        <v>514</v>
      </c>
      <c r="W30" t="s">
        <v>527</v>
      </c>
      <c r="X30" t="s">
        <v>360</v>
      </c>
      <c r="Y30" t="s">
        <v>93</v>
      </c>
      <c r="Z30" t="s">
        <v>249</v>
      </c>
      <c r="AA30" t="s">
        <v>118</v>
      </c>
      <c r="AB30" t="s">
        <v>119</v>
      </c>
      <c r="AC30" t="s">
        <v>516</v>
      </c>
      <c r="AD30" t="s">
        <v>249</v>
      </c>
      <c r="AE30" t="s">
        <v>118</v>
      </c>
      <c r="AF30" t="s">
        <v>119</v>
      </c>
      <c r="AG30" t="s">
        <v>516</v>
      </c>
      <c r="AI30" t="s">
        <v>121</v>
      </c>
      <c r="AJ30" t="s">
        <v>249</v>
      </c>
      <c r="AK30" t="s">
        <v>99</v>
      </c>
      <c r="AL30" t="s">
        <v>528</v>
      </c>
      <c r="AM30" t="s">
        <v>518</v>
      </c>
      <c r="AQ30" t="s">
        <v>529</v>
      </c>
      <c r="AR30" t="s">
        <v>125</v>
      </c>
      <c r="AT30" t="s">
        <v>530</v>
      </c>
      <c r="AU30" t="s">
        <v>521</v>
      </c>
      <c r="AV30" t="s">
        <v>128</v>
      </c>
      <c r="AZ30" t="s">
        <v>80</v>
      </c>
    </row>
    <row r="31" spans="1:52" hidden="1" x14ac:dyDescent="0.25">
      <c r="A31" t="s">
        <v>531</v>
      </c>
      <c r="B31" t="s">
        <v>532</v>
      </c>
      <c r="C31" t="s">
        <v>533</v>
      </c>
      <c r="D31" t="s">
        <v>150</v>
      </c>
      <c r="E31" t="s">
        <v>534</v>
      </c>
      <c r="F31" t="s">
        <v>535</v>
      </c>
      <c r="G31" t="s">
        <v>536</v>
      </c>
      <c r="H31" t="s">
        <v>537</v>
      </c>
      <c r="J31" t="s">
        <v>80</v>
      </c>
      <c r="K31" t="s">
        <v>538</v>
      </c>
      <c r="L31" t="s">
        <v>111</v>
      </c>
      <c r="M31">
        <v>69293</v>
      </c>
      <c r="P31" t="s">
        <v>154</v>
      </c>
      <c r="Q31" t="s">
        <v>539</v>
      </c>
      <c r="R31" t="s">
        <v>540</v>
      </c>
      <c r="S31" t="s">
        <v>541</v>
      </c>
      <c r="T31" t="s">
        <v>542</v>
      </c>
      <c r="U31" t="s">
        <v>543</v>
      </c>
      <c r="V31" t="s">
        <v>544</v>
      </c>
      <c r="W31" t="s">
        <v>545</v>
      </c>
      <c r="X31" t="s">
        <v>546</v>
      </c>
      <c r="Y31" t="s">
        <v>93</v>
      </c>
      <c r="Z31" t="s">
        <v>119</v>
      </c>
      <c r="AA31" t="s">
        <v>547</v>
      </c>
      <c r="AB31" t="s">
        <v>548</v>
      </c>
      <c r="AC31" t="s">
        <v>549</v>
      </c>
      <c r="AD31" t="s">
        <v>119</v>
      </c>
      <c r="AE31" t="s">
        <v>547</v>
      </c>
      <c r="AF31" t="s">
        <v>548</v>
      </c>
      <c r="AG31" t="s">
        <v>549</v>
      </c>
      <c r="AI31" t="s">
        <v>550</v>
      </c>
      <c r="AJ31" t="s">
        <v>119</v>
      </c>
      <c r="AK31" t="s">
        <v>99</v>
      </c>
      <c r="AL31" t="s">
        <v>551</v>
      </c>
      <c r="AM31" t="s">
        <v>552</v>
      </c>
      <c r="AQ31" t="s">
        <v>553</v>
      </c>
      <c r="AR31" t="s">
        <v>125</v>
      </c>
      <c r="AT31" t="s">
        <v>554</v>
      </c>
      <c r="AU31" t="s">
        <v>555</v>
      </c>
      <c r="AV31" t="s">
        <v>128</v>
      </c>
      <c r="AZ31" t="s">
        <v>80</v>
      </c>
    </row>
    <row r="32" spans="1:52" hidden="1" x14ac:dyDescent="0.25">
      <c r="A32" t="s">
        <v>556</v>
      </c>
      <c r="B32" t="s">
        <v>557</v>
      </c>
      <c r="C32" t="s">
        <v>558</v>
      </c>
      <c r="D32" t="s">
        <v>150</v>
      </c>
      <c r="E32" t="s">
        <v>559</v>
      </c>
      <c r="F32" t="s">
        <v>560</v>
      </c>
      <c r="G32" t="s">
        <v>560</v>
      </c>
      <c r="H32" t="s">
        <v>561</v>
      </c>
      <c r="J32" t="s">
        <v>80</v>
      </c>
      <c r="K32" t="s">
        <v>110</v>
      </c>
      <c r="L32" t="s">
        <v>111</v>
      </c>
      <c r="M32">
        <v>60784</v>
      </c>
      <c r="P32" t="s">
        <v>154</v>
      </c>
      <c r="Q32" t="s">
        <v>539</v>
      </c>
      <c r="R32" t="s">
        <v>540</v>
      </c>
      <c r="S32" t="s">
        <v>541</v>
      </c>
      <c r="T32" t="s">
        <v>562</v>
      </c>
      <c r="U32" t="s">
        <v>563</v>
      </c>
      <c r="V32" t="s">
        <v>564</v>
      </c>
      <c r="W32" t="s">
        <v>565</v>
      </c>
      <c r="X32" t="s">
        <v>566</v>
      </c>
      <c r="Y32" t="s">
        <v>93</v>
      </c>
      <c r="Z32" t="s">
        <v>567</v>
      </c>
      <c r="AA32" t="s">
        <v>568</v>
      </c>
      <c r="AB32" t="s">
        <v>119</v>
      </c>
      <c r="AC32" t="s">
        <v>569</v>
      </c>
      <c r="AD32" t="s">
        <v>567</v>
      </c>
      <c r="AE32" t="s">
        <v>568</v>
      </c>
      <c r="AF32" t="s">
        <v>119</v>
      </c>
      <c r="AG32" t="s">
        <v>569</v>
      </c>
      <c r="AI32" t="s">
        <v>570</v>
      </c>
      <c r="AJ32" t="s">
        <v>567</v>
      </c>
      <c r="AK32" t="s">
        <v>99</v>
      </c>
      <c r="AL32" t="s">
        <v>571</v>
      </c>
      <c r="AM32" t="s">
        <v>572</v>
      </c>
      <c r="AQ32" t="s">
        <v>573</v>
      </c>
      <c r="AR32" t="s">
        <v>125</v>
      </c>
      <c r="AT32" t="s">
        <v>574</v>
      </c>
      <c r="AU32" t="s">
        <v>575</v>
      </c>
      <c r="AV32" t="s">
        <v>128</v>
      </c>
      <c r="AZ32" t="s">
        <v>80</v>
      </c>
    </row>
    <row r="33" spans="1:52" hidden="1" x14ac:dyDescent="0.25">
      <c r="A33" t="s">
        <v>576</v>
      </c>
      <c r="B33" t="s">
        <v>577</v>
      </c>
      <c r="C33" t="s">
        <v>578</v>
      </c>
      <c r="D33" t="s">
        <v>150</v>
      </c>
      <c r="E33" t="s">
        <v>579</v>
      </c>
      <c r="F33" t="s">
        <v>580</v>
      </c>
      <c r="G33" t="s">
        <v>580</v>
      </c>
      <c r="H33" t="s">
        <v>581</v>
      </c>
      <c r="J33" t="s">
        <v>80</v>
      </c>
      <c r="K33" t="s">
        <v>110</v>
      </c>
      <c r="L33" t="s">
        <v>111</v>
      </c>
      <c r="M33">
        <v>60765</v>
      </c>
      <c r="P33" t="s">
        <v>154</v>
      </c>
      <c r="Q33" t="s">
        <v>539</v>
      </c>
      <c r="R33" t="s">
        <v>540</v>
      </c>
      <c r="S33" t="s">
        <v>541</v>
      </c>
      <c r="T33" t="s">
        <v>562</v>
      </c>
      <c r="U33" t="s">
        <v>582</v>
      </c>
      <c r="V33" t="s">
        <v>583</v>
      </c>
      <c r="W33" t="s">
        <v>565</v>
      </c>
      <c r="X33" t="s">
        <v>566</v>
      </c>
      <c r="Y33" t="s">
        <v>93</v>
      </c>
      <c r="Z33" t="s">
        <v>119</v>
      </c>
      <c r="AA33" t="s">
        <v>584</v>
      </c>
      <c r="AB33" t="s">
        <v>567</v>
      </c>
      <c r="AC33" t="s">
        <v>142</v>
      </c>
      <c r="AD33" t="s">
        <v>119</v>
      </c>
      <c r="AE33" t="s">
        <v>584</v>
      </c>
      <c r="AF33" t="s">
        <v>567</v>
      </c>
      <c r="AG33" t="s">
        <v>142</v>
      </c>
      <c r="AI33" t="s">
        <v>585</v>
      </c>
      <c r="AJ33" t="s">
        <v>119</v>
      </c>
      <c r="AK33" t="s">
        <v>99</v>
      </c>
      <c r="AL33" t="s">
        <v>586</v>
      </c>
      <c r="AM33" t="s">
        <v>587</v>
      </c>
      <c r="AQ33" t="s">
        <v>588</v>
      </c>
      <c r="AR33" t="s">
        <v>125</v>
      </c>
      <c r="AT33" t="s">
        <v>589</v>
      </c>
      <c r="AU33" t="s">
        <v>575</v>
      </c>
      <c r="AV33" t="s">
        <v>128</v>
      </c>
      <c r="AZ33" t="s">
        <v>80</v>
      </c>
    </row>
    <row r="34" spans="1:52" hidden="1" x14ac:dyDescent="0.25">
      <c r="A34" t="s">
        <v>590</v>
      </c>
      <c r="B34" t="s">
        <v>591</v>
      </c>
      <c r="C34" t="s">
        <v>592</v>
      </c>
      <c r="D34" t="s">
        <v>150</v>
      </c>
      <c r="E34" t="s">
        <v>593</v>
      </c>
      <c r="F34" t="s">
        <v>594</v>
      </c>
      <c r="G34" t="s">
        <v>595</v>
      </c>
      <c r="H34" t="s">
        <v>596</v>
      </c>
      <c r="J34" t="s">
        <v>80</v>
      </c>
      <c r="K34" t="s">
        <v>597</v>
      </c>
      <c r="L34" t="s">
        <v>111</v>
      </c>
      <c r="M34">
        <v>69120</v>
      </c>
      <c r="O34" t="s">
        <v>598</v>
      </c>
      <c r="P34" t="s">
        <v>212</v>
      </c>
      <c r="Q34" t="s">
        <v>539</v>
      </c>
      <c r="R34" t="s">
        <v>540</v>
      </c>
      <c r="S34" t="s">
        <v>541</v>
      </c>
      <c r="T34" t="s">
        <v>542</v>
      </c>
      <c r="U34" t="s">
        <v>599</v>
      </c>
      <c r="V34" t="s">
        <v>600</v>
      </c>
      <c r="W34" t="s">
        <v>601</v>
      </c>
      <c r="X34" t="s">
        <v>602</v>
      </c>
      <c r="Y34" t="s">
        <v>93</v>
      </c>
      <c r="Z34" t="s">
        <v>548</v>
      </c>
      <c r="AA34" t="s">
        <v>603</v>
      </c>
      <c r="AB34" t="s">
        <v>119</v>
      </c>
      <c r="AC34" t="s">
        <v>604</v>
      </c>
      <c r="AD34" t="s">
        <v>548</v>
      </c>
      <c r="AE34" t="s">
        <v>603</v>
      </c>
      <c r="AF34" t="s">
        <v>119</v>
      </c>
      <c r="AG34" t="s">
        <v>604</v>
      </c>
      <c r="AI34" t="s">
        <v>605</v>
      </c>
      <c r="AJ34" t="s">
        <v>548</v>
      </c>
      <c r="AK34" t="s">
        <v>99</v>
      </c>
      <c r="AL34" t="s">
        <v>606</v>
      </c>
      <c r="AM34" t="s">
        <v>607</v>
      </c>
      <c r="AQ34" t="s">
        <v>608</v>
      </c>
      <c r="AR34" t="s">
        <v>125</v>
      </c>
      <c r="AT34" t="s">
        <v>609</v>
      </c>
      <c r="AU34" t="s">
        <v>610</v>
      </c>
      <c r="AV34" t="s">
        <v>190</v>
      </c>
      <c r="AZ34" t="s">
        <v>80</v>
      </c>
    </row>
    <row r="35" spans="1:52" hidden="1" x14ac:dyDescent="0.25">
      <c r="A35" t="s">
        <v>611</v>
      </c>
      <c r="B35" t="s">
        <v>612</v>
      </c>
      <c r="C35" t="s">
        <v>613</v>
      </c>
      <c r="D35" t="s">
        <v>150</v>
      </c>
      <c r="E35" t="s">
        <v>614</v>
      </c>
      <c r="F35" t="s">
        <v>615</v>
      </c>
      <c r="G35" t="s">
        <v>615</v>
      </c>
      <c r="H35" t="s">
        <v>616</v>
      </c>
      <c r="J35" t="s">
        <v>80</v>
      </c>
      <c r="K35" t="s">
        <v>110</v>
      </c>
      <c r="L35" t="s">
        <v>111</v>
      </c>
      <c r="M35">
        <v>66510</v>
      </c>
      <c r="O35" t="s">
        <v>617</v>
      </c>
      <c r="P35" t="s">
        <v>154</v>
      </c>
      <c r="Q35" t="s">
        <v>539</v>
      </c>
      <c r="R35" t="s">
        <v>540</v>
      </c>
      <c r="S35" t="s">
        <v>541</v>
      </c>
      <c r="T35" t="s">
        <v>618</v>
      </c>
      <c r="U35" t="s">
        <v>619</v>
      </c>
      <c r="V35" t="s">
        <v>620</v>
      </c>
      <c r="W35" t="s">
        <v>601</v>
      </c>
      <c r="X35" t="s">
        <v>621</v>
      </c>
      <c r="Y35" t="s">
        <v>93</v>
      </c>
      <c r="Z35" t="s">
        <v>622</v>
      </c>
      <c r="AA35" t="s">
        <v>623</v>
      </c>
      <c r="AB35" t="s">
        <v>119</v>
      </c>
      <c r="AC35" t="s">
        <v>624</v>
      </c>
      <c r="AD35" t="s">
        <v>622</v>
      </c>
      <c r="AE35" t="s">
        <v>623</v>
      </c>
      <c r="AF35" t="s">
        <v>119</v>
      </c>
      <c r="AG35" t="s">
        <v>624</v>
      </c>
      <c r="AI35" t="s">
        <v>625</v>
      </c>
      <c r="AJ35" t="s">
        <v>622</v>
      </c>
      <c r="AK35" t="s">
        <v>99</v>
      </c>
      <c r="AL35" t="s">
        <v>626</v>
      </c>
      <c r="AM35" t="s">
        <v>627</v>
      </c>
      <c r="AQ35" t="s">
        <v>628</v>
      </c>
      <c r="AR35" t="s">
        <v>125</v>
      </c>
      <c r="AT35" t="s">
        <v>629</v>
      </c>
      <c r="AU35" t="s">
        <v>555</v>
      </c>
      <c r="AV35" t="s">
        <v>190</v>
      </c>
      <c r="AZ35" t="s">
        <v>80</v>
      </c>
    </row>
    <row r="36" spans="1:52" hidden="1" x14ac:dyDescent="0.25">
      <c r="A36" t="s">
        <v>630</v>
      </c>
      <c r="B36" t="s">
        <v>631</v>
      </c>
      <c r="C36" t="s">
        <v>632</v>
      </c>
      <c r="D36" t="s">
        <v>150</v>
      </c>
      <c r="E36" t="s">
        <v>633</v>
      </c>
      <c r="F36" t="s">
        <v>634</v>
      </c>
      <c r="G36" t="s">
        <v>634</v>
      </c>
      <c r="H36" t="s">
        <v>635</v>
      </c>
      <c r="J36" t="s">
        <v>80</v>
      </c>
      <c r="K36" t="s">
        <v>110</v>
      </c>
      <c r="L36" t="s">
        <v>111</v>
      </c>
      <c r="M36">
        <v>66143</v>
      </c>
      <c r="O36" t="s">
        <v>636</v>
      </c>
      <c r="P36" t="s">
        <v>212</v>
      </c>
      <c r="Q36" t="s">
        <v>539</v>
      </c>
      <c r="R36" t="s">
        <v>540</v>
      </c>
      <c r="S36" t="s">
        <v>541</v>
      </c>
      <c r="T36" t="s">
        <v>618</v>
      </c>
      <c r="U36" t="s">
        <v>637</v>
      </c>
      <c r="V36" t="s">
        <v>638</v>
      </c>
      <c r="W36" t="s">
        <v>601</v>
      </c>
      <c r="X36" t="s">
        <v>621</v>
      </c>
      <c r="Y36" t="s">
        <v>93</v>
      </c>
      <c r="Z36" t="s">
        <v>119</v>
      </c>
      <c r="AA36" t="s">
        <v>639</v>
      </c>
      <c r="AB36" t="s">
        <v>622</v>
      </c>
      <c r="AC36" t="s">
        <v>640</v>
      </c>
      <c r="AD36" t="s">
        <v>119</v>
      </c>
      <c r="AE36" t="s">
        <v>639</v>
      </c>
      <c r="AF36" t="s">
        <v>622</v>
      </c>
      <c r="AG36" t="s">
        <v>640</v>
      </c>
      <c r="AI36" t="s">
        <v>641</v>
      </c>
      <c r="AJ36" t="s">
        <v>119</v>
      </c>
      <c r="AK36" t="s">
        <v>99</v>
      </c>
      <c r="AL36" t="s">
        <v>642</v>
      </c>
      <c r="AM36" t="s">
        <v>643</v>
      </c>
      <c r="AQ36" t="s">
        <v>644</v>
      </c>
      <c r="AR36" t="s">
        <v>125</v>
      </c>
      <c r="AT36" t="s">
        <v>645</v>
      </c>
      <c r="AU36" t="s">
        <v>610</v>
      </c>
      <c r="AV36" t="s">
        <v>190</v>
      </c>
      <c r="AZ36" t="s">
        <v>80</v>
      </c>
    </row>
    <row r="37" spans="1:52" hidden="1" x14ac:dyDescent="0.25">
      <c r="A37" t="s">
        <v>646</v>
      </c>
      <c r="B37" t="s">
        <v>647</v>
      </c>
      <c r="C37" t="s">
        <v>648</v>
      </c>
      <c r="D37" t="s">
        <v>150</v>
      </c>
      <c r="E37" t="s">
        <v>649</v>
      </c>
      <c r="F37" t="s">
        <v>650</v>
      </c>
      <c r="G37" t="s">
        <v>650</v>
      </c>
      <c r="H37" t="s">
        <v>651</v>
      </c>
      <c r="J37" t="s">
        <v>80</v>
      </c>
      <c r="K37" t="s">
        <v>110</v>
      </c>
      <c r="L37" t="s">
        <v>111</v>
      </c>
      <c r="M37">
        <v>69785</v>
      </c>
      <c r="P37" t="s">
        <v>154</v>
      </c>
      <c r="Q37" t="s">
        <v>539</v>
      </c>
      <c r="R37" t="s">
        <v>540</v>
      </c>
      <c r="S37" t="s">
        <v>541</v>
      </c>
      <c r="T37" t="s">
        <v>244</v>
      </c>
      <c r="U37" t="s">
        <v>652</v>
      </c>
      <c r="V37" t="s">
        <v>653</v>
      </c>
      <c r="W37" t="s">
        <v>247</v>
      </c>
      <c r="X37" t="s">
        <v>248</v>
      </c>
      <c r="Y37" t="s">
        <v>93</v>
      </c>
      <c r="Z37" t="s">
        <v>249</v>
      </c>
      <c r="AA37" t="s">
        <v>654</v>
      </c>
      <c r="AB37" t="s">
        <v>119</v>
      </c>
      <c r="AC37" t="s">
        <v>655</v>
      </c>
      <c r="AD37" t="s">
        <v>249</v>
      </c>
      <c r="AE37" t="s">
        <v>654</v>
      </c>
      <c r="AF37" t="s">
        <v>119</v>
      </c>
      <c r="AG37" t="s">
        <v>655</v>
      </c>
      <c r="AI37" t="s">
        <v>656</v>
      </c>
      <c r="AJ37" t="s">
        <v>249</v>
      </c>
      <c r="AK37" t="s">
        <v>99</v>
      </c>
      <c r="AL37" t="s">
        <v>657</v>
      </c>
      <c r="AM37" t="s">
        <v>658</v>
      </c>
      <c r="AQ37" t="s">
        <v>659</v>
      </c>
      <c r="AR37" t="s">
        <v>125</v>
      </c>
      <c r="AT37" t="s">
        <v>660</v>
      </c>
      <c r="AU37" t="s">
        <v>555</v>
      </c>
      <c r="AV37" t="s">
        <v>128</v>
      </c>
      <c r="AZ37" t="s">
        <v>80</v>
      </c>
    </row>
    <row r="38" spans="1:52" hidden="1" x14ac:dyDescent="0.25">
      <c r="A38" t="s">
        <v>661</v>
      </c>
      <c r="B38" t="s">
        <v>647</v>
      </c>
      <c r="C38" t="s">
        <v>662</v>
      </c>
      <c r="D38" t="s">
        <v>150</v>
      </c>
      <c r="E38" t="s">
        <v>663</v>
      </c>
      <c r="F38" t="s">
        <v>650</v>
      </c>
      <c r="G38" t="s">
        <v>650</v>
      </c>
      <c r="H38" t="s">
        <v>664</v>
      </c>
      <c r="J38" t="s">
        <v>80</v>
      </c>
      <c r="K38" t="s">
        <v>110</v>
      </c>
      <c r="L38" t="s">
        <v>111</v>
      </c>
      <c r="M38">
        <v>69785</v>
      </c>
      <c r="P38" t="s">
        <v>154</v>
      </c>
      <c r="Q38" t="s">
        <v>539</v>
      </c>
      <c r="R38" t="s">
        <v>540</v>
      </c>
      <c r="S38" t="s">
        <v>541</v>
      </c>
      <c r="T38" t="s">
        <v>244</v>
      </c>
      <c r="U38" t="s">
        <v>345</v>
      </c>
      <c r="V38" t="s">
        <v>653</v>
      </c>
      <c r="W38" t="s">
        <v>261</v>
      </c>
      <c r="X38" t="s">
        <v>248</v>
      </c>
      <c r="Y38" t="s">
        <v>93</v>
      </c>
      <c r="Z38" t="s">
        <v>249</v>
      </c>
      <c r="AA38" t="s">
        <v>654</v>
      </c>
      <c r="AB38" t="s">
        <v>119</v>
      </c>
      <c r="AC38" t="s">
        <v>655</v>
      </c>
      <c r="AD38" t="s">
        <v>249</v>
      </c>
      <c r="AE38" t="s">
        <v>654</v>
      </c>
      <c r="AF38" t="s">
        <v>119</v>
      </c>
      <c r="AG38" t="s">
        <v>655</v>
      </c>
      <c r="AI38" t="s">
        <v>656</v>
      </c>
      <c r="AJ38" t="s">
        <v>249</v>
      </c>
      <c r="AK38" t="s">
        <v>99</v>
      </c>
      <c r="AL38" t="s">
        <v>665</v>
      </c>
      <c r="AM38" t="s">
        <v>658</v>
      </c>
      <c r="AQ38" t="s">
        <v>666</v>
      </c>
      <c r="AR38" t="s">
        <v>125</v>
      </c>
      <c r="AT38" t="s">
        <v>667</v>
      </c>
      <c r="AU38" t="s">
        <v>555</v>
      </c>
      <c r="AV38" t="s">
        <v>128</v>
      </c>
      <c r="AZ38" t="s">
        <v>80</v>
      </c>
    </row>
    <row r="39" spans="1:52" hidden="1" x14ac:dyDescent="0.25">
      <c r="A39" t="s">
        <v>668</v>
      </c>
      <c r="B39" t="s">
        <v>669</v>
      </c>
      <c r="C39" t="s">
        <v>670</v>
      </c>
      <c r="D39" t="s">
        <v>150</v>
      </c>
      <c r="E39" t="s">
        <v>671</v>
      </c>
      <c r="F39" t="s">
        <v>671</v>
      </c>
      <c r="G39" t="s">
        <v>672</v>
      </c>
      <c r="H39" t="s">
        <v>673</v>
      </c>
      <c r="J39" t="s">
        <v>80</v>
      </c>
      <c r="K39" t="s">
        <v>110</v>
      </c>
      <c r="L39" t="s">
        <v>80</v>
      </c>
      <c r="M39">
        <v>69672</v>
      </c>
      <c r="P39" t="s">
        <v>154</v>
      </c>
      <c r="Q39" t="s">
        <v>539</v>
      </c>
      <c r="R39" t="s">
        <v>540</v>
      </c>
      <c r="S39" t="s">
        <v>541</v>
      </c>
      <c r="T39" t="s">
        <v>674</v>
      </c>
      <c r="U39" t="s">
        <v>675</v>
      </c>
      <c r="V39" t="s">
        <v>676</v>
      </c>
      <c r="W39" t="s">
        <v>302</v>
      </c>
      <c r="X39" t="s">
        <v>677</v>
      </c>
      <c r="Y39" t="s">
        <v>93</v>
      </c>
      <c r="Z39" t="s">
        <v>678</v>
      </c>
      <c r="AA39" t="s">
        <v>679</v>
      </c>
      <c r="AB39" t="s">
        <v>119</v>
      </c>
      <c r="AC39" t="s">
        <v>680</v>
      </c>
      <c r="AD39" t="s">
        <v>678</v>
      </c>
      <c r="AE39" t="s">
        <v>679</v>
      </c>
      <c r="AF39" t="s">
        <v>119</v>
      </c>
      <c r="AG39" t="s">
        <v>680</v>
      </c>
      <c r="AI39" t="s">
        <v>681</v>
      </c>
      <c r="AJ39" t="s">
        <v>678</v>
      </c>
      <c r="AK39" t="s">
        <v>99</v>
      </c>
      <c r="AL39" t="s">
        <v>682</v>
      </c>
      <c r="AM39" t="s">
        <v>683</v>
      </c>
      <c r="AQ39" t="s">
        <v>684</v>
      </c>
      <c r="AT39" t="s">
        <v>685</v>
      </c>
      <c r="AU39" t="s">
        <v>686</v>
      </c>
      <c r="AV39" t="s">
        <v>128</v>
      </c>
      <c r="AZ39" t="s">
        <v>80</v>
      </c>
    </row>
    <row r="40" spans="1:52" hidden="1" x14ac:dyDescent="0.25">
      <c r="A40" t="s">
        <v>687</v>
      </c>
      <c r="B40" t="s">
        <v>688</v>
      </c>
      <c r="C40" t="s">
        <v>689</v>
      </c>
      <c r="D40" t="s">
        <v>150</v>
      </c>
      <c r="E40" t="s">
        <v>690</v>
      </c>
      <c r="F40" t="s">
        <v>690</v>
      </c>
      <c r="G40" t="s">
        <v>691</v>
      </c>
      <c r="H40" t="s">
        <v>692</v>
      </c>
      <c r="J40" t="s">
        <v>80</v>
      </c>
      <c r="K40" t="s">
        <v>110</v>
      </c>
      <c r="L40" t="s">
        <v>80</v>
      </c>
      <c r="M40">
        <v>666021</v>
      </c>
      <c r="P40" t="s">
        <v>693</v>
      </c>
      <c r="Q40" t="s">
        <v>539</v>
      </c>
      <c r="R40" t="s">
        <v>694</v>
      </c>
      <c r="S40" t="s">
        <v>541</v>
      </c>
      <c r="T40" t="s">
        <v>695</v>
      </c>
      <c r="U40" t="s">
        <v>696</v>
      </c>
      <c r="W40" t="s">
        <v>697</v>
      </c>
      <c r="X40" t="s">
        <v>698</v>
      </c>
      <c r="Y40" t="s">
        <v>93</v>
      </c>
      <c r="Z40" t="s">
        <v>699</v>
      </c>
      <c r="AA40" t="s">
        <v>700</v>
      </c>
      <c r="AB40" t="s">
        <v>678</v>
      </c>
      <c r="AC40" t="s">
        <v>701</v>
      </c>
      <c r="AD40" t="s">
        <v>699</v>
      </c>
      <c r="AE40" t="s">
        <v>700</v>
      </c>
      <c r="AF40" t="s">
        <v>678</v>
      </c>
      <c r="AG40" t="s">
        <v>701</v>
      </c>
      <c r="AI40" t="s">
        <v>702</v>
      </c>
      <c r="AJ40" t="s">
        <v>699</v>
      </c>
      <c r="AK40" t="s">
        <v>99</v>
      </c>
      <c r="AL40" t="s">
        <v>703</v>
      </c>
      <c r="AM40" t="s">
        <v>704</v>
      </c>
      <c r="AQ40" t="s">
        <v>705</v>
      </c>
      <c r="AT40" t="s">
        <v>706</v>
      </c>
      <c r="AU40" t="s">
        <v>707</v>
      </c>
      <c r="AW40" t="s">
        <v>708</v>
      </c>
      <c r="AZ40" t="s">
        <v>80</v>
      </c>
    </row>
    <row r="41" spans="1:52" hidden="1" x14ac:dyDescent="0.25">
      <c r="A41" t="s">
        <v>709</v>
      </c>
      <c r="B41" t="s">
        <v>710</v>
      </c>
      <c r="C41" t="s">
        <v>711</v>
      </c>
      <c r="D41" t="s">
        <v>150</v>
      </c>
      <c r="E41" t="s">
        <v>712</v>
      </c>
      <c r="F41" t="s">
        <v>713</v>
      </c>
      <c r="G41" t="s">
        <v>714</v>
      </c>
      <c r="H41" t="s">
        <v>715</v>
      </c>
      <c r="J41" t="s">
        <v>80</v>
      </c>
      <c r="K41" t="s">
        <v>538</v>
      </c>
      <c r="L41" t="s">
        <v>111</v>
      </c>
      <c r="M41">
        <v>69220</v>
      </c>
      <c r="P41" t="s">
        <v>154</v>
      </c>
      <c r="Q41" t="s">
        <v>539</v>
      </c>
      <c r="R41" t="s">
        <v>540</v>
      </c>
      <c r="S41" t="s">
        <v>541</v>
      </c>
      <c r="T41" t="s">
        <v>542</v>
      </c>
      <c r="U41" t="s">
        <v>543</v>
      </c>
      <c r="V41" t="s">
        <v>716</v>
      </c>
      <c r="W41" t="s">
        <v>302</v>
      </c>
      <c r="X41" t="s">
        <v>546</v>
      </c>
      <c r="Y41" t="s">
        <v>93</v>
      </c>
      <c r="Z41" t="s">
        <v>548</v>
      </c>
      <c r="AA41" t="s">
        <v>717</v>
      </c>
      <c r="AB41" t="s">
        <v>119</v>
      </c>
      <c r="AC41" t="s">
        <v>718</v>
      </c>
      <c r="AD41" t="s">
        <v>548</v>
      </c>
      <c r="AE41" t="s">
        <v>717</v>
      </c>
      <c r="AF41" t="s">
        <v>119</v>
      </c>
      <c r="AG41" t="s">
        <v>718</v>
      </c>
      <c r="AI41" t="s">
        <v>719</v>
      </c>
      <c r="AJ41" t="s">
        <v>548</v>
      </c>
      <c r="AK41" t="s">
        <v>99</v>
      </c>
      <c r="AL41" t="s">
        <v>720</v>
      </c>
      <c r="AM41" t="s">
        <v>721</v>
      </c>
      <c r="AQ41" t="s">
        <v>722</v>
      </c>
      <c r="AR41" t="s">
        <v>125</v>
      </c>
      <c r="AT41" t="s">
        <v>723</v>
      </c>
      <c r="AU41" t="s">
        <v>555</v>
      </c>
      <c r="AV41" t="s">
        <v>128</v>
      </c>
      <c r="AZ41" t="s">
        <v>80</v>
      </c>
    </row>
    <row r="42" spans="1:52" hidden="1" x14ac:dyDescent="0.25">
      <c r="A42" t="s">
        <v>724</v>
      </c>
      <c r="B42" t="s">
        <v>725</v>
      </c>
      <c r="C42" t="s">
        <v>726</v>
      </c>
      <c r="D42" t="s">
        <v>150</v>
      </c>
      <c r="E42" t="s">
        <v>727</v>
      </c>
      <c r="F42" t="s">
        <v>728</v>
      </c>
      <c r="G42" t="s">
        <v>729</v>
      </c>
      <c r="H42" t="s">
        <v>730</v>
      </c>
      <c r="J42" t="s">
        <v>80</v>
      </c>
      <c r="K42" t="s">
        <v>538</v>
      </c>
      <c r="L42" t="s">
        <v>111</v>
      </c>
      <c r="M42">
        <v>69246</v>
      </c>
      <c r="P42" t="s">
        <v>154</v>
      </c>
      <c r="Q42" t="s">
        <v>731</v>
      </c>
      <c r="R42" t="s">
        <v>732</v>
      </c>
      <c r="S42" t="s">
        <v>733</v>
      </c>
      <c r="T42" t="s">
        <v>734</v>
      </c>
      <c r="U42" t="s">
        <v>735</v>
      </c>
      <c r="V42" t="s">
        <v>736</v>
      </c>
      <c r="W42" t="s">
        <v>737</v>
      </c>
      <c r="X42" t="s">
        <v>738</v>
      </c>
      <c r="Y42" t="s">
        <v>93</v>
      </c>
      <c r="Z42" t="s">
        <v>739</v>
      </c>
      <c r="AA42" t="s">
        <v>740</v>
      </c>
      <c r="AB42" t="s">
        <v>119</v>
      </c>
      <c r="AC42" t="s">
        <v>741</v>
      </c>
      <c r="AD42" t="s">
        <v>739</v>
      </c>
      <c r="AE42" t="s">
        <v>740</v>
      </c>
      <c r="AF42" t="s">
        <v>119</v>
      </c>
      <c r="AG42" t="s">
        <v>741</v>
      </c>
      <c r="AI42" t="s">
        <v>742</v>
      </c>
      <c r="AJ42" t="s">
        <v>739</v>
      </c>
      <c r="AK42" t="s">
        <v>99</v>
      </c>
      <c r="AL42" t="s">
        <v>743</v>
      </c>
      <c r="AM42" t="s">
        <v>744</v>
      </c>
      <c r="AQ42" t="s">
        <v>745</v>
      </c>
      <c r="AR42" t="s">
        <v>125</v>
      </c>
      <c r="AT42" t="s">
        <v>746</v>
      </c>
      <c r="AU42" t="s">
        <v>747</v>
      </c>
      <c r="AV42" t="s">
        <v>128</v>
      </c>
      <c r="AZ42" t="s">
        <v>80</v>
      </c>
    </row>
    <row r="43" spans="1:52" hidden="1" x14ac:dyDescent="0.25">
      <c r="A43" t="s">
        <v>748</v>
      </c>
      <c r="B43" t="s">
        <v>725</v>
      </c>
      <c r="C43" t="s">
        <v>749</v>
      </c>
      <c r="D43" t="s">
        <v>150</v>
      </c>
      <c r="E43" t="s">
        <v>750</v>
      </c>
      <c r="F43" t="s">
        <v>728</v>
      </c>
      <c r="G43" t="s">
        <v>729</v>
      </c>
      <c r="H43" t="s">
        <v>751</v>
      </c>
      <c r="J43" t="s">
        <v>80</v>
      </c>
      <c r="K43" t="s">
        <v>538</v>
      </c>
      <c r="L43" t="s">
        <v>111</v>
      </c>
      <c r="M43">
        <v>69246</v>
      </c>
      <c r="P43" t="s">
        <v>154</v>
      </c>
      <c r="Q43" t="s">
        <v>731</v>
      </c>
      <c r="R43" t="s">
        <v>732</v>
      </c>
      <c r="S43" t="s">
        <v>733</v>
      </c>
      <c r="T43" t="s">
        <v>734</v>
      </c>
      <c r="U43" t="s">
        <v>735</v>
      </c>
      <c r="V43" t="s">
        <v>736</v>
      </c>
      <c r="W43" t="s">
        <v>752</v>
      </c>
      <c r="X43" t="s">
        <v>753</v>
      </c>
      <c r="Y43" t="s">
        <v>93</v>
      </c>
      <c r="Z43" t="s">
        <v>739</v>
      </c>
      <c r="AA43" t="s">
        <v>740</v>
      </c>
      <c r="AB43" t="s">
        <v>119</v>
      </c>
      <c r="AC43" t="s">
        <v>741</v>
      </c>
      <c r="AD43" t="s">
        <v>739</v>
      </c>
      <c r="AE43" t="s">
        <v>740</v>
      </c>
      <c r="AF43" t="s">
        <v>119</v>
      </c>
      <c r="AG43" t="s">
        <v>741</v>
      </c>
      <c r="AI43" t="s">
        <v>742</v>
      </c>
      <c r="AJ43" t="s">
        <v>739</v>
      </c>
      <c r="AK43" t="s">
        <v>99</v>
      </c>
      <c r="AL43" t="s">
        <v>754</v>
      </c>
      <c r="AM43" t="s">
        <v>755</v>
      </c>
      <c r="AQ43" t="s">
        <v>756</v>
      </c>
      <c r="AR43" t="s">
        <v>125</v>
      </c>
      <c r="AT43" t="s">
        <v>757</v>
      </c>
      <c r="AU43" t="s">
        <v>758</v>
      </c>
      <c r="AV43" t="s">
        <v>128</v>
      </c>
      <c r="AZ43" t="s">
        <v>80</v>
      </c>
    </row>
    <row r="44" spans="1:52" hidden="1" x14ac:dyDescent="0.25">
      <c r="A44" t="s">
        <v>759</v>
      </c>
      <c r="B44" t="s">
        <v>760</v>
      </c>
      <c r="C44" t="s">
        <v>761</v>
      </c>
      <c r="D44" t="s">
        <v>150</v>
      </c>
      <c r="E44" t="s">
        <v>762</v>
      </c>
      <c r="F44" t="s">
        <v>763</v>
      </c>
      <c r="G44" t="s">
        <v>763</v>
      </c>
      <c r="H44" t="s">
        <v>764</v>
      </c>
      <c r="J44" t="s">
        <v>80</v>
      </c>
      <c r="K44" t="s">
        <v>110</v>
      </c>
      <c r="L44" t="s">
        <v>111</v>
      </c>
      <c r="M44">
        <v>66512</v>
      </c>
      <c r="P44" t="s">
        <v>154</v>
      </c>
      <c r="Q44" t="s">
        <v>731</v>
      </c>
      <c r="R44" t="s">
        <v>732</v>
      </c>
      <c r="S44" t="s">
        <v>733</v>
      </c>
      <c r="T44" t="s">
        <v>618</v>
      </c>
      <c r="U44" t="s">
        <v>765</v>
      </c>
      <c r="V44" t="s">
        <v>160</v>
      </c>
      <c r="W44" t="s">
        <v>601</v>
      </c>
      <c r="X44" t="s">
        <v>621</v>
      </c>
      <c r="Y44" t="s">
        <v>93</v>
      </c>
      <c r="Z44" t="s">
        <v>622</v>
      </c>
      <c r="AA44" t="s">
        <v>766</v>
      </c>
      <c r="AB44" t="s">
        <v>119</v>
      </c>
      <c r="AC44" t="s">
        <v>767</v>
      </c>
      <c r="AD44" t="s">
        <v>622</v>
      </c>
      <c r="AE44" t="s">
        <v>766</v>
      </c>
      <c r="AF44" t="s">
        <v>119</v>
      </c>
      <c r="AG44" t="s">
        <v>767</v>
      </c>
      <c r="AI44" t="s">
        <v>768</v>
      </c>
      <c r="AJ44" t="s">
        <v>622</v>
      </c>
      <c r="AK44" t="s">
        <v>99</v>
      </c>
      <c r="AL44" t="s">
        <v>769</v>
      </c>
      <c r="AM44" t="s">
        <v>770</v>
      </c>
      <c r="AQ44" t="s">
        <v>771</v>
      </c>
      <c r="AR44" t="s">
        <v>125</v>
      </c>
      <c r="AT44" t="s">
        <v>772</v>
      </c>
      <c r="AU44" t="s">
        <v>773</v>
      </c>
      <c r="AV44" t="s">
        <v>128</v>
      </c>
      <c r="AZ44" t="s">
        <v>80</v>
      </c>
    </row>
    <row r="45" spans="1:52" hidden="1" x14ac:dyDescent="0.25">
      <c r="A45" t="s">
        <v>774</v>
      </c>
      <c r="B45" t="s">
        <v>775</v>
      </c>
      <c r="C45" t="s">
        <v>776</v>
      </c>
      <c r="D45" t="s">
        <v>150</v>
      </c>
      <c r="E45" t="s">
        <v>777</v>
      </c>
      <c r="F45" t="s">
        <v>778</v>
      </c>
      <c r="G45" t="s">
        <v>778</v>
      </c>
      <c r="H45" t="s">
        <v>779</v>
      </c>
      <c r="J45" t="s">
        <v>80</v>
      </c>
      <c r="K45" t="s">
        <v>110</v>
      </c>
      <c r="L45" t="s">
        <v>111</v>
      </c>
      <c r="M45">
        <v>66563</v>
      </c>
      <c r="P45" t="s">
        <v>154</v>
      </c>
      <c r="Q45" t="s">
        <v>731</v>
      </c>
      <c r="R45" t="s">
        <v>732</v>
      </c>
      <c r="S45" t="s">
        <v>733</v>
      </c>
      <c r="T45" t="s">
        <v>618</v>
      </c>
      <c r="U45" t="s">
        <v>780</v>
      </c>
      <c r="V45" t="s">
        <v>781</v>
      </c>
      <c r="W45" t="s">
        <v>601</v>
      </c>
      <c r="X45" t="s">
        <v>621</v>
      </c>
      <c r="Y45" t="s">
        <v>93</v>
      </c>
      <c r="Z45" t="s">
        <v>119</v>
      </c>
      <c r="AA45" t="s">
        <v>782</v>
      </c>
      <c r="AB45" t="s">
        <v>622</v>
      </c>
      <c r="AC45" t="s">
        <v>783</v>
      </c>
      <c r="AD45" t="s">
        <v>119</v>
      </c>
      <c r="AE45" t="s">
        <v>782</v>
      </c>
      <c r="AF45" t="s">
        <v>622</v>
      </c>
      <c r="AG45" t="s">
        <v>783</v>
      </c>
      <c r="AI45" t="s">
        <v>784</v>
      </c>
      <c r="AJ45" t="s">
        <v>119</v>
      </c>
      <c r="AK45" t="s">
        <v>99</v>
      </c>
      <c r="AL45" t="s">
        <v>785</v>
      </c>
      <c r="AM45" t="s">
        <v>786</v>
      </c>
      <c r="AQ45" t="s">
        <v>787</v>
      </c>
      <c r="AR45" t="s">
        <v>125</v>
      </c>
      <c r="AT45" t="s">
        <v>788</v>
      </c>
      <c r="AU45" t="s">
        <v>773</v>
      </c>
      <c r="AV45" t="s">
        <v>128</v>
      </c>
      <c r="AZ45" t="s">
        <v>80</v>
      </c>
    </row>
    <row r="46" spans="1:52" hidden="1" x14ac:dyDescent="0.25">
      <c r="A46" t="s">
        <v>789</v>
      </c>
      <c r="B46" t="s">
        <v>790</v>
      </c>
      <c r="C46" t="s">
        <v>791</v>
      </c>
      <c r="D46" t="s">
        <v>150</v>
      </c>
      <c r="E46" t="s">
        <v>792</v>
      </c>
      <c r="F46" t="s">
        <v>793</v>
      </c>
      <c r="G46" t="s">
        <v>793</v>
      </c>
      <c r="H46" t="s">
        <v>794</v>
      </c>
      <c r="J46" t="s">
        <v>80</v>
      </c>
      <c r="K46" t="s">
        <v>110</v>
      </c>
      <c r="L46" t="s">
        <v>111</v>
      </c>
      <c r="M46">
        <v>60772</v>
      </c>
      <c r="P46" t="s">
        <v>154</v>
      </c>
      <c r="Q46" t="s">
        <v>731</v>
      </c>
      <c r="R46" t="s">
        <v>732</v>
      </c>
      <c r="S46" t="s">
        <v>733</v>
      </c>
      <c r="T46" t="s">
        <v>562</v>
      </c>
      <c r="U46" t="s">
        <v>795</v>
      </c>
      <c r="V46" t="s">
        <v>796</v>
      </c>
      <c r="W46" t="s">
        <v>797</v>
      </c>
      <c r="X46" t="s">
        <v>798</v>
      </c>
      <c r="Y46" t="s">
        <v>93</v>
      </c>
      <c r="Z46" t="s">
        <v>567</v>
      </c>
      <c r="AA46" t="s">
        <v>799</v>
      </c>
      <c r="AB46" t="s">
        <v>119</v>
      </c>
      <c r="AC46" t="s">
        <v>800</v>
      </c>
      <c r="AD46" t="s">
        <v>567</v>
      </c>
      <c r="AE46" t="s">
        <v>799</v>
      </c>
      <c r="AF46" t="s">
        <v>119</v>
      </c>
      <c r="AG46" t="s">
        <v>800</v>
      </c>
      <c r="AI46" t="s">
        <v>801</v>
      </c>
      <c r="AJ46" t="s">
        <v>567</v>
      </c>
      <c r="AK46" t="s">
        <v>99</v>
      </c>
      <c r="AL46" t="s">
        <v>802</v>
      </c>
      <c r="AM46" t="s">
        <v>786</v>
      </c>
      <c r="AQ46" t="s">
        <v>803</v>
      </c>
      <c r="AR46" t="s">
        <v>125</v>
      </c>
      <c r="AT46" t="s">
        <v>804</v>
      </c>
      <c r="AU46" t="s">
        <v>773</v>
      </c>
      <c r="AV46" t="s">
        <v>128</v>
      </c>
      <c r="AZ46" t="s">
        <v>80</v>
      </c>
    </row>
    <row r="47" spans="1:52" hidden="1" x14ac:dyDescent="0.25">
      <c r="A47" t="s">
        <v>805</v>
      </c>
      <c r="B47" t="s">
        <v>806</v>
      </c>
      <c r="C47" t="s">
        <v>807</v>
      </c>
      <c r="D47" t="s">
        <v>150</v>
      </c>
      <c r="E47" t="s">
        <v>808</v>
      </c>
      <c r="F47" t="s">
        <v>809</v>
      </c>
      <c r="G47" t="s">
        <v>809</v>
      </c>
      <c r="H47" t="s">
        <v>810</v>
      </c>
      <c r="J47" t="s">
        <v>80</v>
      </c>
      <c r="K47" t="s">
        <v>110</v>
      </c>
      <c r="L47" t="s">
        <v>111</v>
      </c>
      <c r="M47">
        <v>60753</v>
      </c>
      <c r="P47" t="s">
        <v>154</v>
      </c>
      <c r="Q47" t="s">
        <v>731</v>
      </c>
      <c r="R47" t="s">
        <v>732</v>
      </c>
      <c r="S47" t="s">
        <v>733</v>
      </c>
      <c r="T47" t="s">
        <v>562</v>
      </c>
      <c r="U47" t="s">
        <v>795</v>
      </c>
      <c r="V47" t="s">
        <v>796</v>
      </c>
      <c r="W47" t="s">
        <v>797</v>
      </c>
      <c r="X47" t="s">
        <v>798</v>
      </c>
      <c r="Y47" t="s">
        <v>93</v>
      </c>
      <c r="Z47" t="s">
        <v>119</v>
      </c>
      <c r="AA47" t="s">
        <v>811</v>
      </c>
      <c r="AB47" t="s">
        <v>567</v>
      </c>
      <c r="AC47" t="s">
        <v>812</v>
      </c>
      <c r="AD47" t="s">
        <v>119</v>
      </c>
      <c r="AE47" t="s">
        <v>811</v>
      </c>
      <c r="AF47" t="s">
        <v>567</v>
      </c>
      <c r="AG47" t="s">
        <v>812</v>
      </c>
      <c r="AI47" t="s">
        <v>813</v>
      </c>
      <c r="AJ47" t="s">
        <v>119</v>
      </c>
      <c r="AK47" t="s">
        <v>99</v>
      </c>
      <c r="AL47" t="s">
        <v>814</v>
      </c>
      <c r="AM47" t="s">
        <v>815</v>
      </c>
      <c r="AQ47" t="s">
        <v>816</v>
      </c>
      <c r="AR47" t="s">
        <v>125</v>
      </c>
      <c r="AT47" t="s">
        <v>817</v>
      </c>
      <c r="AU47" t="s">
        <v>773</v>
      </c>
      <c r="AV47" t="s">
        <v>128</v>
      </c>
      <c r="AZ47" t="s">
        <v>80</v>
      </c>
    </row>
    <row r="48" spans="1:52" hidden="1" x14ac:dyDescent="0.25">
      <c r="A48" t="s">
        <v>818</v>
      </c>
      <c r="B48" t="s">
        <v>819</v>
      </c>
      <c r="C48" t="s">
        <v>820</v>
      </c>
      <c r="D48" t="s">
        <v>150</v>
      </c>
      <c r="E48" t="s">
        <v>821</v>
      </c>
      <c r="F48" t="s">
        <v>822</v>
      </c>
      <c r="G48" t="s">
        <v>822</v>
      </c>
      <c r="H48" t="s">
        <v>823</v>
      </c>
      <c r="J48" t="s">
        <v>80</v>
      </c>
      <c r="K48" t="s">
        <v>110</v>
      </c>
      <c r="L48" t="s">
        <v>111</v>
      </c>
      <c r="M48">
        <v>69222</v>
      </c>
      <c r="P48" t="s">
        <v>154</v>
      </c>
      <c r="Q48" t="s">
        <v>731</v>
      </c>
      <c r="R48" t="s">
        <v>732</v>
      </c>
      <c r="S48" t="s">
        <v>733</v>
      </c>
      <c r="T48" t="s">
        <v>824</v>
      </c>
      <c r="U48" t="s">
        <v>825</v>
      </c>
      <c r="V48" t="s">
        <v>826</v>
      </c>
      <c r="W48" t="s">
        <v>827</v>
      </c>
      <c r="X48" t="s">
        <v>828</v>
      </c>
      <c r="Y48" t="s">
        <v>93</v>
      </c>
      <c r="Z48" t="s">
        <v>829</v>
      </c>
      <c r="AA48" t="s">
        <v>830</v>
      </c>
      <c r="AB48" t="s">
        <v>119</v>
      </c>
      <c r="AC48" t="s">
        <v>164</v>
      </c>
      <c r="AD48" t="s">
        <v>829</v>
      </c>
      <c r="AE48" t="s">
        <v>830</v>
      </c>
      <c r="AF48" t="s">
        <v>119</v>
      </c>
      <c r="AG48" t="s">
        <v>164</v>
      </c>
      <c r="AI48" t="s">
        <v>831</v>
      </c>
      <c r="AJ48" t="s">
        <v>829</v>
      </c>
      <c r="AK48" t="s">
        <v>99</v>
      </c>
      <c r="AL48" t="s">
        <v>832</v>
      </c>
      <c r="AM48" t="s">
        <v>833</v>
      </c>
      <c r="AQ48" t="s">
        <v>834</v>
      </c>
      <c r="AR48" t="s">
        <v>125</v>
      </c>
      <c r="AT48" t="s">
        <v>835</v>
      </c>
      <c r="AU48" t="s">
        <v>836</v>
      </c>
      <c r="AV48" t="s">
        <v>128</v>
      </c>
      <c r="AZ48" t="s">
        <v>80</v>
      </c>
    </row>
    <row r="49" spans="1:52" hidden="1" x14ac:dyDescent="0.25">
      <c r="A49" t="s">
        <v>837</v>
      </c>
      <c r="B49" t="s">
        <v>819</v>
      </c>
      <c r="C49" t="s">
        <v>838</v>
      </c>
      <c r="D49" t="s">
        <v>150</v>
      </c>
      <c r="E49" t="s">
        <v>839</v>
      </c>
      <c r="F49" t="s">
        <v>822</v>
      </c>
      <c r="G49" t="s">
        <v>822</v>
      </c>
      <c r="H49" t="s">
        <v>840</v>
      </c>
      <c r="J49" t="s">
        <v>80</v>
      </c>
      <c r="K49" t="s">
        <v>110</v>
      </c>
      <c r="L49" t="s">
        <v>111</v>
      </c>
      <c r="M49">
        <v>69222</v>
      </c>
      <c r="P49" t="s">
        <v>154</v>
      </c>
      <c r="Q49" t="s">
        <v>731</v>
      </c>
      <c r="R49" t="s">
        <v>732</v>
      </c>
      <c r="S49" t="s">
        <v>733</v>
      </c>
      <c r="T49" t="s">
        <v>824</v>
      </c>
      <c r="U49" t="s">
        <v>825</v>
      </c>
      <c r="V49" t="s">
        <v>826</v>
      </c>
      <c r="W49" t="s">
        <v>841</v>
      </c>
      <c r="X49" t="s">
        <v>842</v>
      </c>
      <c r="Y49" t="s">
        <v>93</v>
      </c>
      <c r="Z49" t="s">
        <v>829</v>
      </c>
      <c r="AA49" t="s">
        <v>830</v>
      </c>
      <c r="AB49" t="s">
        <v>119</v>
      </c>
      <c r="AC49" t="s">
        <v>164</v>
      </c>
      <c r="AD49" t="s">
        <v>829</v>
      </c>
      <c r="AE49" t="s">
        <v>830</v>
      </c>
      <c r="AF49" t="s">
        <v>119</v>
      </c>
      <c r="AG49" t="s">
        <v>164</v>
      </c>
      <c r="AI49" t="s">
        <v>831</v>
      </c>
      <c r="AJ49" t="s">
        <v>829</v>
      </c>
      <c r="AK49" t="s">
        <v>99</v>
      </c>
      <c r="AL49" t="s">
        <v>843</v>
      </c>
      <c r="AM49" t="s">
        <v>833</v>
      </c>
      <c r="AQ49" t="s">
        <v>844</v>
      </c>
      <c r="AR49" t="s">
        <v>125</v>
      </c>
      <c r="AT49" t="s">
        <v>845</v>
      </c>
      <c r="AU49" t="s">
        <v>836</v>
      </c>
      <c r="AV49" t="s">
        <v>128</v>
      </c>
      <c r="AZ49" t="s">
        <v>80</v>
      </c>
    </row>
    <row r="50" spans="1:52" hidden="1" x14ac:dyDescent="0.25">
      <c r="A50" t="s">
        <v>846</v>
      </c>
      <c r="B50" t="s">
        <v>847</v>
      </c>
      <c r="C50" t="s">
        <v>848</v>
      </c>
      <c r="D50" t="s">
        <v>150</v>
      </c>
      <c r="E50" t="s">
        <v>849</v>
      </c>
      <c r="F50" t="s">
        <v>850</v>
      </c>
      <c r="G50" t="s">
        <v>850</v>
      </c>
      <c r="H50" t="s">
        <v>851</v>
      </c>
      <c r="J50" t="s">
        <v>80</v>
      </c>
      <c r="K50" t="s">
        <v>110</v>
      </c>
      <c r="L50" t="s">
        <v>111</v>
      </c>
      <c r="M50">
        <v>69230</v>
      </c>
      <c r="P50" t="s">
        <v>154</v>
      </c>
      <c r="Q50" t="s">
        <v>731</v>
      </c>
      <c r="R50" t="s">
        <v>732</v>
      </c>
      <c r="S50" t="s">
        <v>733</v>
      </c>
      <c r="T50" t="s">
        <v>734</v>
      </c>
      <c r="U50" t="s">
        <v>852</v>
      </c>
      <c r="V50" t="s">
        <v>853</v>
      </c>
      <c r="W50" t="s">
        <v>737</v>
      </c>
      <c r="X50" t="s">
        <v>738</v>
      </c>
      <c r="Y50" t="s">
        <v>93</v>
      </c>
      <c r="Z50" t="s">
        <v>739</v>
      </c>
      <c r="AA50" t="s">
        <v>854</v>
      </c>
      <c r="AB50" t="s">
        <v>119</v>
      </c>
      <c r="AC50" t="s">
        <v>855</v>
      </c>
      <c r="AD50" t="s">
        <v>739</v>
      </c>
      <c r="AE50" t="s">
        <v>854</v>
      </c>
      <c r="AF50" t="s">
        <v>119</v>
      </c>
      <c r="AG50" t="s">
        <v>855</v>
      </c>
      <c r="AI50" t="s">
        <v>856</v>
      </c>
      <c r="AJ50" t="s">
        <v>739</v>
      </c>
      <c r="AK50" t="s">
        <v>99</v>
      </c>
      <c r="AL50" t="s">
        <v>857</v>
      </c>
      <c r="AM50" t="s">
        <v>858</v>
      </c>
      <c r="AQ50" t="s">
        <v>859</v>
      </c>
      <c r="AR50" t="s">
        <v>125</v>
      </c>
      <c r="AT50" t="s">
        <v>860</v>
      </c>
      <c r="AU50" t="s">
        <v>773</v>
      </c>
      <c r="AV50" t="s">
        <v>128</v>
      </c>
      <c r="AZ50" t="s">
        <v>80</v>
      </c>
    </row>
    <row r="51" spans="1:52" hidden="1" x14ac:dyDescent="0.25">
      <c r="A51" t="s">
        <v>861</v>
      </c>
      <c r="B51" t="s">
        <v>847</v>
      </c>
      <c r="C51" t="s">
        <v>862</v>
      </c>
      <c r="D51" t="s">
        <v>150</v>
      </c>
      <c r="E51" t="s">
        <v>863</v>
      </c>
      <c r="F51" t="s">
        <v>850</v>
      </c>
      <c r="G51" t="s">
        <v>850</v>
      </c>
      <c r="H51" t="s">
        <v>864</v>
      </c>
      <c r="J51" t="s">
        <v>80</v>
      </c>
      <c r="K51" t="s">
        <v>110</v>
      </c>
      <c r="L51" t="s">
        <v>111</v>
      </c>
      <c r="M51">
        <v>69230</v>
      </c>
      <c r="P51" t="s">
        <v>154</v>
      </c>
      <c r="Q51" t="s">
        <v>731</v>
      </c>
      <c r="R51" t="s">
        <v>732</v>
      </c>
      <c r="S51" t="s">
        <v>733</v>
      </c>
      <c r="T51" t="s">
        <v>734</v>
      </c>
      <c r="U51" t="s">
        <v>852</v>
      </c>
      <c r="V51" t="s">
        <v>853</v>
      </c>
      <c r="W51" t="s">
        <v>752</v>
      </c>
      <c r="X51" t="s">
        <v>753</v>
      </c>
      <c r="Y51" t="s">
        <v>93</v>
      </c>
      <c r="Z51" t="s">
        <v>739</v>
      </c>
      <c r="AA51" t="s">
        <v>854</v>
      </c>
      <c r="AB51" t="s">
        <v>119</v>
      </c>
      <c r="AC51" t="s">
        <v>855</v>
      </c>
      <c r="AD51" t="s">
        <v>739</v>
      </c>
      <c r="AE51" t="s">
        <v>854</v>
      </c>
      <c r="AF51" t="s">
        <v>119</v>
      </c>
      <c r="AG51" t="s">
        <v>855</v>
      </c>
      <c r="AI51" t="s">
        <v>856</v>
      </c>
      <c r="AJ51" t="s">
        <v>739</v>
      </c>
      <c r="AK51" t="s">
        <v>99</v>
      </c>
      <c r="AL51" t="s">
        <v>865</v>
      </c>
      <c r="AM51" t="s">
        <v>866</v>
      </c>
      <c r="AQ51" t="s">
        <v>867</v>
      </c>
      <c r="AR51" t="s">
        <v>125</v>
      </c>
      <c r="AT51" t="s">
        <v>868</v>
      </c>
      <c r="AU51" t="s">
        <v>773</v>
      </c>
      <c r="AV51" t="s">
        <v>128</v>
      </c>
      <c r="AZ51" t="s">
        <v>80</v>
      </c>
    </row>
    <row r="52" spans="1:52" hidden="1" x14ac:dyDescent="0.25">
      <c r="A52" t="s">
        <v>869</v>
      </c>
      <c r="B52" t="s">
        <v>870</v>
      </c>
      <c r="C52" t="s">
        <v>871</v>
      </c>
      <c r="D52" t="s">
        <v>150</v>
      </c>
      <c r="E52" t="s">
        <v>872</v>
      </c>
      <c r="F52" t="s">
        <v>873</v>
      </c>
      <c r="G52" t="s">
        <v>873</v>
      </c>
      <c r="H52" t="s">
        <v>874</v>
      </c>
      <c r="J52" t="s">
        <v>80</v>
      </c>
      <c r="K52" t="s">
        <v>81</v>
      </c>
      <c r="L52" t="s">
        <v>111</v>
      </c>
      <c r="M52">
        <v>66389</v>
      </c>
      <c r="P52" t="s">
        <v>154</v>
      </c>
      <c r="Q52" t="s">
        <v>731</v>
      </c>
      <c r="R52" t="s">
        <v>732</v>
      </c>
      <c r="S52" t="s">
        <v>733</v>
      </c>
      <c r="T52" t="s">
        <v>875</v>
      </c>
      <c r="U52" t="s">
        <v>138</v>
      </c>
      <c r="V52" t="s">
        <v>876</v>
      </c>
      <c r="W52" t="s">
        <v>737</v>
      </c>
      <c r="X52" t="s">
        <v>877</v>
      </c>
      <c r="Y52" t="s">
        <v>93</v>
      </c>
      <c r="Z52" t="s">
        <v>829</v>
      </c>
      <c r="AA52" t="s">
        <v>183</v>
      </c>
      <c r="AB52" t="s">
        <v>739</v>
      </c>
      <c r="AC52" t="s">
        <v>878</v>
      </c>
      <c r="AD52" t="s">
        <v>829</v>
      </c>
      <c r="AE52" t="s">
        <v>183</v>
      </c>
      <c r="AF52" t="s">
        <v>739</v>
      </c>
      <c r="AG52" t="s">
        <v>878</v>
      </c>
      <c r="AI52" t="s">
        <v>185</v>
      </c>
      <c r="AJ52" t="s">
        <v>829</v>
      </c>
      <c r="AK52" t="s">
        <v>99</v>
      </c>
      <c r="AL52" t="s">
        <v>879</v>
      </c>
      <c r="AM52" t="s">
        <v>880</v>
      </c>
      <c r="AQ52" t="s">
        <v>881</v>
      </c>
      <c r="AR52" t="s">
        <v>125</v>
      </c>
      <c r="AT52" t="s">
        <v>882</v>
      </c>
      <c r="AU52" t="s">
        <v>773</v>
      </c>
      <c r="AV52" t="s">
        <v>128</v>
      </c>
      <c r="AZ52" t="s">
        <v>80</v>
      </c>
    </row>
    <row r="53" spans="1:52" hidden="1" x14ac:dyDescent="0.25">
      <c r="A53" t="s">
        <v>883</v>
      </c>
      <c r="B53" t="s">
        <v>870</v>
      </c>
      <c r="C53" t="s">
        <v>871</v>
      </c>
      <c r="D53" t="s">
        <v>150</v>
      </c>
      <c r="E53" t="s">
        <v>884</v>
      </c>
      <c r="F53" t="s">
        <v>873</v>
      </c>
      <c r="G53" t="s">
        <v>873</v>
      </c>
      <c r="H53" t="s">
        <v>885</v>
      </c>
      <c r="J53" t="s">
        <v>80</v>
      </c>
      <c r="K53" t="s">
        <v>81</v>
      </c>
      <c r="L53" t="s">
        <v>111</v>
      </c>
      <c r="M53">
        <v>66389</v>
      </c>
      <c r="P53" t="s">
        <v>154</v>
      </c>
      <c r="Q53" t="s">
        <v>731</v>
      </c>
      <c r="R53" t="s">
        <v>732</v>
      </c>
      <c r="S53" t="s">
        <v>733</v>
      </c>
      <c r="T53" t="s">
        <v>875</v>
      </c>
      <c r="U53" t="s">
        <v>138</v>
      </c>
      <c r="V53" t="s">
        <v>876</v>
      </c>
      <c r="W53" t="s">
        <v>886</v>
      </c>
      <c r="X53" t="s">
        <v>887</v>
      </c>
      <c r="Y53" t="s">
        <v>93</v>
      </c>
      <c r="Z53" t="s">
        <v>829</v>
      </c>
      <c r="AA53" t="s">
        <v>183</v>
      </c>
      <c r="AB53" t="s">
        <v>739</v>
      </c>
      <c r="AC53" t="s">
        <v>878</v>
      </c>
      <c r="AD53" t="s">
        <v>829</v>
      </c>
      <c r="AE53" t="s">
        <v>183</v>
      </c>
      <c r="AF53" t="s">
        <v>739</v>
      </c>
      <c r="AG53" t="s">
        <v>878</v>
      </c>
      <c r="AI53" t="s">
        <v>185</v>
      </c>
      <c r="AJ53" t="s">
        <v>829</v>
      </c>
      <c r="AK53" t="s">
        <v>99</v>
      </c>
      <c r="AL53" t="s">
        <v>888</v>
      </c>
      <c r="AM53" t="s">
        <v>889</v>
      </c>
      <c r="AQ53" t="s">
        <v>890</v>
      </c>
      <c r="AR53" t="s">
        <v>125</v>
      </c>
      <c r="AT53" t="s">
        <v>891</v>
      </c>
      <c r="AU53" t="s">
        <v>773</v>
      </c>
      <c r="AV53" t="s">
        <v>128</v>
      </c>
      <c r="AZ53" t="s">
        <v>80</v>
      </c>
    </row>
    <row r="54" spans="1:52" hidden="1" x14ac:dyDescent="0.25">
      <c r="A54" t="s">
        <v>892</v>
      </c>
      <c r="B54" t="s">
        <v>870</v>
      </c>
      <c r="C54" t="s">
        <v>893</v>
      </c>
      <c r="D54" t="s">
        <v>150</v>
      </c>
      <c r="E54" t="s">
        <v>894</v>
      </c>
      <c r="F54" t="s">
        <v>873</v>
      </c>
      <c r="G54" t="s">
        <v>873</v>
      </c>
      <c r="H54" t="s">
        <v>895</v>
      </c>
      <c r="J54" t="s">
        <v>80</v>
      </c>
      <c r="K54" t="s">
        <v>81</v>
      </c>
      <c r="L54" t="s">
        <v>111</v>
      </c>
      <c r="M54">
        <v>66389</v>
      </c>
      <c r="P54" t="s">
        <v>154</v>
      </c>
      <c r="Q54" t="s">
        <v>731</v>
      </c>
      <c r="R54" t="s">
        <v>732</v>
      </c>
      <c r="S54" t="s">
        <v>733</v>
      </c>
      <c r="T54" t="s">
        <v>875</v>
      </c>
      <c r="U54" t="s">
        <v>138</v>
      </c>
      <c r="V54" t="s">
        <v>876</v>
      </c>
      <c r="W54" t="s">
        <v>896</v>
      </c>
      <c r="X54" t="s">
        <v>897</v>
      </c>
      <c r="Y54" t="s">
        <v>93</v>
      </c>
      <c r="Z54" t="s">
        <v>829</v>
      </c>
      <c r="AA54" t="s">
        <v>183</v>
      </c>
      <c r="AB54" t="s">
        <v>739</v>
      </c>
      <c r="AC54" t="s">
        <v>878</v>
      </c>
      <c r="AD54" t="s">
        <v>829</v>
      </c>
      <c r="AE54" t="s">
        <v>183</v>
      </c>
      <c r="AF54" t="s">
        <v>739</v>
      </c>
      <c r="AG54" t="s">
        <v>878</v>
      </c>
      <c r="AI54" t="s">
        <v>185</v>
      </c>
      <c r="AJ54" t="s">
        <v>829</v>
      </c>
      <c r="AK54" t="s">
        <v>99</v>
      </c>
      <c r="AL54" t="s">
        <v>898</v>
      </c>
      <c r="AM54" t="s">
        <v>889</v>
      </c>
      <c r="AQ54" t="s">
        <v>899</v>
      </c>
      <c r="AR54" t="s">
        <v>125</v>
      </c>
      <c r="AT54" t="s">
        <v>900</v>
      </c>
      <c r="AU54" t="s">
        <v>773</v>
      </c>
      <c r="AV54" t="s">
        <v>128</v>
      </c>
      <c r="AZ54" t="s">
        <v>80</v>
      </c>
    </row>
    <row r="55" spans="1:52" hidden="1" x14ac:dyDescent="0.25">
      <c r="A55" t="s">
        <v>901</v>
      </c>
      <c r="B55" t="s">
        <v>902</v>
      </c>
      <c r="C55" t="s">
        <v>903</v>
      </c>
      <c r="D55" t="s">
        <v>150</v>
      </c>
      <c r="E55" t="s">
        <v>904</v>
      </c>
      <c r="F55" t="s">
        <v>905</v>
      </c>
      <c r="G55" t="s">
        <v>905</v>
      </c>
      <c r="H55" t="s">
        <v>906</v>
      </c>
      <c r="J55" t="s">
        <v>80</v>
      </c>
      <c r="K55" t="s">
        <v>110</v>
      </c>
      <c r="L55" t="s">
        <v>111</v>
      </c>
      <c r="M55">
        <v>60778</v>
      </c>
      <c r="P55" t="s">
        <v>154</v>
      </c>
      <c r="Q55" t="s">
        <v>731</v>
      </c>
      <c r="R55" t="s">
        <v>732</v>
      </c>
      <c r="S55" t="s">
        <v>733</v>
      </c>
      <c r="T55" t="s">
        <v>562</v>
      </c>
      <c r="U55" t="s">
        <v>795</v>
      </c>
      <c r="V55" t="s">
        <v>583</v>
      </c>
      <c r="W55" t="s">
        <v>797</v>
      </c>
      <c r="X55" t="s">
        <v>798</v>
      </c>
      <c r="Y55" t="s">
        <v>93</v>
      </c>
      <c r="Z55" t="s">
        <v>567</v>
      </c>
      <c r="AA55" t="s">
        <v>907</v>
      </c>
      <c r="AB55" t="s">
        <v>119</v>
      </c>
      <c r="AC55" t="s">
        <v>908</v>
      </c>
      <c r="AD55" t="s">
        <v>567</v>
      </c>
      <c r="AE55" t="s">
        <v>907</v>
      </c>
      <c r="AF55" t="s">
        <v>119</v>
      </c>
      <c r="AG55" t="s">
        <v>908</v>
      </c>
      <c r="AI55" t="s">
        <v>909</v>
      </c>
      <c r="AJ55" t="s">
        <v>567</v>
      </c>
      <c r="AK55" t="s">
        <v>99</v>
      </c>
      <c r="AL55" t="s">
        <v>910</v>
      </c>
      <c r="AM55" t="s">
        <v>911</v>
      </c>
      <c r="AQ55" t="s">
        <v>912</v>
      </c>
      <c r="AR55" t="s">
        <v>125</v>
      </c>
      <c r="AT55" t="s">
        <v>913</v>
      </c>
      <c r="AU55" t="s">
        <v>773</v>
      </c>
      <c r="AV55" t="s">
        <v>128</v>
      </c>
      <c r="AZ55" t="s">
        <v>80</v>
      </c>
    </row>
    <row r="56" spans="1:52" hidden="1" x14ac:dyDescent="0.25">
      <c r="A56" t="s">
        <v>914</v>
      </c>
      <c r="B56" t="s">
        <v>915</v>
      </c>
      <c r="C56" t="s">
        <v>916</v>
      </c>
      <c r="D56" t="s">
        <v>150</v>
      </c>
      <c r="E56" t="s">
        <v>917</v>
      </c>
      <c r="F56" t="s">
        <v>918</v>
      </c>
      <c r="G56" t="s">
        <v>918</v>
      </c>
      <c r="H56" t="s">
        <v>919</v>
      </c>
      <c r="J56" t="s">
        <v>80</v>
      </c>
      <c r="K56" t="s">
        <v>110</v>
      </c>
      <c r="L56" t="s">
        <v>111</v>
      </c>
      <c r="M56">
        <v>60759</v>
      </c>
      <c r="P56" t="s">
        <v>154</v>
      </c>
      <c r="Q56" t="s">
        <v>731</v>
      </c>
      <c r="R56" t="s">
        <v>732</v>
      </c>
      <c r="S56" t="s">
        <v>733</v>
      </c>
      <c r="T56" t="s">
        <v>562</v>
      </c>
      <c r="U56" t="s">
        <v>160</v>
      </c>
      <c r="V56" t="s">
        <v>796</v>
      </c>
      <c r="W56" t="s">
        <v>797</v>
      </c>
      <c r="X56" t="s">
        <v>798</v>
      </c>
      <c r="Y56" t="s">
        <v>93</v>
      </c>
      <c r="Z56" t="s">
        <v>119</v>
      </c>
      <c r="AA56" t="s">
        <v>920</v>
      </c>
      <c r="AB56" t="s">
        <v>567</v>
      </c>
      <c r="AC56" t="s">
        <v>921</v>
      </c>
      <c r="AD56" t="s">
        <v>119</v>
      </c>
      <c r="AE56" t="s">
        <v>920</v>
      </c>
      <c r="AF56" t="s">
        <v>567</v>
      </c>
      <c r="AG56" t="s">
        <v>921</v>
      </c>
      <c r="AI56" t="s">
        <v>922</v>
      </c>
      <c r="AJ56" t="s">
        <v>119</v>
      </c>
      <c r="AK56" t="s">
        <v>99</v>
      </c>
      <c r="AL56" t="s">
        <v>923</v>
      </c>
      <c r="AM56" t="s">
        <v>924</v>
      </c>
      <c r="AQ56" t="s">
        <v>925</v>
      </c>
      <c r="AR56" t="s">
        <v>125</v>
      </c>
      <c r="AT56" t="s">
        <v>926</v>
      </c>
      <c r="AU56" t="s">
        <v>773</v>
      </c>
      <c r="AV56" t="s">
        <v>128</v>
      </c>
      <c r="AZ56" t="s">
        <v>80</v>
      </c>
    </row>
    <row r="57" spans="1:52" hidden="1" x14ac:dyDescent="0.25">
      <c r="A57" t="s">
        <v>927</v>
      </c>
      <c r="B57" t="s">
        <v>928</v>
      </c>
      <c r="C57" t="s">
        <v>929</v>
      </c>
      <c r="D57" t="s">
        <v>150</v>
      </c>
      <c r="E57" t="s">
        <v>930</v>
      </c>
      <c r="F57" t="s">
        <v>931</v>
      </c>
      <c r="G57" t="s">
        <v>931</v>
      </c>
      <c r="H57" t="s">
        <v>932</v>
      </c>
      <c r="J57" t="s">
        <v>80</v>
      </c>
      <c r="K57" t="s">
        <v>110</v>
      </c>
      <c r="L57" t="s">
        <v>111</v>
      </c>
      <c r="M57">
        <v>69504</v>
      </c>
      <c r="P57" t="s">
        <v>154</v>
      </c>
      <c r="Q57" t="s">
        <v>731</v>
      </c>
      <c r="R57" t="s">
        <v>732</v>
      </c>
      <c r="S57" t="s">
        <v>733</v>
      </c>
      <c r="T57" t="s">
        <v>468</v>
      </c>
      <c r="U57" t="s">
        <v>933</v>
      </c>
      <c r="V57" t="s">
        <v>934</v>
      </c>
      <c r="W57" t="s">
        <v>161</v>
      </c>
      <c r="X57" t="s">
        <v>471</v>
      </c>
      <c r="Y57" t="s">
        <v>93</v>
      </c>
      <c r="Z57" t="s">
        <v>472</v>
      </c>
      <c r="AA57" t="s">
        <v>935</v>
      </c>
      <c r="AB57" t="s">
        <v>119</v>
      </c>
      <c r="AC57" t="s">
        <v>936</v>
      </c>
      <c r="AD57" t="s">
        <v>472</v>
      </c>
      <c r="AE57" t="s">
        <v>935</v>
      </c>
      <c r="AF57" t="s">
        <v>119</v>
      </c>
      <c r="AG57" t="s">
        <v>936</v>
      </c>
      <c r="AI57" t="s">
        <v>937</v>
      </c>
      <c r="AJ57" t="s">
        <v>472</v>
      </c>
      <c r="AK57" t="s">
        <v>99</v>
      </c>
      <c r="AL57" t="s">
        <v>938</v>
      </c>
      <c r="AM57" t="s">
        <v>924</v>
      </c>
      <c r="AQ57" t="s">
        <v>939</v>
      </c>
      <c r="AR57" t="s">
        <v>125</v>
      </c>
      <c r="AT57" t="s">
        <v>940</v>
      </c>
      <c r="AU57" t="s">
        <v>773</v>
      </c>
      <c r="AV57" t="s">
        <v>128</v>
      </c>
      <c r="AZ57" t="s">
        <v>80</v>
      </c>
    </row>
    <row r="58" spans="1:52" hidden="1" x14ac:dyDescent="0.25">
      <c r="A58" t="s">
        <v>941</v>
      </c>
      <c r="B58" t="s">
        <v>942</v>
      </c>
      <c r="C58" t="s">
        <v>943</v>
      </c>
      <c r="D58" t="s">
        <v>150</v>
      </c>
      <c r="E58" t="s">
        <v>944</v>
      </c>
      <c r="F58" t="s">
        <v>945</v>
      </c>
      <c r="G58" t="s">
        <v>945</v>
      </c>
      <c r="H58" t="s">
        <v>946</v>
      </c>
      <c r="J58" t="s">
        <v>80</v>
      </c>
      <c r="K58" t="s">
        <v>110</v>
      </c>
      <c r="L58" t="s">
        <v>111</v>
      </c>
      <c r="M58">
        <v>69583</v>
      </c>
      <c r="P58" t="s">
        <v>154</v>
      </c>
      <c r="Q58" t="s">
        <v>731</v>
      </c>
      <c r="R58" t="s">
        <v>732</v>
      </c>
      <c r="S58" t="s">
        <v>733</v>
      </c>
      <c r="T58" t="s">
        <v>468</v>
      </c>
      <c r="U58" t="s">
        <v>486</v>
      </c>
      <c r="V58" t="s">
        <v>947</v>
      </c>
      <c r="W58" t="s">
        <v>948</v>
      </c>
      <c r="X58" t="s">
        <v>949</v>
      </c>
      <c r="Y58" t="s">
        <v>93</v>
      </c>
      <c r="Z58" t="s">
        <v>119</v>
      </c>
      <c r="AA58" t="s">
        <v>950</v>
      </c>
      <c r="AB58" t="s">
        <v>472</v>
      </c>
      <c r="AC58" t="s">
        <v>951</v>
      </c>
      <c r="AD58" t="s">
        <v>119</v>
      </c>
      <c r="AE58" t="s">
        <v>950</v>
      </c>
      <c r="AF58" t="s">
        <v>472</v>
      </c>
      <c r="AG58" t="s">
        <v>951</v>
      </c>
      <c r="AI58" t="s">
        <v>952</v>
      </c>
      <c r="AJ58" t="s">
        <v>119</v>
      </c>
      <c r="AK58" t="s">
        <v>99</v>
      </c>
      <c r="AL58" t="s">
        <v>953</v>
      </c>
      <c r="AM58" t="s">
        <v>954</v>
      </c>
      <c r="AQ58" t="s">
        <v>955</v>
      </c>
      <c r="AR58" t="s">
        <v>125</v>
      </c>
      <c r="AT58" t="s">
        <v>956</v>
      </c>
      <c r="AU58" t="s">
        <v>773</v>
      </c>
      <c r="AV58" t="s">
        <v>128</v>
      </c>
      <c r="AZ58" t="s">
        <v>80</v>
      </c>
    </row>
    <row r="59" spans="1:52" hidden="1" x14ac:dyDescent="0.25">
      <c r="A59" t="s">
        <v>541</v>
      </c>
      <c r="B59" t="s">
        <v>942</v>
      </c>
      <c r="C59" t="s">
        <v>957</v>
      </c>
      <c r="D59" t="s">
        <v>150</v>
      </c>
      <c r="E59" t="s">
        <v>958</v>
      </c>
      <c r="F59" t="s">
        <v>945</v>
      </c>
      <c r="G59" t="s">
        <v>945</v>
      </c>
      <c r="H59" t="s">
        <v>959</v>
      </c>
      <c r="J59" t="s">
        <v>80</v>
      </c>
      <c r="K59" t="s">
        <v>110</v>
      </c>
      <c r="L59" t="s">
        <v>111</v>
      </c>
      <c r="M59">
        <v>69583</v>
      </c>
      <c r="P59" t="s">
        <v>154</v>
      </c>
      <c r="Q59" t="s">
        <v>731</v>
      </c>
      <c r="R59" t="s">
        <v>732</v>
      </c>
      <c r="S59" t="s">
        <v>733</v>
      </c>
      <c r="T59" t="s">
        <v>468</v>
      </c>
      <c r="U59" t="s">
        <v>486</v>
      </c>
      <c r="V59" t="s">
        <v>947</v>
      </c>
      <c r="W59" t="s">
        <v>960</v>
      </c>
      <c r="X59" t="s">
        <v>961</v>
      </c>
      <c r="Y59" t="s">
        <v>93</v>
      </c>
      <c r="Z59" t="s">
        <v>119</v>
      </c>
      <c r="AA59" t="s">
        <v>950</v>
      </c>
      <c r="AB59" t="s">
        <v>472</v>
      </c>
      <c r="AC59" t="s">
        <v>951</v>
      </c>
      <c r="AD59" t="s">
        <v>119</v>
      </c>
      <c r="AE59" t="s">
        <v>950</v>
      </c>
      <c r="AF59" t="s">
        <v>472</v>
      </c>
      <c r="AG59" t="s">
        <v>951</v>
      </c>
      <c r="AI59" t="s">
        <v>952</v>
      </c>
      <c r="AJ59" t="s">
        <v>119</v>
      </c>
      <c r="AK59" t="s">
        <v>99</v>
      </c>
      <c r="AL59" t="s">
        <v>962</v>
      </c>
      <c r="AM59" t="s">
        <v>963</v>
      </c>
      <c r="AQ59" t="s">
        <v>964</v>
      </c>
      <c r="AR59" t="s">
        <v>125</v>
      </c>
      <c r="AT59" t="s">
        <v>965</v>
      </c>
      <c r="AU59" t="s">
        <v>773</v>
      </c>
      <c r="AV59" t="s">
        <v>128</v>
      </c>
      <c r="AZ59" t="s">
        <v>80</v>
      </c>
    </row>
    <row r="60" spans="1:52" hidden="1" x14ac:dyDescent="0.25">
      <c r="A60" t="s">
        <v>87</v>
      </c>
      <c r="B60" t="s">
        <v>942</v>
      </c>
      <c r="C60" t="s">
        <v>957</v>
      </c>
      <c r="D60" t="s">
        <v>150</v>
      </c>
      <c r="E60" t="s">
        <v>966</v>
      </c>
      <c r="F60" t="s">
        <v>945</v>
      </c>
      <c r="G60" t="s">
        <v>945</v>
      </c>
      <c r="H60" t="s">
        <v>967</v>
      </c>
      <c r="J60" t="s">
        <v>80</v>
      </c>
      <c r="K60" t="s">
        <v>110</v>
      </c>
      <c r="L60" t="s">
        <v>111</v>
      </c>
      <c r="M60">
        <v>69583</v>
      </c>
      <c r="P60" t="s">
        <v>154</v>
      </c>
      <c r="Q60" t="s">
        <v>731</v>
      </c>
      <c r="R60" t="s">
        <v>732</v>
      </c>
      <c r="S60" t="s">
        <v>733</v>
      </c>
      <c r="T60" t="s">
        <v>468</v>
      </c>
      <c r="U60" t="s">
        <v>486</v>
      </c>
      <c r="V60" t="s">
        <v>947</v>
      </c>
      <c r="W60" t="s">
        <v>968</v>
      </c>
      <c r="X60" t="s">
        <v>961</v>
      </c>
      <c r="Y60" t="s">
        <v>93</v>
      </c>
      <c r="Z60" t="s">
        <v>119</v>
      </c>
      <c r="AA60" t="s">
        <v>950</v>
      </c>
      <c r="AB60" t="s">
        <v>472</v>
      </c>
      <c r="AC60" t="s">
        <v>951</v>
      </c>
      <c r="AD60" t="s">
        <v>119</v>
      </c>
      <c r="AE60" t="s">
        <v>950</v>
      </c>
      <c r="AF60" t="s">
        <v>472</v>
      </c>
      <c r="AG60" t="s">
        <v>951</v>
      </c>
      <c r="AI60" t="s">
        <v>952</v>
      </c>
      <c r="AJ60" t="s">
        <v>119</v>
      </c>
      <c r="AK60" t="s">
        <v>99</v>
      </c>
      <c r="AL60" t="s">
        <v>969</v>
      </c>
      <c r="AM60" t="s">
        <v>963</v>
      </c>
      <c r="AQ60" t="s">
        <v>970</v>
      </c>
      <c r="AR60" t="s">
        <v>125</v>
      </c>
      <c r="AT60" t="s">
        <v>971</v>
      </c>
      <c r="AU60" t="s">
        <v>773</v>
      </c>
      <c r="AV60" t="s">
        <v>128</v>
      </c>
      <c r="AZ60" t="s">
        <v>80</v>
      </c>
    </row>
    <row r="61" spans="1:52" hidden="1" x14ac:dyDescent="0.25">
      <c r="A61" t="s">
        <v>972</v>
      </c>
      <c r="B61" t="s">
        <v>942</v>
      </c>
      <c r="C61" t="s">
        <v>973</v>
      </c>
      <c r="D61" t="s">
        <v>150</v>
      </c>
      <c r="E61" t="s">
        <v>974</v>
      </c>
      <c r="F61" t="s">
        <v>945</v>
      </c>
      <c r="G61" t="s">
        <v>945</v>
      </c>
      <c r="H61" t="s">
        <v>975</v>
      </c>
      <c r="J61" t="s">
        <v>80</v>
      </c>
      <c r="K61" t="s">
        <v>110</v>
      </c>
      <c r="L61" t="s">
        <v>111</v>
      </c>
      <c r="M61">
        <v>69583</v>
      </c>
      <c r="P61" t="s">
        <v>154</v>
      </c>
      <c r="Q61" t="s">
        <v>731</v>
      </c>
      <c r="R61" t="s">
        <v>732</v>
      </c>
      <c r="S61" t="s">
        <v>733</v>
      </c>
      <c r="T61" t="s">
        <v>468</v>
      </c>
      <c r="U61" t="s">
        <v>486</v>
      </c>
      <c r="V61" t="s">
        <v>947</v>
      </c>
      <c r="W61" t="s">
        <v>976</v>
      </c>
      <c r="X61" t="s">
        <v>961</v>
      </c>
      <c r="Y61" t="s">
        <v>93</v>
      </c>
      <c r="Z61" t="s">
        <v>119</v>
      </c>
      <c r="AA61" t="s">
        <v>950</v>
      </c>
      <c r="AB61" t="s">
        <v>472</v>
      </c>
      <c r="AC61" t="s">
        <v>951</v>
      </c>
      <c r="AD61" t="s">
        <v>119</v>
      </c>
      <c r="AE61" t="s">
        <v>950</v>
      </c>
      <c r="AF61" t="s">
        <v>472</v>
      </c>
      <c r="AG61" t="s">
        <v>951</v>
      </c>
      <c r="AI61" t="s">
        <v>952</v>
      </c>
      <c r="AJ61" t="s">
        <v>119</v>
      </c>
      <c r="AK61" t="s">
        <v>99</v>
      </c>
      <c r="AL61" t="s">
        <v>977</v>
      </c>
      <c r="AM61" t="s">
        <v>978</v>
      </c>
      <c r="AQ61" t="s">
        <v>979</v>
      </c>
      <c r="AR61" t="s">
        <v>125</v>
      </c>
      <c r="AT61" t="s">
        <v>980</v>
      </c>
      <c r="AU61" t="s">
        <v>773</v>
      </c>
      <c r="AV61" t="s">
        <v>128</v>
      </c>
      <c r="AZ61" t="s">
        <v>80</v>
      </c>
    </row>
    <row r="62" spans="1:52" hidden="1" x14ac:dyDescent="0.25">
      <c r="A62" t="s">
        <v>981</v>
      </c>
      <c r="B62" t="s">
        <v>942</v>
      </c>
      <c r="C62" t="s">
        <v>973</v>
      </c>
      <c r="D62" t="s">
        <v>150</v>
      </c>
      <c r="E62" t="s">
        <v>982</v>
      </c>
      <c r="F62" t="s">
        <v>945</v>
      </c>
      <c r="G62" t="s">
        <v>945</v>
      </c>
      <c r="H62" t="s">
        <v>983</v>
      </c>
      <c r="J62" t="s">
        <v>80</v>
      </c>
      <c r="K62" t="s">
        <v>110</v>
      </c>
      <c r="L62" t="s">
        <v>111</v>
      </c>
      <c r="M62">
        <v>69583</v>
      </c>
      <c r="P62" t="s">
        <v>154</v>
      </c>
      <c r="Q62" t="s">
        <v>731</v>
      </c>
      <c r="R62" t="s">
        <v>732</v>
      </c>
      <c r="S62" t="s">
        <v>733</v>
      </c>
      <c r="T62" t="s">
        <v>468</v>
      </c>
      <c r="U62" t="s">
        <v>486</v>
      </c>
      <c r="V62" t="s">
        <v>947</v>
      </c>
      <c r="W62" t="s">
        <v>984</v>
      </c>
      <c r="X62" t="s">
        <v>961</v>
      </c>
      <c r="Y62" t="s">
        <v>93</v>
      </c>
      <c r="Z62" t="s">
        <v>119</v>
      </c>
      <c r="AA62" t="s">
        <v>950</v>
      </c>
      <c r="AB62" t="s">
        <v>472</v>
      </c>
      <c r="AC62" t="s">
        <v>951</v>
      </c>
      <c r="AD62" t="s">
        <v>119</v>
      </c>
      <c r="AE62" t="s">
        <v>950</v>
      </c>
      <c r="AF62" t="s">
        <v>472</v>
      </c>
      <c r="AG62" t="s">
        <v>951</v>
      </c>
      <c r="AI62" t="s">
        <v>952</v>
      </c>
      <c r="AJ62" t="s">
        <v>119</v>
      </c>
      <c r="AK62" t="s">
        <v>99</v>
      </c>
      <c r="AL62" t="s">
        <v>985</v>
      </c>
      <c r="AM62" t="s">
        <v>986</v>
      </c>
      <c r="AQ62" t="s">
        <v>987</v>
      </c>
      <c r="AR62" t="s">
        <v>125</v>
      </c>
      <c r="AT62" t="s">
        <v>988</v>
      </c>
      <c r="AU62" t="s">
        <v>773</v>
      </c>
      <c r="AV62" t="s">
        <v>128</v>
      </c>
      <c r="AZ62" t="s">
        <v>80</v>
      </c>
    </row>
    <row r="63" spans="1:52" hidden="1" x14ac:dyDescent="0.25">
      <c r="A63" t="s">
        <v>989</v>
      </c>
      <c r="B63" t="s">
        <v>942</v>
      </c>
      <c r="C63" t="s">
        <v>990</v>
      </c>
      <c r="D63" t="s">
        <v>150</v>
      </c>
      <c r="E63" t="s">
        <v>991</v>
      </c>
      <c r="F63" t="s">
        <v>945</v>
      </c>
      <c r="G63" t="s">
        <v>945</v>
      </c>
      <c r="H63" t="s">
        <v>992</v>
      </c>
      <c r="J63" t="s">
        <v>80</v>
      </c>
      <c r="K63" t="s">
        <v>110</v>
      </c>
      <c r="L63" t="s">
        <v>111</v>
      </c>
      <c r="M63">
        <v>69583</v>
      </c>
      <c r="P63" t="s">
        <v>154</v>
      </c>
      <c r="Q63" t="s">
        <v>731</v>
      </c>
      <c r="R63" t="s">
        <v>732</v>
      </c>
      <c r="S63" t="s">
        <v>733</v>
      </c>
      <c r="T63" t="s">
        <v>468</v>
      </c>
      <c r="U63" t="s">
        <v>486</v>
      </c>
      <c r="V63" t="s">
        <v>947</v>
      </c>
      <c r="W63" t="s">
        <v>993</v>
      </c>
      <c r="X63" t="s">
        <v>961</v>
      </c>
      <c r="Y63" t="s">
        <v>93</v>
      </c>
      <c r="Z63" t="s">
        <v>119</v>
      </c>
      <c r="AA63" t="s">
        <v>950</v>
      </c>
      <c r="AB63" t="s">
        <v>472</v>
      </c>
      <c r="AC63" t="s">
        <v>951</v>
      </c>
      <c r="AD63" t="s">
        <v>119</v>
      </c>
      <c r="AE63" t="s">
        <v>950</v>
      </c>
      <c r="AF63" t="s">
        <v>472</v>
      </c>
      <c r="AG63" t="s">
        <v>951</v>
      </c>
      <c r="AI63" t="s">
        <v>952</v>
      </c>
      <c r="AJ63" t="s">
        <v>119</v>
      </c>
      <c r="AK63" t="s">
        <v>99</v>
      </c>
      <c r="AL63" t="s">
        <v>994</v>
      </c>
      <c r="AM63" t="s">
        <v>995</v>
      </c>
      <c r="AQ63" t="s">
        <v>996</v>
      </c>
      <c r="AR63" t="s">
        <v>125</v>
      </c>
      <c r="AT63" t="s">
        <v>997</v>
      </c>
      <c r="AU63" t="s">
        <v>773</v>
      </c>
      <c r="AV63" t="s">
        <v>128</v>
      </c>
      <c r="AZ63" t="s">
        <v>80</v>
      </c>
    </row>
    <row r="64" spans="1:52" hidden="1" x14ac:dyDescent="0.25">
      <c r="A64" t="s">
        <v>998</v>
      </c>
      <c r="B64" t="s">
        <v>942</v>
      </c>
      <c r="C64" t="s">
        <v>999</v>
      </c>
      <c r="D64" t="s">
        <v>150</v>
      </c>
      <c r="E64" t="s">
        <v>1000</v>
      </c>
      <c r="F64" t="s">
        <v>945</v>
      </c>
      <c r="G64" t="s">
        <v>945</v>
      </c>
      <c r="H64" t="s">
        <v>1001</v>
      </c>
      <c r="J64" t="s">
        <v>80</v>
      </c>
      <c r="K64" t="s">
        <v>110</v>
      </c>
      <c r="L64" t="s">
        <v>111</v>
      </c>
      <c r="M64">
        <v>69583</v>
      </c>
      <c r="P64" t="s">
        <v>154</v>
      </c>
      <c r="Q64" t="s">
        <v>731</v>
      </c>
      <c r="R64" t="s">
        <v>732</v>
      </c>
      <c r="S64" t="s">
        <v>733</v>
      </c>
      <c r="T64" t="s">
        <v>468</v>
      </c>
      <c r="U64" t="s">
        <v>486</v>
      </c>
      <c r="V64" t="s">
        <v>947</v>
      </c>
      <c r="W64" t="s">
        <v>1002</v>
      </c>
      <c r="X64" t="s">
        <v>961</v>
      </c>
      <c r="Y64" t="s">
        <v>93</v>
      </c>
      <c r="Z64" t="s">
        <v>119</v>
      </c>
      <c r="AA64" t="s">
        <v>950</v>
      </c>
      <c r="AB64" t="s">
        <v>472</v>
      </c>
      <c r="AC64" t="s">
        <v>951</v>
      </c>
      <c r="AD64" t="s">
        <v>119</v>
      </c>
      <c r="AE64" t="s">
        <v>950</v>
      </c>
      <c r="AF64" t="s">
        <v>472</v>
      </c>
      <c r="AG64" t="s">
        <v>951</v>
      </c>
      <c r="AI64" t="s">
        <v>952</v>
      </c>
      <c r="AJ64" t="s">
        <v>119</v>
      </c>
      <c r="AK64" t="s">
        <v>99</v>
      </c>
      <c r="AL64" t="s">
        <v>1003</v>
      </c>
      <c r="AM64" t="s">
        <v>995</v>
      </c>
      <c r="AQ64" t="s">
        <v>1004</v>
      </c>
      <c r="AR64" t="s">
        <v>125</v>
      </c>
      <c r="AT64" t="s">
        <v>1005</v>
      </c>
      <c r="AU64" t="s">
        <v>773</v>
      </c>
      <c r="AV64" t="s">
        <v>128</v>
      </c>
      <c r="AZ64" t="s">
        <v>80</v>
      </c>
    </row>
    <row r="65" spans="1:52" hidden="1" x14ac:dyDescent="0.25">
      <c r="A65" t="s">
        <v>1006</v>
      </c>
      <c r="B65" t="s">
        <v>942</v>
      </c>
      <c r="C65" t="s">
        <v>1007</v>
      </c>
      <c r="D65" t="s">
        <v>150</v>
      </c>
      <c r="E65" t="s">
        <v>1008</v>
      </c>
      <c r="F65" t="s">
        <v>945</v>
      </c>
      <c r="G65" t="s">
        <v>945</v>
      </c>
      <c r="H65" t="s">
        <v>1009</v>
      </c>
      <c r="J65" t="s">
        <v>80</v>
      </c>
      <c r="K65" t="s">
        <v>110</v>
      </c>
      <c r="L65" t="s">
        <v>111</v>
      </c>
      <c r="M65">
        <v>69583</v>
      </c>
      <c r="P65" t="s">
        <v>154</v>
      </c>
      <c r="Q65" t="s">
        <v>731</v>
      </c>
      <c r="R65" t="s">
        <v>732</v>
      </c>
      <c r="S65" t="s">
        <v>733</v>
      </c>
      <c r="T65" t="s">
        <v>468</v>
      </c>
      <c r="U65" t="s">
        <v>486</v>
      </c>
      <c r="V65" t="s">
        <v>947</v>
      </c>
      <c r="W65" t="s">
        <v>1010</v>
      </c>
      <c r="X65" t="s">
        <v>1011</v>
      </c>
      <c r="Y65" t="s">
        <v>93</v>
      </c>
      <c r="Z65" t="s">
        <v>119</v>
      </c>
      <c r="AA65" t="s">
        <v>950</v>
      </c>
      <c r="AB65" t="s">
        <v>472</v>
      </c>
      <c r="AC65" t="s">
        <v>951</v>
      </c>
      <c r="AD65" t="s">
        <v>119</v>
      </c>
      <c r="AE65" t="s">
        <v>950</v>
      </c>
      <c r="AF65" t="s">
        <v>472</v>
      </c>
      <c r="AG65" t="s">
        <v>951</v>
      </c>
      <c r="AI65" t="s">
        <v>952</v>
      </c>
      <c r="AJ65" t="s">
        <v>119</v>
      </c>
      <c r="AK65" t="s">
        <v>99</v>
      </c>
      <c r="AL65" t="s">
        <v>1012</v>
      </c>
      <c r="AM65" t="s">
        <v>1013</v>
      </c>
      <c r="AQ65" t="s">
        <v>1014</v>
      </c>
      <c r="AR65" t="s">
        <v>125</v>
      </c>
      <c r="AT65" t="s">
        <v>1015</v>
      </c>
      <c r="AU65" t="s">
        <v>773</v>
      </c>
      <c r="AV65" t="s">
        <v>128</v>
      </c>
      <c r="AZ65" t="s">
        <v>80</v>
      </c>
    </row>
    <row r="66" spans="1:52" hidden="1" x14ac:dyDescent="0.25">
      <c r="A66" t="s">
        <v>1016</v>
      </c>
      <c r="B66" t="s">
        <v>942</v>
      </c>
      <c r="C66" t="s">
        <v>1017</v>
      </c>
      <c r="D66" t="s">
        <v>150</v>
      </c>
      <c r="E66" t="s">
        <v>1018</v>
      </c>
      <c r="F66" t="s">
        <v>945</v>
      </c>
      <c r="G66" t="s">
        <v>945</v>
      </c>
      <c r="H66" t="s">
        <v>1019</v>
      </c>
      <c r="J66" t="s">
        <v>80</v>
      </c>
      <c r="K66" t="s">
        <v>110</v>
      </c>
      <c r="L66" t="s">
        <v>111</v>
      </c>
      <c r="M66">
        <v>69583</v>
      </c>
      <c r="P66" t="s">
        <v>154</v>
      </c>
      <c r="Q66" t="s">
        <v>731</v>
      </c>
      <c r="R66" t="s">
        <v>732</v>
      </c>
      <c r="S66" t="s">
        <v>733</v>
      </c>
      <c r="T66" t="s">
        <v>468</v>
      </c>
      <c r="U66" t="s">
        <v>486</v>
      </c>
      <c r="V66" t="s">
        <v>947</v>
      </c>
      <c r="W66" t="s">
        <v>1020</v>
      </c>
      <c r="X66" t="s">
        <v>1021</v>
      </c>
      <c r="Y66" t="s">
        <v>93</v>
      </c>
      <c r="Z66" t="s">
        <v>119</v>
      </c>
      <c r="AA66" t="s">
        <v>950</v>
      </c>
      <c r="AB66" t="s">
        <v>472</v>
      </c>
      <c r="AC66" t="s">
        <v>951</v>
      </c>
      <c r="AD66" t="s">
        <v>119</v>
      </c>
      <c r="AE66" t="s">
        <v>950</v>
      </c>
      <c r="AF66" t="s">
        <v>472</v>
      </c>
      <c r="AG66" t="s">
        <v>951</v>
      </c>
      <c r="AI66" t="s">
        <v>952</v>
      </c>
      <c r="AJ66" t="s">
        <v>119</v>
      </c>
      <c r="AK66" t="s">
        <v>99</v>
      </c>
      <c r="AL66" t="s">
        <v>1022</v>
      </c>
      <c r="AM66" t="s">
        <v>1013</v>
      </c>
      <c r="AQ66" t="s">
        <v>1023</v>
      </c>
      <c r="AR66" t="s">
        <v>125</v>
      </c>
      <c r="AT66" t="s">
        <v>1024</v>
      </c>
      <c r="AU66" t="s">
        <v>773</v>
      </c>
      <c r="AV66" t="s">
        <v>128</v>
      </c>
      <c r="AZ66" t="s">
        <v>80</v>
      </c>
    </row>
    <row r="67" spans="1:52" hidden="1" x14ac:dyDescent="0.25">
      <c r="A67" t="s">
        <v>1025</v>
      </c>
      <c r="B67" t="s">
        <v>942</v>
      </c>
      <c r="C67" t="s">
        <v>1026</v>
      </c>
      <c r="D67" t="s">
        <v>150</v>
      </c>
      <c r="E67" t="s">
        <v>1027</v>
      </c>
      <c r="F67" t="s">
        <v>1028</v>
      </c>
      <c r="G67" t="s">
        <v>1028</v>
      </c>
      <c r="H67" t="s">
        <v>1029</v>
      </c>
      <c r="J67" t="s">
        <v>80</v>
      </c>
      <c r="K67" t="s">
        <v>110</v>
      </c>
      <c r="L67" t="s">
        <v>111</v>
      </c>
      <c r="M67">
        <v>69583</v>
      </c>
      <c r="P67" t="s">
        <v>154</v>
      </c>
      <c r="Q67" t="s">
        <v>731</v>
      </c>
      <c r="R67" t="s">
        <v>732</v>
      </c>
      <c r="S67" t="s">
        <v>733</v>
      </c>
      <c r="T67" t="s">
        <v>468</v>
      </c>
      <c r="U67" t="s">
        <v>1030</v>
      </c>
      <c r="V67" t="s">
        <v>1031</v>
      </c>
      <c r="W67" t="s">
        <v>232</v>
      </c>
      <c r="X67" t="s">
        <v>1032</v>
      </c>
      <c r="Y67" t="s">
        <v>93</v>
      </c>
      <c r="Z67" t="s">
        <v>119</v>
      </c>
      <c r="AA67" t="s">
        <v>950</v>
      </c>
      <c r="AB67" t="s">
        <v>472</v>
      </c>
      <c r="AC67" t="s">
        <v>1033</v>
      </c>
      <c r="AD67" t="s">
        <v>119</v>
      </c>
      <c r="AE67" t="s">
        <v>950</v>
      </c>
      <c r="AF67" t="s">
        <v>472</v>
      </c>
      <c r="AG67" t="s">
        <v>1033</v>
      </c>
      <c r="AI67" t="s">
        <v>952</v>
      </c>
      <c r="AJ67" t="s">
        <v>119</v>
      </c>
      <c r="AK67" t="s">
        <v>99</v>
      </c>
      <c r="AL67" t="s">
        <v>1034</v>
      </c>
      <c r="AM67" t="s">
        <v>1035</v>
      </c>
      <c r="AQ67" t="s">
        <v>1036</v>
      </c>
      <c r="AR67" t="s">
        <v>125</v>
      </c>
      <c r="AT67" t="s">
        <v>1037</v>
      </c>
      <c r="AU67" t="s">
        <v>773</v>
      </c>
      <c r="AV67" t="s">
        <v>128</v>
      </c>
      <c r="AZ67" t="s">
        <v>80</v>
      </c>
    </row>
    <row r="68" spans="1:52" hidden="1" x14ac:dyDescent="0.25">
      <c r="A68" t="s">
        <v>1038</v>
      </c>
      <c r="B68" t="s">
        <v>1039</v>
      </c>
      <c r="C68" t="s">
        <v>1040</v>
      </c>
      <c r="D68" t="s">
        <v>150</v>
      </c>
      <c r="E68" t="s">
        <v>1041</v>
      </c>
      <c r="F68" t="s">
        <v>1042</v>
      </c>
      <c r="G68" t="s">
        <v>1042</v>
      </c>
      <c r="H68" t="s">
        <v>1043</v>
      </c>
      <c r="J68" t="s">
        <v>80</v>
      </c>
      <c r="K68" t="s">
        <v>110</v>
      </c>
      <c r="L68" t="s">
        <v>111</v>
      </c>
      <c r="M68">
        <v>60782</v>
      </c>
      <c r="P68" t="s">
        <v>154</v>
      </c>
      <c r="Q68" t="s">
        <v>731</v>
      </c>
      <c r="R68" t="s">
        <v>732</v>
      </c>
      <c r="S68" t="s">
        <v>733</v>
      </c>
      <c r="T68" t="s">
        <v>562</v>
      </c>
      <c r="U68" t="s">
        <v>795</v>
      </c>
      <c r="V68" t="s">
        <v>796</v>
      </c>
      <c r="W68" t="s">
        <v>797</v>
      </c>
      <c r="X68" t="s">
        <v>798</v>
      </c>
      <c r="Y68" t="s">
        <v>93</v>
      </c>
      <c r="Z68" t="s">
        <v>567</v>
      </c>
      <c r="AA68" t="s">
        <v>1044</v>
      </c>
      <c r="AB68" t="s">
        <v>119</v>
      </c>
      <c r="AC68" t="s">
        <v>1045</v>
      </c>
      <c r="AD68" t="s">
        <v>567</v>
      </c>
      <c r="AE68" t="s">
        <v>1044</v>
      </c>
      <c r="AF68" t="s">
        <v>119</v>
      </c>
      <c r="AG68" t="s">
        <v>1045</v>
      </c>
      <c r="AI68" t="s">
        <v>1046</v>
      </c>
      <c r="AJ68" t="s">
        <v>567</v>
      </c>
      <c r="AK68" t="s">
        <v>99</v>
      </c>
      <c r="AL68" t="s">
        <v>1047</v>
      </c>
      <c r="AM68" t="s">
        <v>1035</v>
      </c>
      <c r="AQ68" t="s">
        <v>1048</v>
      </c>
      <c r="AR68" t="s">
        <v>125</v>
      </c>
      <c r="AT68" t="s">
        <v>1049</v>
      </c>
      <c r="AU68" t="s">
        <v>836</v>
      </c>
      <c r="AV68" t="s">
        <v>128</v>
      </c>
      <c r="AZ68" t="s">
        <v>80</v>
      </c>
    </row>
    <row r="69" spans="1:52" hidden="1" x14ac:dyDescent="0.25">
      <c r="A69" t="s">
        <v>1050</v>
      </c>
      <c r="B69" t="s">
        <v>1051</v>
      </c>
      <c r="C69" t="s">
        <v>1052</v>
      </c>
      <c r="D69" t="s">
        <v>150</v>
      </c>
      <c r="E69" t="s">
        <v>1053</v>
      </c>
      <c r="F69" t="s">
        <v>1054</v>
      </c>
      <c r="G69" t="s">
        <v>1054</v>
      </c>
      <c r="H69" t="s">
        <v>1055</v>
      </c>
      <c r="J69" t="s">
        <v>80</v>
      </c>
      <c r="K69" t="s">
        <v>110</v>
      </c>
      <c r="L69" t="s">
        <v>111</v>
      </c>
      <c r="M69">
        <v>60763</v>
      </c>
      <c r="P69" t="s">
        <v>154</v>
      </c>
      <c r="Q69" t="s">
        <v>731</v>
      </c>
      <c r="R69" t="s">
        <v>732</v>
      </c>
      <c r="S69" t="s">
        <v>733</v>
      </c>
      <c r="T69" t="s">
        <v>562</v>
      </c>
      <c r="U69" t="s">
        <v>160</v>
      </c>
      <c r="V69" t="s">
        <v>796</v>
      </c>
      <c r="W69" t="s">
        <v>797</v>
      </c>
      <c r="X69" t="s">
        <v>798</v>
      </c>
      <c r="Y69" t="s">
        <v>93</v>
      </c>
      <c r="Z69" t="s">
        <v>119</v>
      </c>
      <c r="AA69" t="s">
        <v>1056</v>
      </c>
      <c r="AB69" t="s">
        <v>567</v>
      </c>
      <c r="AC69" t="s">
        <v>1057</v>
      </c>
      <c r="AD69" t="s">
        <v>119</v>
      </c>
      <c r="AE69" t="s">
        <v>1056</v>
      </c>
      <c r="AF69" t="s">
        <v>567</v>
      </c>
      <c r="AG69" t="s">
        <v>1057</v>
      </c>
      <c r="AI69" t="s">
        <v>1058</v>
      </c>
      <c r="AJ69" t="s">
        <v>119</v>
      </c>
      <c r="AK69" t="s">
        <v>99</v>
      </c>
      <c r="AL69" t="s">
        <v>1059</v>
      </c>
      <c r="AM69" t="s">
        <v>1060</v>
      </c>
      <c r="AQ69" t="s">
        <v>1061</v>
      </c>
      <c r="AR69" t="s">
        <v>125</v>
      </c>
      <c r="AT69" t="s">
        <v>1062</v>
      </c>
      <c r="AU69" t="s">
        <v>836</v>
      </c>
      <c r="AV69" t="s">
        <v>128</v>
      </c>
      <c r="AZ69" t="s">
        <v>80</v>
      </c>
    </row>
    <row r="70" spans="1:52" hidden="1" x14ac:dyDescent="0.25">
      <c r="A70" t="s">
        <v>1063</v>
      </c>
      <c r="B70" t="s">
        <v>612</v>
      </c>
      <c r="C70" t="s">
        <v>1064</v>
      </c>
      <c r="D70" t="s">
        <v>150</v>
      </c>
      <c r="E70" t="s">
        <v>1065</v>
      </c>
      <c r="F70" t="s">
        <v>615</v>
      </c>
      <c r="G70" t="s">
        <v>615</v>
      </c>
      <c r="H70" t="s">
        <v>616</v>
      </c>
      <c r="J70" t="s">
        <v>80</v>
      </c>
      <c r="K70" t="s">
        <v>110</v>
      </c>
      <c r="L70" t="s">
        <v>111</v>
      </c>
      <c r="M70">
        <v>66510</v>
      </c>
      <c r="O70" t="s">
        <v>617</v>
      </c>
      <c r="P70" t="s">
        <v>154</v>
      </c>
      <c r="Q70" t="s">
        <v>731</v>
      </c>
      <c r="R70" t="s">
        <v>732</v>
      </c>
      <c r="S70" t="s">
        <v>733</v>
      </c>
      <c r="T70" t="s">
        <v>618</v>
      </c>
      <c r="U70" t="s">
        <v>619</v>
      </c>
      <c r="V70" t="s">
        <v>620</v>
      </c>
      <c r="W70" t="s">
        <v>302</v>
      </c>
      <c r="X70" t="s">
        <v>1066</v>
      </c>
      <c r="Y70" t="s">
        <v>93</v>
      </c>
      <c r="Z70" t="s">
        <v>622</v>
      </c>
      <c r="AA70" t="s">
        <v>623</v>
      </c>
      <c r="AB70" t="s">
        <v>119</v>
      </c>
      <c r="AC70" t="s">
        <v>624</v>
      </c>
      <c r="AD70" t="s">
        <v>622</v>
      </c>
      <c r="AE70" t="s">
        <v>623</v>
      </c>
      <c r="AF70" t="s">
        <v>119</v>
      </c>
      <c r="AG70" t="s">
        <v>624</v>
      </c>
      <c r="AI70" t="s">
        <v>625</v>
      </c>
      <c r="AJ70" t="s">
        <v>622</v>
      </c>
      <c r="AK70" t="s">
        <v>99</v>
      </c>
      <c r="AL70" t="s">
        <v>1067</v>
      </c>
      <c r="AM70" t="s">
        <v>1060</v>
      </c>
      <c r="AQ70" t="s">
        <v>628</v>
      </c>
      <c r="AR70" t="s">
        <v>125</v>
      </c>
      <c r="AT70" t="s">
        <v>1068</v>
      </c>
      <c r="AU70" t="s">
        <v>773</v>
      </c>
      <c r="AV70" t="s">
        <v>190</v>
      </c>
      <c r="AZ70" t="s">
        <v>80</v>
      </c>
    </row>
    <row r="71" spans="1:52" hidden="1" x14ac:dyDescent="0.25">
      <c r="A71" t="s">
        <v>1069</v>
      </c>
      <c r="B71" t="s">
        <v>631</v>
      </c>
      <c r="C71" t="s">
        <v>1070</v>
      </c>
      <c r="D71" t="s">
        <v>150</v>
      </c>
      <c r="E71" t="s">
        <v>1071</v>
      </c>
      <c r="F71" t="s">
        <v>634</v>
      </c>
      <c r="G71" t="s">
        <v>634</v>
      </c>
      <c r="H71" t="s">
        <v>635</v>
      </c>
      <c r="J71" t="s">
        <v>80</v>
      </c>
      <c r="K71" t="s">
        <v>110</v>
      </c>
      <c r="L71" t="s">
        <v>111</v>
      </c>
      <c r="M71">
        <v>66143</v>
      </c>
      <c r="O71" t="s">
        <v>636</v>
      </c>
      <c r="P71" t="s">
        <v>212</v>
      </c>
      <c r="Q71" t="s">
        <v>731</v>
      </c>
      <c r="R71" t="s">
        <v>732</v>
      </c>
      <c r="S71" t="s">
        <v>733</v>
      </c>
      <c r="T71" t="s">
        <v>618</v>
      </c>
      <c r="U71" t="s">
        <v>637</v>
      </c>
      <c r="V71" t="s">
        <v>638</v>
      </c>
      <c r="W71" t="s">
        <v>302</v>
      </c>
      <c r="X71" t="s">
        <v>1066</v>
      </c>
      <c r="Y71" t="s">
        <v>93</v>
      </c>
      <c r="Z71" t="s">
        <v>119</v>
      </c>
      <c r="AA71" t="s">
        <v>639</v>
      </c>
      <c r="AB71" t="s">
        <v>622</v>
      </c>
      <c r="AC71" t="s">
        <v>640</v>
      </c>
      <c r="AD71" t="s">
        <v>119</v>
      </c>
      <c r="AE71" t="s">
        <v>639</v>
      </c>
      <c r="AF71" t="s">
        <v>622</v>
      </c>
      <c r="AG71" t="s">
        <v>640</v>
      </c>
      <c r="AI71" t="s">
        <v>641</v>
      </c>
      <c r="AJ71" t="s">
        <v>119</v>
      </c>
      <c r="AK71" t="s">
        <v>99</v>
      </c>
      <c r="AL71" t="s">
        <v>1072</v>
      </c>
      <c r="AM71" t="s">
        <v>1073</v>
      </c>
      <c r="AQ71" t="s">
        <v>644</v>
      </c>
      <c r="AR71" t="s">
        <v>125</v>
      </c>
      <c r="AT71" t="s">
        <v>1074</v>
      </c>
      <c r="AU71" t="s">
        <v>1075</v>
      </c>
      <c r="AV71" t="s">
        <v>190</v>
      </c>
      <c r="AZ71" t="s">
        <v>80</v>
      </c>
    </row>
    <row r="72" spans="1:52" hidden="1" x14ac:dyDescent="0.25">
      <c r="A72" t="s">
        <v>1076</v>
      </c>
      <c r="B72" t="s">
        <v>1077</v>
      </c>
      <c r="C72" t="s">
        <v>1078</v>
      </c>
      <c r="D72" t="s">
        <v>150</v>
      </c>
      <c r="E72" t="s">
        <v>1079</v>
      </c>
      <c r="F72" t="s">
        <v>1080</v>
      </c>
      <c r="G72" t="s">
        <v>1080</v>
      </c>
      <c r="H72" t="s">
        <v>1081</v>
      </c>
      <c r="J72" t="s">
        <v>80</v>
      </c>
      <c r="K72" t="s">
        <v>110</v>
      </c>
      <c r="L72" t="s">
        <v>111</v>
      </c>
      <c r="M72">
        <v>69516</v>
      </c>
      <c r="P72" t="s">
        <v>154</v>
      </c>
      <c r="Q72" t="s">
        <v>731</v>
      </c>
      <c r="R72" t="s">
        <v>732</v>
      </c>
      <c r="S72" t="s">
        <v>733</v>
      </c>
      <c r="T72" t="s">
        <v>1082</v>
      </c>
      <c r="U72" t="s">
        <v>1083</v>
      </c>
      <c r="V72" t="s">
        <v>1084</v>
      </c>
      <c r="W72" t="s">
        <v>601</v>
      </c>
      <c r="X72" t="s">
        <v>1085</v>
      </c>
      <c r="Y72" t="s">
        <v>93</v>
      </c>
      <c r="Z72" t="s">
        <v>182</v>
      </c>
      <c r="AA72" t="s">
        <v>1086</v>
      </c>
      <c r="AB72" t="s">
        <v>119</v>
      </c>
      <c r="AC72" t="s">
        <v>1087</v>
      </c>
      <c r="AD72" t="s">
        <v>182</v>
      </c>
      <c r="AE72" t="s">
        <v>1086</v>
      </c>
      <c r="AF72" t="s">
        <v>119</v>
      </c>
      <c r="AG72" t="s">
        <v>1087</v>
      </c>
      <c r="AI72" t="s">
        <v>1088</v>
      </c>
      <c r="AJ72" t="s">
        <v>182</v>
      </c>
      <c r="AK72" t="s">
        <v>99</v>
      </c>
      <c r="AL72" t="s">
        <v>1089</v>
      </c>
      <c r="AM72" t="s">
        <v>1090</v>
      </c>
      <c r="AQ72" t="s">
        <v>1091</v>
      </c>
      <c r="AR72" t="s">
        <v>125</v>
      </c>
      <c r="AT72" t="s">
        <v>1092</v>
      </c>
      <c r="AU72" t="s">
        <v>1093</v>
      </c>
      <c r="AV72" t="s">
        <v>128</v>
      </c>
      <c r="AZ72" t="s">
        <v>80</v>
      </c>
    </row>
    <row r="73" spans="1:52" hidden="1" x14ac:dyDescent="0.25">
      <c r="A73" t="s">
        <v>1094</v>
      </c>
      <c r="B73" t="s">
        <v>1095</v>
      </c>
      <c r="C73" t="s">
        <v>1096</v>
      </c>
      <c r="D73" t="s">
        <v>150</v>
      </c>
      <c r="E73" t="s">
        <v>1097</v>
      </c>
      <c r="F73" t="s">
        <v>1098</v>
      </c>
      <c r="G73" t="s">
        <v>1098</v>
      </c>
      <c r="H73" t="s">
        <v>1099</v>
      </c>
      <c r="J73" t="s">
        <v>80</v>
      </c>
      <c r="K73" t="s">
        <v>110</v>
      </c>
      <c r="L73" t="s">
        <v>111</v>
      </c>
      <c r="M73">
        <v>69555</v>
      </c>
      <c r="O73" t="s">
        <v>1100</v>
      </c>
      <c r="P73" t="s">
        <v>154</v>
      </c>
      <c r="Q73" t="s">
        <v>731</v>
      </c>
      <c r="R73" t="s">
        <v>732</v>
      </c>
      <c r="S73" t="s">
        <v>733</v>
      </c>
      <c r="T73" t="s">
        <v>1082</v>
      </c>
      <c r="U73" t="s">
        <v>1101</v>
      </c>
      <c r="V73" t="s">
        <v>1102</v>
      </c>
      <c r="W73" t="s">
        <v>797</v>
      </c>
      <c r="X73" t="s">
        <v>1085</v>
      </c>
      <c r="Y73" t="s">
        <v>93</v>
      </c>
      <c r="Z73" t="s">
        <v>119</v>
      </c>
      <c r="AA73" t="s">
        <v>1103</v>
      </c>
      <c r="AB73" t="s">
        <v>182</v>
      </c>
      <c r="AC73" t="s">
        <v>1104</v>
      </c>
      <c r="AD73" t="s">
        <v>119</v>
      </c>
      <c r="AE73" t="s">
        <v>1103</v>
      </c>
      <c r="AF73" t="s">
        <v>182</v>
      </c>
      <c r="AG73" t="s">
        <v>1104</v>
      </c>
      <c r="AI73" t="s">
        <v>1105</v>
      </c>
      <c r="AJ73" t="s">
        <v>119</v>
      </c>
      <c r="AK73" t="s">
        <v>99</v>
      </c>
      <c r="AL73" t="s">
        <v>1106</v>
      </c>
      <c r="AM73" t="s">
        <v>1107</v>
      </c>
      <c r="AQ73" t="s">
        <v>1108</v>
      </c>
      <c r="AR73" t="s">
        <v>125</v>
      </c>
      <c r="AT73" t="s">
        <v>1109</v>
      </c>
      <c r="AU73" t="s">
        <v>1093</v>
      </c>
      <c r="AV73" t="s">
        <v>190</v>
      </c>
      <c r="AZ73" t="s">
        <v>80</v>
      </c>
    </row>
    <row r="74" spans="1:52" hidden="1" x14ac:dyDescent="0.25">
      <c r="A74" t="s">
        <v>1110</v>
      </c>
      <c r="B74" t="s">
        <v>1111</v>
      </c>
      <c r="C74" t="s">
        <v>1112</v>
      </c>
      <c r="D74" t="s">
        <v>150</v>
      </c>
      <c r="E74" t="s">
        <v>1113</v>
      </c>
      <c r="F74" t="s">
        <v>1114</v>
      </c>
      <c r="G74" t="s">
        <v>1114</v>
      </c>
      <c r="H74" t="s">
        <v>1115</v>
      </c>
      <c r="J74" t="s">
        <v>80</v>
      </c>
      <c r="K74" t="s">
        <v>110</v>
      </c>
      <c r="L74" t="s">
        <v>111</v>
      </c>
      <c r="M74">
        <v>69248</v>
      </c>
      <c r="P74" t="s">
        <v>154</v>
      </c>
      <c r="Q74" t="s">
        <v>731</v>
      </c>
      <c r="R74" t="s">
        <v>732</v>
      </c>
      <c r="S74" t="s">
        <v>733</v>
      </c>
      <c r="T74" t="s">
        <v>875</v>
      </c>
      <c r="U74" t="s">
        <v>1116</v>
      </c>
      <c r="V74" t="s">
        <v>1117</v>
      </c>
      <c r="W74" t="s">
        <v>737</v>
      </c>
      <c r="X74" t="s">
        <v>877</v>
      </c>
      <c r="Y74" t="s">
        <v>93</v>
      </c>
      <c r="Z74" t="s">
        <v>739</v>
      </c>
      <c r="AA74" t="s">
        <v>1118</v>
      </c>
      <c r="AB74" t="s">
        <v>829</v>
      </c>
      <c r="AC74" t="s">
        <v>1119</v>
      </c>
      <c r="AD74" t="s">
        <v>739</v>
      </c>
      <c r="AE74" t="s">
        <v>1118</v>
      </c>
      <c r="AF74" t="s">
        <v>829</v>
      </c>
      <c r="AG74" t="s">
        <v>1119</v>
      </c>
      <c r="AI74" t="s">
        <v>1120</v>
      </c>
      <c r="AJ74" t="s">
        <v>739</v>
      </c>
      <c r="AK74" t="s">
        <v>99</v>
      </c>
      <c r="AL74" t="s">
        <v>1121</v>
      </c>
      <c r="AM74" t="s">
        <v>1052</v>
      </c>
      <c r="AQ74" t="s">
        <v>1122</v>
      </c>
      <c r="AR74" t="s">
        <v>125</v>
      </c>
      <c r="AT74" t="s">
        <v>1123</v>
      </c>
      <c r="AU74" t="s">
        <v>773</v>
      </c>
      <c r="AV74" t="s">
        <v>128</v>
      </c>
      <c r="AZ74" t="s">
        <v>80</v>
      </c>
    </row>
    <row r="75" spans="1:52" hidden="1" x14ac:dyDescent="0.25">
      <c r="A75" t="s">
        <v>1124</v>
      </c>
      <c r="B75" t="s">
        <v>1111</v>
      </c>
      <c r="C75" t="s">
        <v>1125</v>
      </c>
      <c r="D75" t="s">
        <v>150</v>
      </c>
      <c r="E75" t="s">
        <v>1126</v>
      </c>
      <c r="F75" t="s">
        <v>1114</v>
      </c>
      <c r="G75" t="s">
        <v>1114</v>
      </c>
      <c r="H75" t="s">
        <v>1127</v>
      </c>
      <c r="J75" t="s">
        <v>80</v>
      </c>
      <c r="K75" t="s">
        <v>110</v>
      </c>
      <c r="L75" t="s">
        <v>111</v>
      </c>
      <c r="M75">
        <v>69248</v>
      </c>
      <c r="P75" t="s">
        <v>154</v>
      </c>
      <c r="Q75" t="s">
        <v>731</v>
      </c>
      <c r="R75" t="s">
        <v>732</v>
      </c>
      <c r="S75" t="s">
        <v>733</v>
      </c>
      <c r="T75" t="s">
        <v>875</v>
      </c>
      <c r="U75" t="s">
        <v>1116</v>
      </c>
      <c r="V75" t="s">
        <v>1117</v>
      </c>
      <c r="W75" t="s">
        <v>752</v>
      </c>
      <c r="X75" t="s">
        <v>1128</v>
      </c>
      <c r="Y75" t="s">
        <v>93</v>
      </c>
      <c r="Z75" t="s">
        <v>739</v>
      </c>
      <c r="AA75" t="s">
        <v>1118</v>
      </c>
      <c r="AB75" t="s">
        <v>829</v>
      </c>
      <c r="AC75" t="s">
        <v>1119</v>
      </c>
      <c r="AD75" t="s">
        <v>739</v>
      </c>
      <c r="AE75" t="s">
        <v>1118</v>
      </c>
      <c r="AF75" t="s">
        <v>829</v>
      </c>
      <c r="AG75" t="s">
        <v>1119</v>
      </c>
      <c r="AI75" t="s">
        <v>1120</v>
      </c>
      <c r="AJ75" t="s">
        <v>739</v>
      </c>
      <c r="AK75" t="s">
        <v>99</v>
      </c>
      <c r="AL75" t="s">
        <v>1129</v>
      </c>
      <c r="AM75" t="s">
        <v>1130</v>
      </c>
      <c r="AQ75" t="s">
        <v>1131</v>
      </c>
      <c r="AR75" t="s">
        <v>125</v>
      </c>
      <c r="AT75" t="s">
        <v>1132</v>
      </c>
      <c r="AU75" t="s">
        <v>773</v>
      </c>
      <c r="AV75" t="s">
        <v>128</v>
      </c>
      <c r="AZ75" t="s">
        <v>80</v>
      </c>
    </row>
    <row r="76" spans="1:52" hidden="1" x14ac:dyDescent="0.25">
      <c r="A76" t="s">
        <v>1133</v>
      </c>
      <c r="B76" t="s">
        <v>1134</v>
      </c>
      <c r="C76" t="s">
        <v>1135</v>
      </c>
      <c r="D76" t="s">
        <v>150</v>
      </c>
      <c r="E76" t="s">
        <v>1136</v>
      </c>
      <c r="F76" t="s">
        <v>1137</v>
      </c>
      <c r="G76" t="s">
        <v>1137</v>
      </c>
      <c r="H76" t="s">
        <v>1138</v>
      </c>
      <c r="J76" t="s">
        <v>80</v>
      </c>
      <c r="K76" t="s">
        <v>110</v>
      </c>
      <c r="L76" t="s">
        <v>111</v>
      </c>
      <c r="M76">
        <v>69111</v>
      </c>
      <c r="O76" t="s">
        <v>1139</v>
      </c>
      <c r="P76" t="s">
        <v>212</v>
      </c>
      <c r="Q76" t="s">
        <v>731</v>
      </c>
      <c r="R76" t="s">
        <v>732</v>
      </c>
      <c r="S76" t="s">
        <v>733</v>
      </c>
      <c r="T76" t="s">
        <v>734</v>
      </c>
      <c r="U76" t="s">
        <v>1140</v>
      </c>
      <c r="V76" t="s">
        <v>1141</v>
      </c>
      <c r="W76" t="s">
        <v>737</v>
      </c>
      <c r="X76" t="s">
        <v>738</v>
      </c>
      <c r="Y76" t="s">
        <v>93</v>
      </c>
      <c r="Z76" t="s">
        <v>119</v>
      </c>
      <c r="AA76" t="s">
        <v>1142</v>
      </c>
      <c r="AB76" t="s">
        <v>739</v>
      </c>
      <c r="AC76" t="s">
        <v>1143</v>
      </c>
      <c r="AD76" t="s">
        <v>119</v>
      </c>
      <c r="AE76" t="s">
        <v>1142</v>
      </c>
      <c r="AF76" t="s">
        <v>739</v>
      </c>
      <c r="AG76" t="s">
        <v>1143</v>
      </c>
      <c r="AI76" t="s">
        <v>1144</v>
      </c>
      <c r="AJ76" t="s">
        <v>119</v>
      </c>
      <c r="AK76" t="s">
        <v>99</v>
      </c>
      <c r="AL76" t="s">
        <v>1145</v>
      </c>
      <c r="AM76" t="s">
        <v>1146</v>
      </c>
      <c r="AQ76" t="s">
        <v>1147</v>
      </c>
      <c r="AR76" t="s">
        <v>125</v>
      </c>
      <c r="AT76" t="s">
        <v>1148</v>
      </c>
      <c r="AU76" t="s">
        <v>1075</v>
      </c>
      <c r="AV76" t="s">
        <v>190</v>
      </c>
      <c r="AZ76" t="s">
        <v>80</v>
      </c>
    </row>
    <row r="77" spans="1:52" hidden="1" x14ac:dyDescent="0.25">
      <c r="A77" t="s">
        <v>1149</v>
      </c>
      <c r="B77" t="s">
        <v>1134</v>
      </c>
      <c r="C77" t="s">
        <v>1150</v>
      </c>
      <c r="D77" t="s">
        <v>150</v>
      </c>
      <c r="E77" t="s">
        <v>1151</v>
      </c>
      <c r="F77" t="s">
        <v>1137</v>
      </c>
      <c r="G77" t="s">
        <v>1137</v>
      </c>
      <c r="H77" t="s">
        <v>1152</v>
      </c>
      <c r="J77" t="s">
        <v>80</v>
      </c>
      <c r="K77" t="s">
        <v>110</v>
      </c>
      <c r="L77" t="s">
        <v>111</v>
      </c>
      <c r="M77">
        <v>69111</v>
      </c>
      <c r="O77" t="s">
        <v>1139</v>
      </c>
      <c r="P77" t="s">
        <v>212</v>
      </c>
      <c r="Q77" t="s">
        <v>731</v>
      </c>
      <c r="R77" t="s">
        <v>732</v>
      </c>
      <c r="S77" t="s">
        <v>733</v>
      </c>
      <c r="T77" t="s">
        <v>734</v>
      </c>
      <c r="U77" t="s">
        <v>1140</v>
      </c>
      <c r="V77" t="s">
        <v>1141</v>
      </c>
      <c r="W77" t="s">
        <v>752</v>
      </c>
      <c r="X77" t="s">
        <v>753</v>
      </c>
      <c r="Y77" t="s">
        <v>93</v>
      </c>
      <c r="Z77" t="s">
        <v>119</v>
      </c>
      <c r="AA77" t="s">
        <v>1142</v>
      </c>
      <c r="AB77" t="s">
        <v>739</v>
      </c>
      <c r="AC77" t="s">
        <v>1143</v>
      </c>
      <c r="AD77" t="s">
        <v>119</v>
      </c>
      <c r="AE77" t="s">
        <v>1142</v>
      </c>
      <c r="AF77" t="s">
        <v>739</v>
      </c>
      <c r="AG77" t="s">
        <v>1143</v>
      </c>
      <c r="AI77" t="s">
        <v>1144</v>
      </c>
      <c r="AJ77" t="s">
        <v>119</v>
      </c>
      <c r="AK77" t="s">
        <v>99</v>
      </c>
      <c r="AL77" t="s">
        <v>1153</v>
      </c>
      <c r="AM77" t="s">
        <v>1154</v>
      </c>
      <c r="AQ77" t="s">
        <v>1155</v>
      </c>
      <c r="AR77" t="s">
        <v>125</v>
      </c>
      <c r="AT77" t="s">
        <v>1156</v>
      </c>
      <c r="AU77" t="s">
        <v>1075</v>
      </c>
      <c r="AV77" t="s">
        <v>190</v>
      </c>
      <c r="AZ77" t="s">
        <v>80</v>
      </c>
    </row>
    <row r="78" spans="1:52" hidden="1" x14ac:dyDescent="0.25">
      <c r="A78" t="s">
        <v>1157</v>
      </c>
      <c r="B78" t="s">
        <v>1158</v>
      </c>
      <c r="C78" t="s">
        <v>1159</v>
      </c>
      <c r="D78" t="s">
        <v>150</v>
      </c>
      <c r="E78" t="s">
        <v>1160</v>
      </c>
      <c r="F78" t="s">
        <v>1161</v>
      </c>
      <c r="G78" t="s">
        <v>1161</v>
      </c>
      <c r="H78" t="s">
        <v>1162</v>
      </c>
      <c r="J78" t="s">
        <v>80</v>
      </c>
      <c r="K78" t="s">
        <v>110</v>
      </c>
      <c r="L78" t="s">
        <v>111</v>
      </c>
      <c r="M78">
        <v>69518</v>
      </c>
      <c r="P78" t="s">
        <v>154</v>
      </c>
      <c r="Q78" t="s">
        <v>731</v>
      </c>
      <c r="R78" t="s">
        <v>732</v>
      </c>
      <c r="S78" t="s">
        <v>733</v>
      </c>
      <c r="T78" t="s">
        <v>468</v>
      </c>
      <c r="U78" t="s">
        <v>1030</v>
      </c>
      <c r="V78" t="s">
        <v>1031</v>
      </c>
      <c r="W78" t="s">
        <v>601</v>
      </c>
      <c r="X78" t="s">
        <v>1163</v>
      </c>
      <c r="Y78" t="s">
        <v>93</v>
      </c>
      <c r="Z78" t="s">
        <v>472</v>
      </c>
      <c r="AA78" t="s">
        <v>767</v>
      </c>
      <c r="AB78" t="s">
        <v>119</v>
      </c>
      <c r="AC78" t="s">
        <v>1164</v>
      </c>
      <c r="AD78" t="s">
        <v>472</v>
      </c>
      <c r="AE78" t="s">
        <v>767</v>
      </c>
      <c r="AF78" t="s">
        <v>119</v>
      </c>
      <c r="AG78" t="s">
        <v>1164</v>
      </c>
      <c r="AI78" t="s">
        <v>1165</v>
      </c>
      <c r="AJ78" t="s">
        <v>472</v>
      </c>
      <c r="AK78" t="s">
        <v>99</v>
      </c>
      <c r="AL78" t="s">
        <v>1166</v>
      </c>
      <c r="AM78" t="s">
        <v>1167</v>
      </c>
      <c r="AQ78" t="s">
        <v>1168</v>
      </c>
      <c r="AR78" t="s">
        <v>125</v>
      </c>
      <c r="AT78" t="s">
        <v>1169</v>
      </c>
      <c r="AU78" t="s">
        <v>773</v>
      </c>
      <c r="AV78" t="s">
        <v>128</v>
      </c>
      <c r="AZ78" t="s">
        <v>80</v>
      </c>
    </row>
    <row r="79" spans="1:52" hidden="1" x14ac:dyDescent="0.25">
      <c r="A79" t="s">
        <v>1170</v>
      </c>
      <c r="B79" t="s">
        <v>1171</v>
      </c>
      <c r="C79" t="s">
        <v>1172</v>
      </c>
      <c r="D79" t="s">
        <v>150</v>
      </c>
      <c r="E79" t="s">
        <v>1173</v>
      </c>
      <c r="F79" t="s">
        <v>1174</v>
      </c>
      <c r="G79" t="s">
        <v>1174</v>
      </c>
      <c r="H79" t="s">
        <v>1175</v>
      </c>
      <c r="J79" t="s">
        <v>80</v>
      </c>
      <c r="K79" t="s">
        <v>110</v>
      </c>
      <c r="L79" t="s">
        <v>111</v>
      </c>
      <c r="M79">
        <v>69155</v>
      </c>
      <c r="O79" t="s">
        <v>1176</v>
      </c>
      <c r="P79" t="s">
        <v>212</v>
      </c>
      <c r="Q79" t="s">
        <v>731</v>
      </c>
      <c r="R79" t="s">
        <v>732</v>
      </c>
      <c r="S79" t="s">
        <v>733</v>
      </c>
      <c r="T79" t="s">
        <v>468</v>
      </c>
      <c r="U79" t="s">
        <v>1177</v>
      </c>
      <c r="V79" t="s">
        <v>1178</v>
      </c>
      <c r="W79" t="s">
        <v>601</v>
      </c>
      <c r="X79" t="s">
        <v>1163</v>
      </c>
      <c r="Y79" t="s">
        <v>93</v>
      </c>
      <c r="Z79" t="s">
        <v>119</v>
      </c>
      <c r="AA79" t="s">
        <v>1179</v>
      </c>
      <c r="AB79" t="s">
        <v>472</v>
      </c>
      <c r="AC79" t="s">
        <v>1180</v>
      </c>
      <c r="AD79" t="s">
        <v>119</v>
      </c>
      <c r="AE79" t="s">
        <v>1179</v>
      </c>
      <c r="AF79" t="s">
        <v>472</v>
      </c>
      <c r="AG79" t="s">
        <v>1180</v>
      </c>
      <c r="AI79" t="s">
        <v>1181</v>
      </c>
      <c r="AJ79" t="s">
        <v>119</v>
      </c>
      <c r="AK79" t="s">
        <v>99</v>
      </c>
      <c r="AL79" t="s">
        <v>1182</v>
      </c>
      <c r="AM79" t="s">
        <v>1183</v>
      </c>
      <c r="AQ79" t="s">
        <v>1184</v>
      </c>
      <c r="AR79" t="s">
        <v>125</v>
      </c>
      <c r="AT79" t="s">
        <v>1185</v>
      </c>
      <c r="AU79" t="s">
        <v>1075</v>
      </c>
      <c r="AV79" t="s">
        <v>190</v>
      </c>
      <c r="AZ79" t="s">
        <v>80</v>
      </c>
    </row>
    <row r="80" spans="1:52" hidden="1" x14ac:dyDescent="0.25">
      <c r="A80" t="s">
        <v>1186</v>
      </c>
      <c r="B80" t="s">
        <v>760</v>
      </c>
      <c r="C80" t="s">
        <v>1187</v>
      </c>
      <c r="D80" t="s">
        <v>150</v>
      </c>
      <c r="E80" t="s">
        <v>1188</v>
      </c>
      <c r="F80" t="s">
        <v>763</v>
      </c>
      <c r="G80" t="s">
        <v>763</v>
      </c>
      <c r="H80" t="s">
        <v>764</v>
      </c>
      <c r="J80" t="s">
        <v>80</v>
      </c>
      <c r="K80" t="s">
        <v>110</v>
      </c>
      <c r="L80" t="s">
        <v>111</v>
      </c>
      <c r="M80">
        <v>66512</v>
      </c>
      <c r="P80" t="s">
        <v>154</v>
      </c>
      <c r="Q80" t="s">
        <v>731</v>
      </c>
      <c r="R80" t="s">
        <v>732</v>
      </c>
      <c r="S80" t="s">
        <v>733</v>
      </c>
      <c r="T80" t="s">
        <v>618</v>
      </c>
      <c r="U80" t="s">
        <v>765</v>
      </c>
      <c r="V80" t="s">
        <v>160</v>
      </c>
      <c r="W80" t="s">
        <v>302</v>
      </c>
      <c r="X80" t="s">
        <v>1066</v>
      </c>
      <c r="Y80" t="s">
        <v>93</v>
      </c>
      <c r="Z80" t="s">
        <v>622</v>
      </c>
      <c r="AA80" t="s">
        <v>766</v>
      </c>
      <c r="AB80" t="s">
        <v>119</v>
      </c>
      <c r="AC80" t="s">
        <v>767</v>
      </c>
      <c r="AD80" t="s">
        <v>622</v>
      </c>
      <c r="AE80" t="s">
        <v>766</v>
      </c>
      <c r="AF80" t="s">
        <v>119</v>
      </c>
      <c r="AG80" t="s">
        <v>767</v>
      </c>
      <c r="AI80" t="s">
        <v>768</v>
      </c>
      <c r="AJ80" t="s">
        <v>622</v>
      </c>
      <c r="AK80" t="s">
        <v>99</v>
      </c>
      <c r="AL80" t="s">
        <v>1189</v>
      </c>
      <c r="AM80" t="s">
        <v>1190</v>
      </c>
      <c r="AQ80" t="s">
        <v>771</v>
      </c>
      <c r="AR80" t="s">
        <v>125</v>
      </c>
      <c r="AT80" t="s">
        <v>1191</v>
      </c>
      <c r="AU80" t="s">
        <v>773</v>
      </c>
      <c r="AV80" t="s">
        <v>128</v>
      </c>
      <c r="AZ80" t="s">
        <v>80</v>
      </c>
    </row>
    <row r="81" spans="1:52" hidden="1" x14ac:dyDescent="0.25">
      <c r="A81" t="s">
        <v>1192</v>
      </c>
      <c r="B81" t="s">
        <v>775</v>
      </c>
      <c r="C81" t="s">
        <v>1193</v>
      </c>
      <c r="D81" t="s">
        <v>150</v>
      </c>
      <c r="E81" t="s">
        <v>1194</v>
      </c>
      <c r="F81" t="s">
        <v>778</v>
      </c>
      <c r="G81" t="s">
        <v>778</v>
      </c>
      <c r="H81" t="s">
        <v>779</v>
      </c>
      <c r="J81" t="s">
        <v>80</v>
      </c>
      <c r="K81" t="s">
        <v>110</v>
      </c>
      <c r="L81" t="s">
        <v>111</v>
      </c>
      <c r="M81">
        <v>66563</v>
      </c>
      <c r="P81" t="s">
        <v>154</v>
      </c>
      <c r="Q81" t="s">
        <v>731</v>
      </c>
      <c r="R81" t="s">
        <v>732</v>
      </c>
      <c r="S81" t="s">
        <v>733</v>
      </c>
      <c r="T81" t="s">
        <v>618</v>
      </c>
      <c r="U81" t="s">
        <v>780</v>
      </c>
      <c r="V81" t="s">
        <v>781</v>
      </c>
      <c r="W81" t="s">
        <v>302</v>
      </c>
      <c r="X81" t="s">
        <v>1066</v>
      </c>
      <c r="Y81" t="s">
        <v>93</v>
      </c>
      <c r="Z81" t="s">
        <v>119</v>
      </c>
      <c r="AA81" t="s">
        <v>782</v>
      </c>
      <c r="AB81" t="s">
        <v>622</v>
      </c>
      <c r="AC81" t="s">
        <v>783</v>
      </c>
      <c r="AD81" t="s">
        <v>119</v>
      </c>
      <c r="AE81" t="s">
        <v>782</v>
      </c>
      <c r="AF81" t="s">
        <v>622</v>
      </c>
      <c r="AG81" t="s">
        <v>783</v>
      </c>
      <c r="AI81" t="s">
        <v>784</v>
      </c>
      <c r="AJ81" t="s">
        <v>119</v>
      </c>
      <c r="AK81" t="s">
        <v>99</v>
      </c>
      <c r="AL81" t="s">
        <v>1195</v>
      </c>
      <c r="AM81" t="s">
        <v>1196</v>
      </c>
      <c r="AQ81" t="s">
        <v>787</v>
      </c>
      <c r="AR81" t="s">
        <v>125</v>
      </c>
      <c r="AT81" t="s">
        <v>1197</v>
      </c>
      <c r="AU81" t="s">
        <v>773</v>
      </c>
      <c r="AV81" t="s">
        <v>128</v>
      </c>
      <c r="AZ81" t="s">
        <v>80</v>
      </c>
    </row>
    <row r="82" spans="1:52" hidden="1" x14ac:dyDescent="0.25">
      <c r="A82" t="s">
        <v>1198</v>
      </c>
      <c r="B82" t="s">
        <v>1199</v>
      </c>
      <c r="C82" t="s">
        <v>1200</v>
      </c>
      <c r="D82" t="s">
        <v>78</v>
      </c>
      <c r="E82" t="s">
        <v>1201</v>
      </c>
      <c r="F82" t="s">
        <v>1201</v>
      </c>
      <c r="G82" t="s">
        <v>1202</v>
      </c>
      <c r="H82" t="s">
        <v>1203</v>
      </c>
      <c r="J82" t="s">
        <v>80</v>
      </c>
      <c r="K82" t="s">
        <v>81</v>
      </c>
      <c r="L82" t="s">
        <v>111</v>
      </c>
      <c r="M82" t="s">
        <v>1204</v>
      </c>
      <c r="P82" t="s">
        <v>134</v>
      </c>
      <c r="Q82" t="s">
        <v>1205</v>
      </c>
      <c r="R82" t="s">
        <v>914</v>
      </c>
      <c r="S82" t="s">
        <v>444</v>
      </c>
      <c r="T82" t="s">
        <v>1206</v>
      </c>
      <c r="U82" t="s">
        <v>1207</v>
      </c>
      <c r="V82" t="s">
        <v>1208</v>
      </c>
      <c r="W82" t="s">
        <v>1209</v>
      </c>
      <c r="X82" t="s">
        <v>1210</v>
      </c>
      <c r="Y82" t="s">
        <v>1211</v>
      </c>
      <c r="Z82" t="s">
        <v>678</v>
      </c>
      <c r="AA82" t="s">
        <v>1212</v>
      </c>
      <c r="AB82" t="s">
        <v>1213</v>
      </c>
      <c r="AC82" t="s">
        <v>1214</v>
      </c>
      <c r="AD82" t="s">
        <v>678</v>
      </c>
      <c r="AE82" t="s">
        <v>1212</v>
      </c>
      <c r="AF82" t="s">
        <v>1213</v>
      </c>
      <c r="AG82" t="s">
        <v>1214</v>
      </c>
      <c r="AI82" t="s">
        <v>1215</v>
      </c>
      <c r="AJ82" t="s">
        <v>678</v>
      </c>
      <c r="AK82" t="s">
        <v>99</v>
      </c>
      <c r="AL82" t="s">
        <v>1216</v>
      </c>
      <c r="AM82" t="s">
        <v>1217</v>
      </c>
      <c r="AP82" t="s">
        <v>1218</v>
      </c>
      <c r="AR82" t="s">
        <v>125</v>
      </c>
      <c r="AT82" t="s">
        <v>1219</v>
      </c>
      <c r="AV82" t="s">
        <v>1220</v>
      </c>
      <c r="AZ82" t="s">
        <v>80</v>
      </c>
    </row>
    <row r="83" spans="1:52" hidden="1" x14ac:dyDescent="0.25">
      <c r="A83" t="s">
        <v>1221</v>
      </c>
      <c r="B83" t="s">
        <v>1199</v>
      </c>
      <c r="C83" t="s">
        <v>1222</v>
      </c>
      <c r="D83" t="s">
        <v>78</v>
      </c>
      <c r="E83" t="s">
        <v>1223</v>
      </c>
      <c r="F83" t="s">
        <v>1223</v>
      </c>
      <c r="G83" t="s">
        <v>1202</v>
      </c>
      <c r="H83" t="s">
        <v>1224</v>
      </c>
      <c r="J83" t="s">
        <v>80</v>
      </c>
      <c r="K83" t="s">
        <v>81</v>
      </c>
      <c r="L83" t="s">
        <v>111</v>
      </c>
      <c r="M83" t="s">
        <v>1204</v>
      </c>
      <c r="P83" t="s">
        <v>134</v>
      </c>
      <c r="Q83" t="s">
        <v>1205</v>
      </c>
      <c r="R83" t="s">
        <v>914</v>
      </c>
      <c r="S83" t="s">
        <v>444</v>
      </c>
      <c r="T83" t="s">
        <v>1206</v>
      </c>
      <c r="U83" t="s">
        <v>1207</v>
      </c>
      <c r="V83" t="s">
        <v>1208</v>
      </c>
      <c r="W83" t="s">
        <v>1225</v>
      </c>
      <c r="X83" t="s">
        <v>1226</v>
      </c>
      <c r="Y83" t="s">
        <v>1211</v>
      </c>
      <c r="Z83" t="s">
        <v>678</v>
      </c>
      <c r="AA83" t="s">
        <v>1212</v>
      </c>
      <c r="AB83" t="s">
        <v>1213</v>
      </c>
      <c r="AC83" t="s">
        <v>1214</v>
      </c>
      <c r="AD83" t="s">
        <v>678</v>
      </c>
      <c r="AE83" t="s">
        <v>1212</v>
      </c>
      <c r="AF83" t="s">
        <v>1213</v>
      </c>
      <c r="AG83" t="s">
        <v>1214</v>
      </c>
      <c r="AI83" t="s">
        <v>1215</v>
      </c>
      <c r="AJ83" t="s">
        <v>678</v>
      </c>
      <c r="AK83" t="s">
        <v>99</v>
      </c>
      <c r="AL83" t="s">
        <v>1227</v>
      </c>
      <c r="AM83" t="s">
        <v>1217</v>
      </c>
      <c r="AP83" t="s">
        <v>1218</v>
      </c>
      <c r="AR83" t="s">
        <v>125</v>
      </c>
      <c r="AT83" t="s">
        <v>1228</v>
      </c>
      <c r="AV83" t="s">
        <v>1220</v>
      </c>
      <c r="AZ83" t="s">
        <v>80</v>
      </c>
    </row>
    <row r="84" spans="1:52" hidden="1" x14ac:dyDescent="0.25">
      <c r="A84" t="s">
        <v>1229</v>
      </c>
      <c r="B84" t="s">
        <v>1199</v>
      </c>
      <c r="C84" t="s">
        <v>1230</v>
      </c>
      <c r="D84" t="s">
        <v>78</v>
      </c>
      <c r="E84" t="s">
        <v>1231</v>
      </c>
      <c r="F84" t="s">
        <v>1231</v>
      </c>
      <c r="G84" t="s">
        <v>1202</v>
      </c>
      <c r="H84" t="s">
        <v>1232</v>
      </c>
      <c r="J84" t="s">
        <v>80</v>
      </c>
      <c r="K84" t="s">
        <v>81</v>
      </c>
      <c r="L84" t="s">
        <v>111</v>
      </c>
      <c r="M84" t="s">
        <v>1204</v>
      </c>
      <c r="P84" t="s">
        <v>134</v>
      </c>
      <c r="Q84" t="s">
        <v>1205</v>
      </c>
      <c r="R84" t="s">
        <v>914</v>
      </c>
      <c r="S84" t="s">
        <v>444</v>
      </c>
      <c r="T84" t="s">
        <v>1206</v>
      </c>
      <c r="U84" t="s">
        <v>1207</v>
      </c>
      <c r="V84" t="s">
        <v>1208</v>
      </c>
      <c r="W84" t="s">
        <v>1233</v>
      </c>
      <c r="X84" t="s">
        <v>1234</v>
      </c>
      <c r="Y84" t="s">
        <v>1211</v>
      </c>
      <c r="Z84" t="s">
        <v>678</v>
      </c>
      <c r="AA84" t="s">
        <v>1212</v>
      </c>
      <c r="AB84" t="s">
        <v>1213</v>
      </c>
      <c r="AC84" t="s">
        <v>1214</v>
      </c>
      <c r="AD84" t="s">
        <v>678</v>
      </c>
      <c r="AE84" t="s">
        <v>1212</v>
      </c>
      <c r="AF84" t="s">
        <v>1213</v>
      </c>
      <c r="AG84" t="s">
        <v>1214</v>
      </c>
      <c r="AI84" t="s">
        <v>1215</v>
      </c>
      <c r="AJ84" t="s">
        <v>678</v>
      </c>
      <c r="AK84" t="s">
        <v>99</v>
      </c>
      <c r="AL84" t="s">
        <v>1235</v>
      </c>
      <c r="AM84" t="s">
        <v>1236</v>
      </c>
      <c r="AP84" t="s">
        <v>1218</v>
      </c>
      <c r="AR84" t="s">
        <v>125</v>
      </c>
      <c r="AT84" t="s">
        <v>1237</v>
      </c>
      <c r="AV84" t="s">
        <v>1220</v>
      </c>
      <c r="AZ84" t="s">
        <v>80</v>
      </c>
    </row>
    <row r="85" spans="1:52" hidden="1" x14ac:dyDescent="0.25">
      <c r="A85" t="s">
        <v>1238</v>
      </c>
      <c r="B85" t="s">
        <v>1199</v>
      </c>
      <c r="C85" t="s">
        <v>1239</v>
      </c>
      <c r="D85" t="s">
        <v>78</v>
      </c>
      <c r="E85" t="s">
        <v>1240</v>
      </c>
      <c r="F85" t="s">
        <v>1240</v>
      </c>
      <c r="G85" t="s">
        <v>1202</v>
      </c>
      <c r="H85" t="s">
        <v>1241</v>
      </c>
      <c r="J85" t="s">
        <v>80</v>
      </c>
      <c r="K85" t="s">
        <v>81</v>
      </c>
      <c r="L85" t="s">
        <v>111</v>
      </c>
      <c r="M85" t="s">
        <v>1204</v>
      </c>
      <c r="P85" t="s">
        <v>134</v>
      </c>
      <c r="Q85" t="s">
        <v>1205</v>
      </c>
      <c r="R85" t="s">
        <v>914</v>
      </c>
      <c r="S85" t="s">
        <v>444</v>
      </c>
      <c r="T85" t="s">
        <v>1206</v>
      </c>
      <c r="U85" t="s">
        <v>1207</v>
      </c>
      <c r="V85" t="s">
        <v>1208</v>
      </c>
      <c r="W85" t="s">
        <v>1242</v>
      </c>
      <c r="X85" t="s">
        <v>1243</v>
      </c>
      <c r="Y85" t="s">
        <v>1211</v>
      </c>
      <c r="Z85" t="s">
        <v>678</v>
      </c>
      <c r="AA85" t="s">
        <v>1212</v>
      </c>
      <c r="AB85" t="s">
        <v>1213</v>
      </c>
      <c r="AC85" t="s">
        <v>1214</v>
      </c>
      <c r="AD85" t="s">
        <v>678</v>
      </c>
      <c r="AE85" t="s">
        <v>1212</v>
      </c>
      <c r="AF85" t="s">
        <v>1213</v>
      </c>
      <c r="AG85" t="s">
        <v>1214</v>
      </c>
      <c r="AI85" t="s">
        <v>1215</v>
      </c>
      <c r="AJ85" t="s">
        <v>678</v>
      </c>
      <c r="AK85" t="s">
        <v>99</v>
      </c>
      <c r="AL85" t="s">
        <v>1244</v>
      </c>
      <c r="AM85" t="s">
        <v>1236</v>
      </c>
      <c r="AP85" t="s">
        <v>1218</v>
      </c>
      <c r="AR85" t="s">
        <v>125</v>
      </c>
      <c r="AT85" t="s">
        <v>1245</v>
      </c>
      <c r="AV85" t="s">
        <v>1220</v>
      </c>
      <c r="AZ85" t="s">
        <v>80</v>
      </c>
    </row>
    <row r="86" spans="1:52" hidden="1" x14ac:dyDescent="0.25">
      <c r="A86" t="s">
        <v>1246</v>
      </c>
      <c r="B86" t="s">
        <v>1247</v>
      </c>
      <c r="C86" t="s">
        <v>1248</v>
      </c>
      <c r="D86" t="s">
        <v>78</v>
      </c>
      <c r="E86" t="s">
        <v>1249</v>
      </c>
      <c r="F86" t="s">
        <v>1249</v>
      </c>
      <c r="G86" t="s">
        <v>1249</v>
      </c>
      <c r="J86" t="s">
        <v>80</v>
      </c>
      <c r="K86" t="s">
        <v>81</v>
      </c>
      <c r="L86" t="s">
        <v>80</v>
      </c>
      <c r="M86">
        <v>69498</v>
      </c>
      <c r="P86" t="s">
        <v>134</v>
      </c>
      <c r="Q86" t="s">
        <v>1205</v>
      </c>
      <c r="R86" t="s">
        <v>914</v>
      </c>
      <c r="S86" t="s">
        <v>444</v>
      </c>
      <c r="T86" t="s">
        <v>1250</v>
      </c>
      <c r="U86" t="s">
        <v>1251</v>
      </c>
      <c r="V86" t="s">
        <v>1252</v>
      </c>
      <c r="W86" t="s">
        <v>139</v>
      </c>
      <c r="X86" t="s">
        <v>1253</v>
      </c>
      <c r="Y86" t="s">
        <v>93</v>
      </c>
      <c r="Z86" t="s">
        <v>1254</v>
      </c>
      <c r="AA86" t="s">
        <v>1255</v>
      </c>
      <c r="AB86" t="s">
        <v>678</v>
      </c>
      <c r="AC86" t="s">
        <v>1256</v>
      </c>
      <c r="AD86" t="s">
        <v>1254</v>
      </c>
      <c r="AE86" t="s">
        <v>1255</v>
      </c>
      <c r="AF86" t="s">
        <v>678</v>
      </c>
      <c r="AG86" t="s">
        <v>1256</v>
      </c>
      <c r="AI86" t="s">
        <v>1257</v>
      </c>
      <c r="AJ86" t="s">
        <v>1254</v>
      </c>
      <c r="AK86" t="s">
        <v>99</v>
      </c>
      <c r="AL86" t="s">
        <v>1258</v>
      </c>
      <c r="AM86" t="s">
        <v>1259</v>
      </c>
      <c r="AN86" t="s">
        <v>1260</v>
      </c>
      <c r="AT86" t="s">
        <v>1261</v>
      </c>
      <c r="AV86" t="s">
        <v>128</v>
      </c>
      <c r="AZ86" t="s">
        <v>80</v>
      </c>
    </row>
    <row r="87" spans="1:52" hidden="1" x14ac:dyDescent="0.25">
      <c r="A87" t="s">
        <v>1262</v>
      </c>
      <c r="B87" t="s">
        <v>591</v>
      </c>
      <c r="C87" t="s">
        <v>1263</v>
      </c>
      <c r="D87" t="s">
        <v>78</v>
      </c>
      <c r="E87" t="s">
        <v>1264</v>
      </c>
      <c r="F87" t="s">
        <v>1264</v>
      </c>
      <c r="G87" t="s">
        <v>1264</v>
      </c>
      <c r="J87" t="s">
        <v>80</v>
      </c>
      <c r="K87" t="s">
        <v>81</v>
      </c>
      <c r="L87" t="s">
        <v>80</v>
      </c>
      <c r="M87" t="s">
        <v>1265</v>
      </c>
      <c r="P87" t="s">
        <v>1266</v>
      </c>
      <c r="Q87" t="s">
        <v>85</v>
      </c>
      <c r="R87" t="s">
        <v>86</v>
      </c>
      <c r="S87" t="s">
        <v>87</v>
      </c>
      <c r="T87" t="s">
        <v>1267</v>
      </c>
      <c r="U87" t="s">
        <v>114</v>
      </c>
      <c r="V87" t="s">
        <v>1268</v>
      </c>
      <c r="W87" t="s">
        <v>1269</v>
      </c>
      <c r="X87" t="s">
        <v>1270</v>
      </c>
      <c r="Y87" t="s">
        <v>93</v>
      </c>
      <c r="Z87" t="s">
        <v>119</v>
      </c>
      <c r="AA87" t="s">
        <v>1271</v>
      </c>
      <c r="AB87" t="s">
        <v>94</v>
      </c>
      <c r="AC87" t="s">
        <v>1272</v>
      </c>
      <c r="AD87" t="s">
        <v>119</v>
      </c>
      <c r="AE87" t="s">
        <v>1271</v>
      </c>
      <c r="AF87" t="s">
        <v>94</v>
      </c>
      <c r="AG87" t="s">
        <v>1272</v>
      </c>
      <c r="AI87" t="s">
        <v>1273</v>
      </c>
      <c r="AJ87" t="s">
        <v>119</v>
      </c>
      <c r="AK87" t="s">
        <v>99</v>
      </c>
      <c r="AL87" t="s">
        <v>1274</v>
      </c>
      <c r="AM87" t="s">
        <v>1275</v>
      </c>
      <c r="AN87" t="s">
        <v>1260</v>
      </c>
      <c r="AP87" t="s">
        <v>1218</v>
      </c>
      <c r="AT87" t="s">
        <v>1276</v>
      </c>
      <c r="AV87" t="s">
        <v>128</v>
      </c>
      <c r="AW87" t="s">
        <v>1277</v>
      </c>
      <c r="AZ87" t="s">
        <v>80</v>
      </c>
    </row>
    <row r="88" spans="1:52" hidden="1" x14ac:dyDescent="0.25">
      <c r="A88" t="s">
        <v>1278</v>
      </c>
      <c r="B88" t="s">
        <v>1279</v>
      </c>
      <c r="C88" t="s">
        <v>1280</v>
      </c>
      <c r="D88" t="s">
        <v>150</v>
      </c>
      <c r="E88" t="s">
        <v>1281</v>
      </c>
      <c r="F88" t="s">
        <v>1282</v>
      </c>
      <c r="G88" t="s">
        <v>1282</v>
      </c>
      <c r="H88" t="s">
        <v>1283</v>
      </c>
      <c r="J88" t="s">
        <v>80</v>
      </c>
      <c r="K88" t="s">
        <v>110</v>
      </c>
      <c r="L88" t="s">
        <v>111</v>
      </c>
      <c r="M88">
        <v>69654</v>
      </c>
      <c r="P88" t="s">
        <v>154</v>
      </c>
      <c r="Q88" t="s">
        <v>1284</v>
      </c>
      <c r="R88" t="s">
        <v>1285</v>
      </c>
      <c r="S88" t="s">
        <v>1124</v>
      </c>
      <c r="T88" t="s">
        <v>1286</v>
      </c>
      <c r="U88" t="s">
        <v>1287</v>
      </c>
      <c r="V88" t="s">
        <v>1288</v>
      </c>
      <c r="W88" t="s">
        <v>697</v>
      </c>
      <c r="X88" t="s">
        <v>1289</v>
      </c>
      <c r="Y88" t="s">
        <v>93</v>
      </c>
      <c r="Z88" t="s">
        <v>678</v>
      </c>
      <c r="AA88" t="s">
        <v>1290</v>
      </c>
      <c r="AB88" t="s">
        <v>119</v>
      </c>
      <c r="AC88" t="s">
        <v>1291</v>
      </c>
      <c r="AD88" t="s">
        <v>678</v>
      </c>
      <c r="AE88" t="s">
        <v>1290</v>
      </c>
      <c r="AF88" t="s">
        <v>119</v>
      </c>
      <c r="AG88" t="s">
        <v>1291</v>
      </c>
      <c r="AI88" t="s">
        <v>1292</v>
      </c>
      <c r="AJ88" t="s">
        <v>678</v>
      </c>
      <c r="AK88" t="s">
        <v>99</v>
      </c>
      <c r="AL88" t="s">
        <v>1293</v>
      </c>
      <c r="AM88" t="s">
        <v>1294</v>
      </c>
      <c r="AQ88" t="s">
        <v>1295</v>
      </c>
      <c r="AR88" t="s">
        <v>125</v>
      </c>
      <c r="AT88" t="s">
        <v>1296</v>
      </c>
      <c r="AU88" t="s">
        <v>1297</v>
      </c>
      <c r="AV88" t="s">
        <v>128</v>
      </c>
      <c r="AZ88" t="s">
        <v>80</v>
      </c>
    </row>
    <row r="89" spans="1:52" hidden="1" x14ac:dyDescent="0.25">
      <c r="A89" t="s">
        <v>1298</v>
      </c>
      <c r="B89" t="s">
        <v>1299</v>
      </c>
      <c r="C89" t="s">
        <v>1300</v>
      </c>
      <c r="D89" t="s">
        <v>150</v>
      </c>
      <c r="E89" t="s">
        <v>1301</v>
      </c>
      <c r="F89" t="s">
        <v>1302</v>
      </c>
      <c r="G89" t="s">
        <v>1302</v>
      </c>
      <c r="H89" t="s">
        <v>1303</v>
      </c>
      <c r="J89" t="s">
        <v>80</v>
      </c>
      <c r="K89" t="s">
        <v>110</v>
      </c>
      <c r="L89" t="s">
        <v>111</v>
      </c>
      <c r="M89">
        <v>69678</v>
      </c>
      <c r="N89" t="s">
        <v>1304</v>
      </c>
      <c r="O89" t="s">
        <v>1305</v>
      </c>
      <c r="P89" t="s">
        <v>1306</v>
      </c>
      <c r="Q89" t="s">
        <v>1284</v>
      </c>
      <c r="R89" t="s">
        <v>1285</v>
      </c>
      <c r="S89" t="s">
        <v>1124</v>
      </c>
      <c r="T89" t="s">
        <v>1307</v>
      </c>
      <c r="U89" t="s">
        <v>1308</v>
      </c>
      <c r="V89" t="s">
        <v>1309</v>
      </c>
      <c r="W89" t="s">
        <v>1310</v>
      </c>
      <c r="X89" t="s">
        <v>1311</v>
      </c>
      <c r="Y89" t="s">
        <v>93</v>
      </c>
      <c r="Z89" t="s">
        <v>1312</v>
      </c>
      <c r="AA89" t="s">
        <v>1313</v>
      </c>
      <c r="AB89" t="s">
        <v>119</v>
      </c>
      <c r="AC89" t="s">
        <v>1314</v>
      </c>
      <c r="AD89" t="s">
        <v>1312</v>
      </c>
      <c r="AE89" t="s">
        <v>1313</v>
      </c>
      <c r="AF89" t="s">
        <v>119</v>
      </c>
      <c r="AG89" t="s">
        <v>1314</v>
      </c>
      <c r="AI89" t="s">
        <v>1315</v>
      </c>
      <c r="AJ89" t="s">
        <v>1312</v>
      </c>
      <c r="AK89" t="s">
        <v>99</v>
      </c>
      <c r="AL89" t="s">
        <v>1316</v>
      </c>
      <c r="AM89" t="s">
        <v>1317</v>
      </c>
      <c r="AQ89" t="s">
        <v>1318</v>
      </c>
      <c r="AR89" t="s">
        <v>125</v>
      </c>
      <c r="AT89" t="s">
        <v>1319</v>
      </c>
      <c r="AU89" t="s">
        <v>1320</v>
      </c>
      <c r="AV89" t="s">
        <v>190</v>
      </c>
      <c r="AZ89" t="s">
        <v>80</v>
      </c>
    </row>
    <row r="90" spans="1:52" hidden="1" x14ac:dyDescent="0.25">
      <c r="A90" t="s">
        <v>1321</v>
      </c>
      <c r="B90" t="s">
        <v>1299</v>
      </c>
      <c r="C90" t="s">
        <v>1322</v>
      </c>
      <c r="D90" t="s">
        <v>150</v>
      </c>
      <c r="E90" t="s">
        <v>1323</v>
      </c>
      <c r="F90" t="s">
        <v>1302</v>
      </c>
      <c r="G90" t="s">
        <v>1302</v>
      </c>
      <c r="H90" t="s">
        <v>1324</v>
      </c>
      <c r="J90" t="s">
        <v>80</v>
      </c>
      <c r="K90" t="s">
        <v>110</v>
      </c>
      <c r="L90" t="s">
        <v>111</v>
      </c>
      <c r="M90">
        <v>69678</v>
      </c>
      <c r="N90" t="s">
        <v>1304</v>
      </c>
      <c r="O90" t="s">
        <v>1305</v>
      </c>
      <c r="P90" t="s">
        <v>1306</v>
      </c>
      <c r="Q90" t="s">
        <v>1284</v>
      </c>
      <c r="R90" t="s">
        <v>1285</v>
      </c>
      <c r="S90" t="s">
        <v>1124</v>
      </c>
      <c r="T90" t="s">
        <v>1307</v>
      </c>
      <c r="U90" t="s">
        <v>1308</v>
      </c>
      <c r="V90" t="s">
        <v>1309</v>
      </c>
      <c r="W90" t="s">
        <v>1325</v>
      </c>
      <c r="X90" t="s">
        <v>1326</v>
      </c>
      <c r="Y90" t="s">
        <v>93</v>
      </c>
      <c r="Z90" t="s">
        <v>1312</v>
      </c>
      <c r="AA90" t="s">
        <v>1313</v>
      </c>
      <c r="AB90" t="s">
        <v>119</v>
      </c>
      <c r="AC90" t="s">
        <v>1314</v>
      </c>
      <c r="AD90" t="s">
        <v>1312</v>
      </c>
      <c r="AE90" t="s">
        <v>1313</v>
      </c>
      <c r="AF90" t="s">
        <v>119</v>
      </c>
      <c r="AG90" t="s">
        <v>1314</v>
      </c>
      <c r="AI90" t="s">
        <v>1315</v>
      </c>
      <c r="AJ90" t="s">
        <v>1312</v>
      </c>
      <c r="AK90" t="s">
        <v>99</v>
      </c>
      <c r="AL90" t="s">
        <v>1327</v>
      </c>
      <c r="AM90" t="s">
        <v>1317</v>
      </c>
      <c r="AQ90" t="s">
        <v>1328</v>
      </c>
      <c r="AR90" t="s">
        <v>125</v>
      </c>
      <c r="AT90" t="s">
        <v>1329</v>
      </c>
      <c r="AU90" t="s">
        <v>1320</v>
      </c>
      <c r="AV90" t="s">
        <v>190</v>
      </c>
      <c r="AZ90" t="s">
        <v>80</v>
      </c>
    </row>
    <row r="91" spans="1:52" hidden="1" x14ac:dyDescent="0.25">
      <c r="A91" t="s">
        <v>733</v>
      </c>
      <c r="B91" t="s">
        <v>1299</v>
      </c>
      <c r="C91" t="s">
        <v>1330</v>
      </c>
      <c r="D91" t="s">
        <v>150</v>
      </c>
      <c r="E91" t="s">
        <v>1331</v>
      </c>
      <c r="F91" t="s">
        <v>1331</v>
      </c>
      <c r="G91" t="s">
        <v>1302</v>
      </c>
      <c r="H91" t="s">
        <v>1332</v>
      </c>
      <c r="J91" t="s">
        <v>80</v>
      </c>
      <c r="K91" t="s">
        <v>110</v>
      </c>
      <c r="L91" t="s">
        <v>80</v>
      </c>
      <c r="M91">
        <v>69678</v>
      </c>
      <c r="N91" t="s">
        <v>1304</v>
      </c>
      <c r="O91" t="s">
        <v>1305</v>
      </c>
      <c r="P91" t="s">
        <v>1306</v>
      </c>
      <c r="Q91" t="s">
        <v>1284</v>
      </c>
      <c r="R91" t="s">
        <v>1285</v>
      </c>
      <c r="S91" t="s">
        <v>1124</v>
      </c>
      <c r="T91" t="s">
        <v>1307</v>
      </c>
      <c r="U91" t="s">
        <v>1308</v>
      </c>
      <c r="V91" t="s">
        <v>1309</v>
      </c>
      <c r="W91" t="s">
        <v>1333</v>
      </c>
      <c r="X91" t="s">
        <v>1334</v>
      </c>
      <c r="Y91" t="s">
        <v>93</v>
      </c>
      <c r="Z91" t="s">
        <v>1312</v>
      </c>
      <c r="AA91" t="s">
        <v>1313</v>
      </c>
      <c r="AB91" t="s">
        <v>119</v>
      </c>
      <c r="AC91" t="s">
        <v>1314</v>
      </c>
      <c r="AD91" t="s">
        <v>1312</v>
      </c>
      <c r="AE91" t="s">
        <v>1313</v>
      </c>
      <c r="AF91" t="s">
        <v>119</v>
      </c>
      <c r="AG91" t="s">
        <v>1314</v>
      </c>
      <c r="AI91" t="s">
        <v>1315</v>
      </c>
      <c r="AJ91" t="s">
        <v>1312</v>
      </c>
      <c r="AK91" t="s">
        <v>99</v>
      </c>
      <c r="AL91" t="s">
        <v>1335</v>
      </c>
      <c r="AM91" t="s">
        <v>1317</v>
      </c>
      <c r="AQ91" t="s">
        <v>1336</v>
      </c>
      <c r="AT91" t="s">
        <v>1337</v>
      </c>
      <c r="AU91" t="s">
        <v>1320</v>
      </c>
      <c r="AV91" t="s">
        <v>190</v>
      </c>
      <c r="AZ91" t="s">
        <v>80</v>
      </c>
    </row>
    <row r="92" spans="1:52" hidden="1" x14ac:dyDescent="0.25">
      <c r="A92" t="s">
        <v>157</v>
      </c>
      <c r="B92" t="s">
        <v>1338</v>
      </c>
      <c r="C92" t="s">
        <v>1339</v>
      </c>
      <c r="D92" t="s">
        <v>150</v>
      </c>
      <c r="E92" t="s">
        <v>1340</v>
      </c>
      <c r="F92" t="s">
        <v>1341</v>
      </c>
      <c r="G92" t="s">
        <v>1342</v>
      </c>
      <c r="H92" t="s">
        <v>1343</v>
      </c>
      <c r="J92" t="s">
        <v>80</v>
      </c>
      <c r="K92" t="s">
        <v>538</v>
      </c>
      <c r="L92" t="s">
        <v>111</v>
      </c>
      <c r="M92" t="s">
        <v>1344</v>
      </c>
      <c r="N92" t="s">
        <v>1345</v>
      </c>
      <c r="P92" t="s">
        <v>1306</v>
      </c>
      <c r="Q92" t="s">
        <v>1284</v>
      </c>
      <c r="R92" t="s">
        <v>1285</v>
      </c>
      <c r="S92" t="s">
        <v>1124</v>
      </c>
      <c r="T92" t="s">
        <v>1346</v>
      </c>
      <c r="U92" t="s">
        <v>1347</v>
      </c>
      <c r="V92" t="s">
        <v>1348</v>
      </c>
      <c r="W92" t="s">
        <v>797</v>
      </c>
      <c r="X92" t="s">
        <v>1349</v>
      </c>
      <c r="Y92" t="s">
        <v>93</v>
      </c>
      <c r="Z92" t="s">
        <v>427</v>
      </c>
      <c r="AA92" t="s">
        <v>1350</v>
      </c>
      <c r="AB92" t="s">
        <v>1312</v>
      </c>
      <c r="AC92" t="s">
        <v>782</v>
      </c>
      <c r="AD92" t="s">
        <v>427</v>
      </c>
      <c r="AE92" t="s">
        <v>1350</v>
      </c>
      <c r="AF92" t="s">
        <v>1312</v>
      </c>
      <c r="AG92" t="s">
        <v>782</v>
      </c>
      <c r="AI92" t="s">
        <v>1351</v>
      </c>
      <c r="AJ92" t="s">
        <v>427</v>
      </c>
      <c r="AK92" t="s">
        <v>99</v>
      </c>
      <c r="AL92" t="s">
        <v>1352</v>
      </c>
      <c r="AM92" t="s">
        <v>1353</v>
      </c>
      <c r="AQ92" t="s">
        <v>1354</v>
      </c>
      <c r="AR92" t="s">
        <v>125</v>
      </c>
      <c r="AT92" t="s">
        <v>1355</v>
      </c>
      <c r="AU92" t="s">
        <v>1320</v>
      </c>
      <c r="AV92" t="s">
        <v>128</v>
      </c>
      <c r="AZ92" t="s">
        <v>80</v>
      </c>
    </row>
    <row r="93" spans="1:52" hidden="1" x14ac:dyDescent="0.25">
      <c r="A93" t="s">
        <v>1356</v>
      </c>
      <c r="B93" t="s">
        <v>1357</v>
      </c>
      <c r="C93" t="s">
        <v>1358</v>
      </c>
      <c r="D93" t="s">
        <v>150</v>
      </c>
      <c r="E93" t="s">
        <v>1359</v>
      </c>
      <c r="F93" t="s">
        <v>1360</v>
      </c>
      <c r="G93" t="s">
        <v>1360</v>
      </c>
      <c r="H93" t="s">
        <v>1361</v>
      </c>
      <c r="J93" t="s">
        <v>80</v>
      </c>
      <c r="K93" t="s">
        <v>110</v>
      </c>
      <c r="L93" t="s">
        <v>111</v>
      </c>
      <c r="M93" t="s">
        <v>1362</v>
      </c>
      <c r="P93" t="s">
        <v>154</v>
      </c>
      <c r="Q93" t="s">
        <v>1284</v>
      </c>
      <c r="R93" t="s">
        <v>1285</v>
      </c>
      <c r="S93" t="s">
        <v>1124</v>
      </c>
      <c r="T93" t="s">
        <v>1363</v>
      </c>
      <c r="U93" t="s">
        <v>1364</v>
      </c>
      <c r="V93" t="s">
        <v>1365</v>
      </c>
      <c r="W93" t="s">
        <v>797</v>
      </c>
      <c r="X93" t="s">
        <v>1366</v>
      </c>
      <c r="Y93" t="s">
        <v>93</v>
      </c>
      <c r="Z93" t="s">
        <v>678</v>
      </c>
      <c r="AA93" t="s">
        <v>1290</v>
      </c>
      <c r="AB93" t="s">
        <v>427</v>
      </c>
      <c r="AC93" t="s">
        <v>1367</v>
      </c>
      <c r="AD93" t="s">
        <v>678</v>
      </c>
      <c r="AE93" t="s">
        <v>1290</v>
      </c>
      <c r="AF93" t="s">
        <v>427</v>
      </c>
      <c r="AG93" t="s">
        <v>1367</v>
      </c>
      <c r="AI93" t="s">
        <v>1292</v>
      </c>
      <c r="AJ93" t="s">
        <v>678</v>
      </c>
      <c r="AK93" t="s">
        <v>99</v>
      </c>
      <c r="AL93" t="s">
        <v>1368</v>
      </c>
      <c r="AM93" t="s">
        <v>1353</v>
      </c>
      <c r="AQ93" t="s">
        <v>1369</v>
      </c>
      <c r="AR93" t="s">
        <v>125</v>
      </c>
      <c r="AT93" t="s">
        <v>1370</v>
      </c>
      <c r="AU93" t="s">
        <v>1297</v>
      </c>
      <c r="AV93" t="s">
        <v>128</v>
      </c>
      <c r="AZ93" t="s">
        <v>80</v>
      </c>
    </row>
    <row r="94" spans="1:52" hidden="1" x14ac:dyDescent="0.25">
      <c r="A94" t="s">
        <v>1371</v>
      </c>
      <c r="B94" t="s">
        <v>1372</v>
      </c>
      <c r="C94" t="s">
        <v>1373</v>
      </c>
      <c r="D94" t="s">
        <v>150</v>
      </c>
      <c r="E94" t="s">
        <v>1374</v>
      </c>
      <c r="F94" t="s">
        <v>1374</v>
      </c>
      <c r="G94" t="s">
        <v>1375</v>
      </c>
      <c r="H94" t="s">
        <v>1376</v>
      </c>
      <c r="J94" t="s">
        <v>80</v>
      </c>
      <c r="K94" t="s">
        <v>110</v>
      </c>
      <c r="L94" t="s">
        <v>80</v>
      </c>
      <c r="M94">
        <v>666015</v>
      </c>
      <c r="P94" t="s">
        <v>693</v>
      </c>
      <c r="Q94" t="s">
        <v>1284</v>
      </c>
      <c r="R94" t="s">
        <v>1377</v>
      </c>
      <c r="S94" t="s">
        <v>1124</v>
      </c>
      <c r="T94" t="s">
        <v>695</v>
      </c>
      <c r="U94" t="s">
        <v>696</v>
      </c>
      <c r="W94" t="s">
        <v>161</v>
      </c>
      <c r="X94" t="s">
        <v>1378</v>
      </c>
      <c r="Y94" t="s">
        <v>93</v>
      </c>
      <c r="Z94" t="s">
        <v>699</v>
      </c>
      <c r="AA94" t="s">
        <v>1379</v>
      </c>
      <c r="AB94" t="s">
        <v>678</v>
      </c>
      <c r="AC94" t="s">
        <v>1380</v>
      </c>
      <c r="AD94" t="s">
        <v>699</v>
      </c>
      <c r="AE94" t="s">
        <v>1379</v>
      </c>
      <c r="AF94" t="s">
        <v>678</v>
      </c>
      <c r="AG94" t="s">
        <v>1380</v>
      </c>
      <c r="AI94" t="s">
        <v>1381</v>
      </c>
      <c r="AJ94" t="s">
        <v>699</v>
      </c>
      <c r="AK94" t="s">
        <v>99</v>
      </c>
      <c r="AL94" t="s">
        <v>1382</v>
      </c>
      <c r="AM94" t="s">
        <v>1383</v>
      </c>
      <c r="AQ94" t="s">
        <v>1384</v>
      </c>
      <c r="AT94" t="s">
        <v>1385</v>
      </c>
      <c r="AU94" t="s">
        <v>1386</v>
      </c>
      <c r="AW94" t="s">
        <v>1387</v>
      </c>
      <c r="AZ94" t="s">
        <v>80</v>
      </c>
    </row>
    <row r="95" spans="1:52" hidden="1" x14ac:dyDescent="0.25">
      <c r="A95" t="s">
        <v>1388</v>
      </c>
      <c r="B95" t="s">
        <v>1389</v>
      </c>
      <c r="C95" t="s">
        <v>1390</v>
      </c>
      <c r="D95" t="s">
        <v>150</v>
      </c>
      <c r="E95" t="s">
        <v>1391</v>
      </c>
      <c r="F95" t="s">
        <v>1391</v>
      </c>
      <c r="G95" t="s">
        <v>1392</v>
      </c>
      <c r="H95" t="s">
        <v>1393</v>
      </c>
      <c r="J95" t="s">
        <v>80</v>
      </c>
      <c r="K95" t="s">
        <v>110</v>
      </c>
      <c r="L95" t="s">
        <v>80</v>
      </c>
      <c r="M95">
        <v>69696</v>
      </c>
      <c r="N95" t="s">
        <v>1394</v>
      </c>
      <c r="P95" t="s">
        <v>1306</v>
      </c>
      <c r="Q95" t="s">
        <v>1284</v>
      </c>
      <c r="R95" t="s">
        <v>1285</v>
      </c>
      <c r="S95" t="s">
        <v>1124</v>
      </c>
      <c r="T95" t="s">
        <v>1395</v>
      </c>
      <c r="U95" t="s">
        <v>1396</v>
      </c>
      <c r="V95" t="s">
        <v>1397</v>
      </c>
      <c r="W95" t="s">
        <v>161</v>
      </c>
      <c r="X95" t="s">
        <v>1398</v>
      </c>
      <c r="Y95" t="s">
        <v>93</v>
      </c>
      <c r="Z95" t="s">
        <v>1312</v>
      </c>
      <c r="AA95" t="s">
        <v>1399</v>
      </c>
      <c r="AB95" t="s">
        <v>699</v>
      </c>
      <c r="AC95" t="s">
        <v>1400</v>
      </c>
      <c r="AD95" t="s">
        <v>1312</v>
      </c>
      <c r="AE95" t="s">
        <v>1399</v>
      </c>
      <c r="AF95" t="s">
        <v>699</v>
      </c>
      <c r="AG95" t="s">
        <v>1400</v>
      </c>
      <c r="AI95" t="s">
        <v>1401</v>
      </c>
      <c r="AJ95" t="s">
        <v>1312</v>
      </c>
      <c r="AK95" t="s">
        <v>99</v>
      </c>
      <c r="AL95" t="s">
        <v>1402</v>
      </c>
      <c r="AM95" t="s">
        <v>1383</v>
      </c>
      <c r="AQ95" t="s">
        <v>1403</v>
      </c>
      <c r="AT95" t="s">
        <v>1404</v>
      </c>
      <c r="AU95" t="s">
        <v>1320</v>
      </c>
      <c r="AV95" t="s">
        <v>128</v>
      </c>
      <c r="AZ95" t="s">
        <v>80</v>
      </c>
    </row>
    <row r="96" spans="1:52" hidden="1" x14ac:dyDescent="0.25">
      <c r="A96" t="s">
        <v>1405</v>
      </c>
      <c r="B96" t="s">
        <v>1406</v>
      </c>
      <c r="C96" t="s">
        <v>1407</v>
      </c>
      <c r="D96" t="s">
        <v>150</v>
      </c>
      <c r="E96" t="s">
        <v>1408</v>
      </c>
      <c r="F96" t="s">
        <v>1409</v>
      </c>
      <c r="G96" t="s">
        <v>1410</v>
      </c>
      <c r="H96" t="s">
        <v>1411</v>
      </c>
      <c r="J96" t="s">
        <v>80</v>
      </c>
      <c r="K96" t="s">
        <v>538</v>
      </c>
      <c r="L96" t="s">
        <v>111</v>
      </c>
      <c r="M96" t="s">
        <v>1412</v>
      </c>
      <c r="N96" t="s">
        <v>1413</v>
      </c>
      <c r="P96" t="s">
        <v>1306</v>
      </c>
      <c r="Q96" t="s">
        <v>1284</v>
      </c>
      <c r="R96" t="s">
        <v>1285</v>
      </c>
      <c r="S96" t="s">
        <v>1124</v>
      </c>
      <c r="T96" t="s">
        <v>1414</v>
      </c>
      <c r="U96" t="s">
        <v>1415</v>
      </c>
      <c r="V96" t="s">
        <v>1416</v>
      </c>
      <c r="W96" t="s">
        <v>797</v>
      </c>
      <c r="X96" t="s">
        <v>1417</v>
      </c>
      <c r="Y96" t="s">
        <v>93</v>
      </c>
      <c r="Z96" t="s">
        <v>427</v>
      </c>
      <c r="AA96" t="s">
        <v>1418</v>
      </c>
      <c r="AB96" t="s">
        <v>1312</v>
      </c>
      <c r="AC96" t="s">
        <v>1419</v>
      </c>
      <c r="AD96" t="s">
        <v>427</v>
      </c>
      <c r="AE96" t="s">
        <v>1418</v>
      </c>
      <c r="AF96" t="s">
        <v>1312</v>
      </c>
      <c r="AG96" t="s">
        <v>1419</v>
      </c>
      <c r="AI96" t="s">
        <v>1420</v>
      </c>
      <c r="AJ96" t="s">
        <v>427</v>
      </c>
      <c r="AK96" t="s">
        <v>99</v>
      </c>
      <c r="AL96" t="s">
        <v>1421</v>
      </c>
      <c r="AM96" t="s">
        <v>1422</v>
      </c>
      <c r="AQ96" t="s">
        <v>1423</v>
      </c>
      <c r="AR96" t="s">
        <v>125</v>
      </c>
      <c r="AT96" t="s">
        <v>1424</v>
      </c>
      <c r="AU96" t="s">
        <v>1320</v>
      </c>
      <c r="AV96" t="s">
        <v>128</v>
      </c>
      <c r="AZ96" t="s">
        <v>80</v>
      </c>
    </row>
    <row r="97" spans="1:52" hidden="1" x14ac:dyDescent="0.25">
      <c r="A97" t="s">
        <v>1425</v>
      </c>
      <c r="B97" t="s">
        <v>1426</v>
      </c>
      <c r="C97" t="s">
        <v>1427</v>
      </c>
      <c r="D97" t="s">
        <v>150</v>
      </c>
      <c r="E97" t="s">
        <v>1428</v>
      </c>
      <c r="F97" t="s">
        <v>1429</v>
      </c>
      <c r="G97" t="s">
        <v>1429</v>
      </c>
      <c r="H97" t="s">
        <v>1430</v>
      </c>
      <c r="J97" t="s">
        <v>80</v>
      </c>
      <c r="K97" t="s">
        <v>110</v>
      </c>
      <c r="L97" t="s">
        <v>111</v>
      </c>
      <c r="M97">
        <v>69677</v>
      </c>
      <c r="P97" t="s">
        <v>154</v>
      </c>
      <c r="Q97" t="s">
        <v>1284</v>
      </c>
      <c r="R97" t="s">
        <v>1285</v>
      </c>
      <c r="S97" t="s">
        <v>1124</v>
      </c>
      <c r="T97" t="s">
        <v>450</v>
      </c>
      <c r="U97" t="s">
        <v>1431</v>
      </c>
      <c r="V97" t="s">
        <v>1432</v>
      </c>
      <c r="W97" t="s">
        <v>797</v>
      </c>
      <c r="X97" t="s">
        <v>1433</v>
      </c>
      <c r="Y97" t="s">
        <v>93</v>
      </c>
      <c r="Z97" t="s">
        <v>119</v>
      </c>
      <c r="AA97" t="s">
        <v>1434</v>
      </c>
      <c r="AB97" t="s">
        <v>427</v>
      </c>
      <c r="AC97" t="s">
        <v>1435</v>
      </c>
      <c r="AD97" t="s">
        <v>119</v>
      </c>
      <c r="AE97" t="s">
        <v>1434</v>
      </c>
      <c r="AF97" t="s">
        <v>427</v>
      </c>
      <c r="AG97" t="s">
        <v>1435</v>
      </c>
      <c r="AI97" t="s">
        <v>1436</v>
      </c>
      <c r="AJ97" t="s">
        <v>119</v>
      </c>
      <c r="AK97" t="s">
        <v>99</v>
      </c>
      <c r="AL97" t="s">
        <v>1437</v>
      </c>
      <c r="AM97" t="s">
        <v>1438</v>
      </c>
      <c r="AQ97" t="s">
        <v>1439</v>
      </c>
      <c r="AR97" t="s">
        <v>125</v>
      </c>
      <c r="AT97" t="s">
        <v>1440</v>
      </c>
      <c r="AU97" t="s">
        <v>1297</v>
      </c>
      <c r="AV97" t="s">
        <v>128</v>
      </c>
      <c r="AZ97" t="s">
        <v>80</v>
      </c>
    </row>
    <row r="98" spans="1:52" hidden="1" x14ac:dyDescent="0.25">
      <c r="A98" t="s">
        <v>1441</v>
      </c>
      <c r="B98" t="s">
        <v>1442</v>
      </c>
      <c r="C98" t="s">
        <v>1443</v>
      </c>
      <c r="D98" t="s">
        <v>150</v>
      </c>
      <c r="E98" t="s">
        <v>1444</v>
      </c>
      <c r="F98" t="s">
        <v>1445</v>
      </c>
      <c r="G98" t="s">
        <v>1446</v>
      </c>
      <c r="H98" t="s">
        <v>1447</v>
      </c>
      <c r="J98" t="s">
        <v>80</v>
      </c>
      <c r="K98" t="s">
        <v>538</v>
      </c>
      <c r="L98" t="s">
        <v>111</v>
      </c>
      <c r="M98">
        <v>69635</v>
      </c>
      <c r="N98" t="s">
        <v>1413</v>
      </c>
      <c r="P98" t="s">
        <v>1306</v>
      </c>
      <c r="Q98" t="s">
        <v>1284</v>
      </c>
      <c r="R98" t="s">
        <v>1285</v>
      </c>
      <c r="S98" t="s">
        <v>1124</v>
      </c>
      <c r="T98" t="s">
        <v>1307</v>
      </c>
      <c r="U98" t="s">
        <v>1448</v>
      </c>
      <c r="V98" t="s">
        <v>1449</v>
      </c>
      <c r="W98" t="s">
        <v>697</v>
      </c>
      <c r="X98" t="s">
        <v>1450</v>
      </c>
      <c r="Y98" t="s">
        <v>93</v>
      </c>
      <c r="Z98" t="s">
        <v>119</v>
      </c>
      <c r="AA98" t="s">
        <v>1451</v>
      </c>
      <c r="AB98" t="s">
        <v>1312</v>
      </c>
      <c r="AC98" t="s">
        <v>1419</v>
      </c>
      <c r="AD98" t="s">
        <v>119</v>
      </c>
      <c r="AE98" t="s">
        <v>1451</v>
      </c>
      <c r="AF98" t="s">
        <v>1312</v>
      </c>
      <c r="AG98" t="s">
        <v>1419</v>
      </c>
      <c r="AI98" t="s">
        <v>1452</v>
      </c>
      <c r="AJ98" t="s">
        <v>119</v>
      </c>
      <c r="AK98" t="s">
        <v>99</v>
      </c>
      <c r="AL98" t="s">
        <v>1453</v>
      </c>
      <c r="AM98" t="s">
        <v>1454</v>
      </c>
      <c r="AQ98" t="s">
        <v>1455</v>
      </c>
      <c r="AR98" t="s">
        <v>125</v>
      </c>
      <c r="AT98" t="s">
        <v>1456</v>
      </c>
      <c r="AU98" t="s">
        <v>1320</v>
      </c>
      <c r="AV98" t="s">
        <v>128</v>
      </c>
      <c r="AZ98" t="s">
        <v>80</v>
      </c>
    </row>
    <row r="99" spans="1:52" hidden="1" x14ac:dyDescent="0.25">
      <c r="A99" t="s">
        <v>1457</v>
      </c>
      <c r="B99" t="s">
        <v>1458</v>
      </c>
      <c r="C99" t="s">
        <v>1459</v>
      </c>
      <c r="D99" t="s">
        <v>150</v>
      </c>
      <c r="E99" t="s">
        <v>1460</v>
      </c>
      <c r="F99" t="s">
        <v>1461</v>
      </c>
      <c r="G99" t="s">
        <v>1461</v>
      </c>
      <c r="H99" t="s">
        <v>1462</v>
      </c>
      <c r="J99" t="s">
        <v>80</v>
      </c>
      <c r="K99" t="s">
        <v>110</v>
      </c>
      <c r="L99" t="s">
        <v>111</v>
      </c>
      <c r="M99" t="s">
        <v>1463</v>
      </c>
      <c r="P99" t="s">
        <v>154</v>
      </c>
      <c r="Q99" t="s">
        <v>1284</v>
      </c>
      <c r="R99" t="s">
        <v>1285</v>
      </c>
      <c r="S99" t="s">
        <v>1124</v>
      </c>
      <c r="T99" t="s">
        <v>1464</v>
      </c>
      <c r="U99" t="s">
        <v>1465</v>
      </c>
      <c r="V99" t="s">
        <v>1466</v>
      </c>
      <c r="W99" t="s">
        <v>161</v>
      </c>
      <c r="X99" t="s">
        <v>1467</v>
      </c>
      <c r="Y99" t="s">
        <v>93</v>
      </c>
      <c r="Z99" t="s">
        <v>1468</v>
      </c>
      <c r="AA99" t="s">
        <v>1469</v>
      </c>
      <c r="AB99" t="s">
        <v>119</v>
      </c>
      <c r="AC99" t="s">
        <v>1470</v>
      </c>
      <c r="AD99" t="s">
        <v>1468</v>
      </c>
      <c r="AE99" t="s">
        <v>1469</v>
      </c>
      <c r="AF99" t="s">
        <v>119</v>
      </c>
      <c r="AG99" t="s">
        <v>1470</v>
      </c>
      <c r="AI99" t="s">
        <v>1471</v>
      </c>
      <c r="AJ99" t="s">
        <v>1468</v>
      </c>
      <c r="AK99" t="s">
        <v>99</v>
      </c>
      <c r="AL99" t="s">
        <v>1472</v>
      </c>
      <c r="AM99" t="s">
        <v>1454</v>
      </c>
      <c r="AQ99" t="s">
        <v>1473</v>
      </c>
      <c r="AR99" t="s">
        <v>125</v>
      </c>
      <c r="AT99" t="s">
        <v>1474</v>
      </c>
      <c r="AU99" t="s">
        <v>1475</v>
      </c>
      <c r="AV99" t="s">
        <v>128</v>
      </c>
      <c r="AZ99" t="s">
        <v>80</v>
      </c>
    </row>
    <row r="100" spans="1:52" hidden="1" x14ac:dyDescent="0.25">
      <c r="A100" t="s">
        <v>1476</v>
      </c>
      <c r="B100" t="s">
        <v>1477</v>
      </c>
      <c r="C100" t="s">
        <v>1478</v>
      </c>
      <c r="D100" t="s">
        <v>150</v>
      </c>
      <c r="E100" t="s">
        <v>1479</v>
      </c>
      <c r="F100" t="s">
        <v>1480</v>
      </c>
      <c r="G100" t="s">
        <v>1480</v>
      </c>
      <c r="H100" t="s">
        <v>1481</v>
      </c>
      <c r="J100" t="s">
        <v>80</v>
      </c>
      <c r="K100" t="s">
        <v>110</v>
      </c>
      <c r="L100" t="s">
        <v>111</v>
      </c>
      <c r="M100">
        <v>69590</v>
      </c>
      <c r="P100" t="s">
        <v>154</v>
      </c>
      <c r="Q100" t="s">
        <v>1284</v>
      </c>
      <c r="R100" t="s">
        <v>1285</v>
      </c>
      <c r="S100" t="s">
        <v>1124</v>
      </c>
      <c r="T100" t="s">
        <v>1482</v>
      </c>
      <c r="U100" t="s">
        <v>1483</v>
      </c>
      <c r="V100" t="s">
        <v>1484</v>
      </c>
      <c r="W100" t="s">
        <v>161</v>
      </c>
      <c r="X100" t="s">
        <v>1485</v>
      </c>
      <c r="Y100" t="s">
        <v>93</v>
      </c>
      <c r="Z100" t="s">
        <v>1486</v>
      </c>
      <c r="AA100" t="s">
        <v>1487</v>
      </c>
      <c r="AB100" t="s">
        <v>1468</v>
      </c>
      <c r="AC100" t="s">
        <v>1488</v>
      </c>
      <c r="AD100" t="s">
        <v>1486</v>
      </c>
      <c r="AE100" t="s">
        <v>1487</v>
      </c>
      <c r="AF100" t="s">
        <v>1468</v>
      </c>
      <c r="AG100" t="s">
        <v>1488</v>
      </c>
      <c r="AI100" t="s">
        <v>1489</v>
      </c>
      <c r="AJ100" t="s">
        <v>1486</v>
      </c>
      <c r="AK100" t="s">
        <v>99</v>
      </c>
      <c r="AL100" t="s">
        <v>1490</v>
      </c>
      <c r="AM100" t="s">
        <v>1491</v>
      </c>
      <c r="AQ100" t="s">
        <v>1492</v>
      </c>
      <c r="AR100" t="s">
        <v>125</v>
      </c>
      <c r="AT100" t="s">
        <v>1493</v>
      </c>
      <c r="AU100" t="s">
        <v>1475</v>
      </c>
      <c r="AV100" t="s">
        <v>128</v>
      </c>
      <c r="AZ100" t="s">
        <v>80</v>
      </c>
    </row>
    <row r="101" spans="1:52" hidden="1" x14ac:dyDescent="0.25">
      <c r="A101" t="s">
        <v>1494</v>
      </c>
      <c r="B101" t="s">
        <v>1495</v>
      </c>
      <c r="C101" t="s">
        <v>1496</v>
      </c>
      <c r="D101" t="s">
        <v>150</v>
      </c>
      <c r="E101" t="s">
        <v>1497</v>
      </c>
      <c r="F101" t="s">
        <v>1498</v>
      </c>
      <c r="G101" t="s">
        <v>1498</v>
      </c>
      <c r="H101" t="s">
        <v>1499</v>
      </c>
      <c r="J101" t="s">
        <v>80</v>
      </c>
      <c r="K101" t="s">
        <v>110</v>
      </c>
      <c r="L101" t="s">
        <v>111</v>
      </c>
      <c r="M101">
        <v>69541</v>
      </c>
      <c r="P101" t="s">
        <v>154</v>
      </c>
      <c r="Q101" t="s">
        <v>1284</v>
      </c>
      <c r="R101" t="s">
        <v>1285</v>
      </c>
      <c r="S101" t="s">
        <v>1124</v>
      </c>
      <c r="T101" t="s">
        <v>1482</v>
      </c>
      <c r="U101" t="s">
        <v>1483</v>
      </c>
      <c r="V101" t="s">
        <v>1484</v>
      </c>
      <c r="W101" t="s">
        <v>161</v>
      </c>
      <c r="X101" t="s">
        <v>1485</v>
      </c>
      <c r="Y101" t="s">
        <v>93</v>
      </c>
      <c r="Z101" t="s">
        <v>1468</v>
      </c>
      <c r="AA101" t="s">
        <v>1500</v>
      </c>
      <c r="AB101" t="s">
        <v>1486</v>
      </c>
      <c r="AC101" t="s">
        <v>1501</v>
      </c>
      <c r="AD101" t="s">
        <v>1468</v>
      </c>
      <c r="AE101" t="s">
        <v>1500</v>
      </c>
      <c r="AF101" t="s">
        <v>1486</v>
      </c>
      <c r="AG101" t="s">
        <v>1501</v>
      </c>
      <c r="AI101" t="s">
        <v>1502</v>
      </c>
      <c r="AJ101" t="s">
        <v>1468</v>
      </c>
      <c r="AK101" t="s">
        <v>99</v>
      </c>
      <c r="AL101" t="s">
        <v>1503</v>
      </c>
      <c r="AM101" t="s">
        <v>1504</v>
      </c>
      <c r="AQ101" t="s">
        <v>1505</v>
      </c>
      <c r="AR101" t="s">
        <v>125</v>
      </c>
      <c r="AT101" t="s">
        <v>1506</v>
      </c>
      <c r="AU101" t="s">
        <v>1475</v>
      </c>
      <c r="AV101" t="s">
        <v>128</v>
      </c>
      <c r="AZ101" t="s">
        <v>80</v>
      </c>
    </row>
    <row r="102" spans="1:52" hidden="1" x14ac:dyDescent="0.25">
      <c r="A102" t="s">
        <v>1507</v>
      </c>
      <c r="B102" t="s">
        <v>1508</v>
      </c>
      <c r="C102" t="s">
        <v>1509</v>
      </c>
      <c r="D102" t="s">
        <v>150</v>
      </c>
      <c r="E102" t="s">
        <v>1510</v>
      </c>
      <c r="F102" t="s">
        <v>1511</v>
      </c>
      <c r="G102" t="s">
        <v>1511</v>
      </c>
      <c r="H102" t="s">
        <v>1512</v>
      </c>
      <c r="J102" t="s">
        <v>80</v>
      </c>
      <c r="K102" t="s">
        <v>110</v>
      </c>
      <c r="L102" t="s">
        <v>111</v>
      </c>
      <c r="M102" t="s">
        <v>1513</v>
      </c>
      <c r="P102" t="s">
        <v>154</v>
      </c>
      <c r="Q102" t="s">
        <v>1284</v>
      </c>
      <c r="R102" t="s">
        <v>1285</v>
      </c>
      <c r="S102" t="s">
        <v>1124</v>
      </c>
      <c r="T102" t="s">
        <v>1464</v>
      </c>
      <c r="U102" t="s">
        <v>1514</v>
      </c>
      <c r="V102" t="s">
        <v>89</v>
      </c>
      <c r="W102" t="s">
        <v>161</v>
      </c>
      <c r="X102" t="s">
        <v>1467</v>
      </c>
      <c r="Y102" t="s">
        <v>93</v>
      </c>
      <c r="Z102" t="s">
        <v>119</v>
      </c>
      <c r="AA102" t="s">
        <v>1515</v>
      </c>
      <c r="AB102" t="s">
        <v>1468</v>
      </c>
      <c r="AC102" t="s">
        <v>1516</v>
      </c>
      <c r="AD102" t="s">
        <v>119</v>
      </c>
      <c r="AE102" t="s">
        <v>1515</v>
      </c>
      <c r="AF102" t="s">
        <v>1468</v>
      </c>
      <c r="AG102" t="s">
        <v>1516</v>
      </c>
      <c r="AI102" t="s">
        <v>1517</v>
      </c>
      <c r="AJ102" t="s">
        <v>119</v>
      </c>
      <c r="AK102" t="s">
        <v>99</v>
      </c>
      <c r="AL102" t="s">
        <v>1518</v>
      </c>
      <c r="AM102" t="s">
        <v>1519</v>
      </c>
      <c r="AQ102" t="s">
        <v>1520</v>
      </c>
      <c r="AR102" t="s">
        <v>125</v>
      </c>
      <c r="AT102" t="s">
        <v>1521</v>
      </c>
      <c r="AU102" t="s">
        <v>1475</v>
      </c>
      <c r="AV102" t="s">
        <v>128</v>
      </c>
      <c r="AZ102" t="s">
        <v>80</v>
      </c>
    </row>
    <row r="103" spans="1:52" hidden="1" x14ac:dyDescent="0.25">
      <c r="A103" t="s">
        <v>1522</v>
      </c>
      <c r="B103" t="s">
        <v>1523</v>
      </c>
      <c r="C103" t="s">
        <v>1524</v>
      </c>
      <c r="D103" t="s">
        <v>150</v>
      </c>
      <c r="E103" t="s">
        <v>1525</v>
      </c>
      <c r="F103" t="s">
        <v>1526</v>
      </c>
      <c r="G103" t="s">
        <v>1526</v>
      </c>
      <c r="H103" t="s">
        <v>1527</v>
      </c>
      <c r="J103" t="s">
        <v>80</v>
      </c>
      <c r="K103" t="s">
        <v>110</v>
      </c>
      <c r="L103" t="s">
        <v>111</v>
      </c>
      <c r="M103">
        <v>66522</v>
      </c>
      <c r="O103" t="s">
        <v>1528</v>
      </c>
      <c r="P103" t="s">
        <v>154</v>
      </c>
      <c r="Q103" t="s">
        <v>1284</v>
      </c>
      <c r="R103" t="s">
        <v>1285</v>
      </c>
      <c r="S103" t="s">
        <v>1124</v>
      </c>
      <c r="T103" t="s">
        <v>618</v>
      </c>
      <c r="U103" t="s">
        <v>1529</v>
      </c>
      <c r="V103" t="s">
        <v>1530</v>
      </c>
      <c r="W103" t="s">
        <v>1531</v>
      </c>
      <c r="X103" t="s">
        <v>1532</v>
      </c>
      <c r="Y103" t="s">
        <v>93</v>
      </c>
      <c r="Z103" t="s">
        <v>622</v>
      </c>
      <c r="AA103" t="s">
        <v>1533</v>
      </c>
      <c r="AB103" t="s">
        <v>119</v>
      </c>
      <c r="AC103" t="s">
        <v>1534</v>
      </c>
      <c r="AD103" t="s">
        <v>622</v>
      </c>
      <c r="AE103" t="s">
        <v>1533</v>
      </c>
      <c r="AF103" t="s">
        <v>119</v>
      </c>
      <c r="AG103" t="s">
        <v>1534</v>
      </c>
      <c r="AI103" t="s">
        <v>1535</v>
      </c>
      <c r="AJ103" t="s">
        <v>622</v>
      </c>
      <c r="AK103" t="s">
        <v>99</v>
      </c>
      <c r="AL103" t="s">
        <v>1536</v>
      </c>
      <c r="AM103" t="s">
        <v>1537</v>
      </c>
      <c r="AQ103" t="s">
        <v>1538</v>
      </c>
      <c r="AR103" t="s">
        <v>125</v>
      </c>
      <c r="AT103" t="s">
        <v>1539</v>
      </c>
      <c r="AU103" t="s">
        <v>1475</v>
      </c>
      <c r="AV103" t="s">
        <v>190</v>
      </c>
      <c r="AZ103" t="s">
        <v>80</v>
      </c>
    </row>
    <row r="104" spans="1:52" hidden="1" x14ac:dyDescent="0.25">
      <c r="A104" t="s">
        <v>1540</v>
      </c>
      <c r="B104" t="s">
        <v>1523</v>
      </c>
      <c r="C104" t="s">
        <v>1541</v>
      </c>
      <c r="D104" t="s">
        <v>150</v>
      </c>
      <c r="E104" t="s">
        <v>1542</v>
      </c>
      <c r="F104" t="s">
        <v>1526</v>
      </c>
      <c r="G104" t="s">
        <v>1526</v>
      </c>
      <c r="H104" t="s">
        <v>1543</v>
      </c>
      <c r="J104" t="s">
        <v>80</v>
      </c>
      <c r="K104" t="s">
        <v>110</v>
      </c>
      <c r="L104" t="s">
        <v>111</v>
      </c>
      <c r="M104">
        <v>66522</v>
      </c>
      <c r="O104" t="s">
        <v>1528</v>
      </c>
      <c r="P104" t="s">
        <v>154</v>
      </c>
      <c r="Q104" t="s">
        <v>1284</v>
      </c>
      <c r="R104" t="s">
        <v>1285</v>
      </c>
      <c r="S104" t="s">
        <v>1124</v>
      </c>
      <c r="T104" t="s">
        <v>618</v>
      </c>
      <c r="U104" t="s">
        <v>1529</v>
      </c>
      <c r="V104" t="s">
        <v>1530</v>
      </c>
      <c r="W104" t="s">
        <v>1544</v>
      </c>
      <c r="X104" t="s">
        <v>1545</v>
      </c>
      <c r="Y104" t="s">
        <v>93</v>
      </c>
      <c r="Z104" t="s">
        <v>622</v>
      </c>
      <c r="AA104" t="s">
        <v>1533</v>
      </c>
      <c r="AB104" t="s">
        <v>119</v>
      </c>
      <c r="AC104" t="s">
        <v>1534</v>
      </c>
      <c r="AD104" t="s">
        <v>622</v>
      </c>
      <c r="AE104" t="s">
        <v>1533</v>
      </c>
      <c r="AF104" t="s">
        <v>119</v>
      </c>
      <c r="AG104" t="s">
        <v>1534</v>
      </c>
      <c r="AI104" t="s">
        <v>1535</v>
      </c>
      <c r="AJ104" t="s">
        <v>622</v>
      </c>
      <c r="AK104" t="s">
        <v>99</v>
      </c>
      <c r="AL104" t="s">
        <v>1546</v>
      </c>
      <c r="AM104" t="s">
        <v>1547</v>
      </c>
      <c r="AQ104" t="s">
        <v>1548</v>
      </c>
      <c r="AR104" t="s">
        <v>125</v>
      </c>
      <c r="AT104" t="s">
        <v>1549</v>
      </c>
      <c r="AU104" t="s">
        <v>1475</v>
      </c>
      <c r="AV104" t="s">
        <v>190</v>
      </c>
      <c r="AZ104" t="s">
        <v>80</v>
      </c>
    </row>
    <row r="105" spans="1:52" hidden="1" x14ac:dyDescent="0.25">
      <c r="A105" t="s">
        <v>1550</v>
      </c>
      <c r="B105" t="s">
        <v>1523</v>
      </c>
      <c r="C105" t="s">
        <v>1551</v>
      </c>
      <c r="D105" t="s">
        <v>150</v>
      </c>
      <c r="E105" t="s">
        <v>1552</v>
      </c>
      <c r="F105" t="s">
        <v>1526</v>
      </c>
      <c r="G105" t="s">
        <v>1526</v>
      </c>
      <c r="H105" t="s">
        <v>1553</v>
      </c>
      <c r="J105" t="s">
        <v>80</v>
      </c>
      <c r="K105" t="s">
        <v>110</v>
      </c>
      <c r="L105" t="s">
        <v>111</v>
      </c>
      <c r="M105">
        <v>66522</v>
      </c>
      <c r="O105" t="s">
        <v>1528</v>
      </c>
      <c r="P105" t="s">
        <v>154</v>
      </c>
      <c r="Q105" t="s">
        <v>1284</v>
      </c>
      <c r="R105" t="s">
        <v>1285</v>
      </c>
      <c r="S105" t="s">
        <v>1124</v>
      </c>
      <c r="T105" t="s">
        <v>618</v>
      </c>
      <c r="U105" t="s">
        <v>1529</v>
      </c>
      <c r="V105" t="s">
        <v>1530</v>
      </c>
      <c r="W105" t="s">
        <v>1554</v>
      </c>
      <c r="X105" t="s">
        <v>1545</v>
      </c>
      <c r="Y105" t="s">
        <v>93</v>
      </c>
      <c r="Z105" t="s">
        <v>622</v>
      </c>
      <c r="AA105" t="s">
        <v>1533</v>
      </c>
      <c r="AB105" t="s">
        <v>119</v>
      </c>
      <c r="AC105" t="s">
        <v>1534</v>
      </c>
      <c r="AD105" t="s">
        <v>622</v>
      </c>
      <c r="AE105" t="s">
        <v>1533</v>
      </c>
      <c r="AF105" t="s">
        <v>119</v>
      </c>
      <c r="AG105" t="s">
        <v>1534</v>
      </c>
      <c r="AI105" t="s">
        <v>1535</v>
      </c>
      <c r="AJ105" t="s">
        <v>622</v>
      </c>
      <c r="AK105" t="s">
        <v>99</v>
      </c>
      <c r="AL105" t="s">
        <v>1555</v>
      </c>
      <c r="AM105" t="s">
        <v>1519</v>
      </c>
      <c r="AQ105" t="s">
        <v>1556</v>
      </c>
      <c r="AR105" t="s">
        <v>125</v>
      </c>
      <c r="AT105" t="s">
        <v>1557</v>
      </c>
      <c r="AU105" t="s">
        <v>1475</v>
      </c>
      <c r="AV105" t="s">
        <v>190</v>
      </c>
      <c r="AZ105" t="s">
        <v>80</v>
      </c>
    </row>
    <row r="106" spans="1:52" hidden="1" x14ac:dyDescent="0.25">
      <c r="A106" t="s">
        <v>1558</v>
      </c>
      <c r="B106" t="s">
        <v>1559</v>
      </c>
      <c r="C106" t="s">
        <v>1560</v>
      </c>
      <c r="D106" t="s">
        <v>150</v>
      </c>
      <c r="E106" t="s">
        <v>1561</v>
      </c>
      <c r="F106" t="s">
        <v>1562</v>
      </c>
      <c r="G106" t="s">
        <v>1562</v>
      </c>
      <c r="H106" t="s">
        <v>1563</v>
      </c>
      <c r="J106" t="s">
        <v>80</v>
      </c>
      <c r="K106" t="s">
        <v>110</v>
      </c>
      <c r="L106" t="s">
        <v>111</v>
      </c>
      <c r="M106">
        <v>66573</v>
      </c>
      <c r="P106" t="s">
        <v>154</v>
      </c>
      <c r="Q106" t="s">
        <v>1284</v>
      </c>
      <c r="R106" t="s">
        <v>1285</v>
      </c>
      <c r="S106" t="s">
        <v>1124</v>
      </c>
      <c r="T106" t="s">
        <v>1564</v>
      </c>
      <c r="U106" t="s">
        <v>1565</v>
      </c>
      <c r="V106" t="s">
        <v>1566</v>
      </c>
      <c r="W106" t="s">
        <v>1567</v>
      </c>
      <c r="X106" t="s">
        <v>1568</v>
      </c>
      <c r="Y106" t="s">
        <v>93</v>
      </c>
      <c r="Z106" t="s">
        <v>182</v>
      </c>
      <c r="AA106" t="s">
        <v>1569</v>
      </c>
      <c r="AB106" t="s">
        <v>622</v>
      </c>
      <c r="AC106" t="s">
        <v>1570</v>
      </c>
      <c r="AD106" t="s">
        <v>182</v>
      </c>
      <c r="AE106" t="s">
        <v>1569</v>
      </c>
      <c r="AF106" t="s">
        <v>622</v>
      </c>
      <c r="AG106" t="s">
        <v>1570</v>
      </c>
      <c r="AI106" t="s">
        <v>1571</v>
      </c>
      <c r="AJ106" t="s">
        <v>182</v>
      </c>
      <c r="AK106" t="s">
        <v>99</v>
      </c>
      <c r="AL106" t="s">
        <v>1572</v>
      </c>
      <c r="AM106" t="s">
        <v>1573</v>
      </c>
      <c r="AQ106" t="s">
        <v>1574</v>
      </c>
      <c r="AR106" t="s">
        <v>125</v>
      </c>
      <c r="AT106" t="s">
        <v>1575</v>
      </c>
      <c r="AU106" t="s">
        <v>1475</v>
      </c>
      <c r="AV106" t="s">
        <v>128</v>
      </c>
      <c r="AZ106" t="s">
        <v>80</v>
      </c>
    </row>
    <row r="107" spans="1:52" hidden="1" x14ac:dyDescent="0.25">
      <c r="A107" t="s">
        <v>1576</v>
      </c>
      <c r="B107" t="s">
        <v>1559</v>
      </c>
      <c r="C107" t="s">
        <v>1577</v>
      </c>
      <c r="D107" t="s">
        <v>150</v>
      </c>
      <c r="E107" t="s">
        <v>1578</v>
      </c>
      <c r="F107" t="s">
        <v>1562</v>
      </c>
      <c r="G107" t="s">
        <v>1562</v>
      </c>
      <c r="H107" t="s">
        <v>1579</v>
      </c>
      <c r="J107" t="s">
        <v>80</v>
      </c>
      <c r="K107" t="s">
        <v>110</v>
      </c>
      <c r="L107" t="s">
        <v>111</v>
      </c>
      <c r="M107">
        <v>66573</v>
      </c>
      <c r="P107" t="s">
        <v>154</v>
      </c>
      <c r="Q107" t="s">
        <v>1284</v>
      </c>
      <c r="R107" t="s">
        <v>1285</v>
      </c>
      <c r="S107" t="s">
        <v>1124</v>
      </c>
      <c r="T107" t="s">
        <v>1564</v>
      </c>
      <c r="U107" t="s">
        <v>1565</v>
      </c>
      <c r="V107" t="s">
        <v>1566</v>
      </c>
      <c r="W107" t="s">
        <v>1580</v>
      </c>
      <c r="X107" t="s">
        <v>1581</v>
      </c>
      <c r="Y107" t="s">
        <v>93</v>
      </c>
      <c r="Z107" t="s">
        <v>182</v>
      </c>
      <c r="AA107" t="s">
        <v>1569</v>
      </c>
      <c r="AB107" t="s">
        <v>622</v>
      </c>
      <c r="AC107" t="s">
        <v>1570</v>
      </c>
      <c r="AD107" t="s">
        <v>182</v>
      </c>
      <c r="AE107" t="s">
        <v>1569</v>
      </c>
      <c r="AF107" t="s">
        <v>622</v>
      </c>
      <c r="AG107" t="s">
        <v>1570</v>
      </c>
      <c r="AI107" t="s">
        <v>1571</v>
      </c>
      <c r="AJ107" t="s">
        <v>182</v>
      </c>
      <c r="AK107" t="s">
        <v>99</v>
      </c>
      <c r="AL107" t="s">
        <v>1582</v>
      </c>
      <c r="AM107" t="s">
        <v>1583</v>
      </c>
      <c r="AQ107" t="s">
        <v>1584</v>
      </c>
      <c r="AR107" t="s">
        <v>125</v>
      </c>
      <c r="AT107" t="s">
        <v>1585</v>
      </c>
      <c r="AU107" t="s">
        <v>1475</v>
      </c>
      <c r="AV107" t="s">
        <v>128</v>
      </c>
      <c r="AZ107" t="s">
        <v>80</v>
      </c>
    </row>
    <row r="108" spans="1:52" hidden="1" x14ac:dyDescent="0.25">
      <c r="A108" t="s">
        <v>694</v>
      </c>
      <c r="B108" t="s">
        <v>1586</v>
      </c>
      <c r="C108" t="s">
        <v>1587</v>
      </c>
      <c r="D108" t="s">
        <v>150</v>
      </c>
      <c r="E108" t="s">
        <v>1588</v>
      </c>
      <c r="F108" t="s">
        <v>1589</v>
      </c>
      <c r="G108" t="s">
        <v>1589</v>
      </c>
      <c r="H108" t="s">
        <v>1590</v>
      </c>
      <c r="J108" t="s">
        <v>80</v>
      </c>
      <c r="K108" t="s">
        <v>110</v>
      </c>
      <c r="L108" t="s">
        <v>111</v>
      </c>
      <c r="M108">
        <v>66138</v>
      </c>
      <c r="O108" t="s">
        <v>178</v>
      </c>
      <c r="P108" t="s">
        <v>212</v>
      </c>
      <c r="Q108" t="s">
        <v>1284</v>
      </c>
      <c r="R108" t="s">
        <v>1285</v>
      </c>
      <c r="S108" t="s">
        <v>1124</v>
      </c>
      <c r="T108" t="s">
        <v>179</v>
      </c>
      <c r="U108" t="s">
        <v>1591</v>
      </c>
      <c r="W108" t="s">
        <v>161</v>
      </c>
      <c r="X108" t="s">
        <v>181</v>
      </c>
      <c r="Y108" t="s">
        <v>93</v>
      </c>
      <c r="Z108" t="s">
        <v>163</v>
      </c>
      <c r="AA108" t="s">
        <v>1592</v>
      </c>
      <c r="AB108" t="s">
        <v>182</v>
      </c>
      <c r="AC108" t="s">
        <v>1593</v>
      </c>
      <c r="AD108" t="s">
        <v>163</v>
      </c>
      <c r="AE108" t="s">
        <v>1592</v>
      </c>
      <c r="AF108" t="s">
        <v>182</v>
      </c>
      <c r="AG108" t="s">
        <v>1593</v>
      </c>
      <c r="AI108" t="s">
        <v>1594</v>
      </c>
      <c r="AJ108" t="s">
        <v>163</v>
      </c>
      <c r="AK108" t="s">
        <v>99</v>
      </c>
      <c r="AL108" t="s">
        <v>1595</v>
      </c>
      <c r="AM108" t="s">
        <v>1478</v>
      </c>
      <c r="AQ108" t="s">
        <v>1596</v>
      </c>
      <c r="AR108" t="s">
        <v>125</v>
      </c>
      <c r="AT108" t="s">
        <v>1597</v>
      </c>
      <c r="AU108" t="s">
        <v>1598</v>
      </c>
      <c r="AV108" t="s">
        <v>190</v>
      </c>
      <c r="AZ108" t="s">
        <v>80</v>
      </c>
    </row>
    <row r="109" spans="1:52" hidden="1" x14ac:dyDescent="0.25">
      <c r="A109" t="s">
        <v>1599</v>
      </c>
      <c r="B109" t="s">
        <v>1600</v>
      </c>
      <c r="C109" t="s">
        <v>1601</v>
      </c>
      <c r="D109" t="s">
        <v>150</v>
      </c>
      <c r="E109" t="s">
        <v>1602</v>
      </c>
      <c r="F109" t="s">
        <v>1603</v>
      </c>
      <c r="G109" t="s">
        <v>1603</v>
      </c>
      <c r="H109" t="s">
        <v>1604</v>
      </c>
      <c r="J109" t="s">
        <v>80</v>
      </c>
      <c r="K109" t="s">
        <v>110</v>
      </c>
      <c r="L109" t="s">
        <v>111</v>
      </c>
      <c r="M109">
        <v>66571</v>
      </c>
      <c r="P109" t="s">
        <v>154</v>
      </c>
      <c r="Q109" t="s">
        <v>1284</v>
      </c>
      <c r="R109" t="s">
        <v>1285</v>
      </c>
      <c r="S109" t="s">
        <v>1124</v>
      </c>
      <c r="T109" t="s">
        <v>158</v>
      </c>
      <c r="U109" t="s">
        <v>1605</v>
      </c>
      <c r="V109" t="s">
        <v>301</v>
      </c>
      <c r="W109" t="s">
        <v>161</v>
      </c>
      <c r="X109" t="s">
        <v>162</v>
      </c>
      <c r="Y109" t="s">
        <v>93</v>
      </c>
      <c r="Z109" t="s">
        <v>119</v>
      </c>
      <c r="AA109" t="s">
        <v>1606</v>
      </c>
      <c r="AB109" t="s">
        <v>163</v>
      </c>
      <c r="AC109" t="s">
        <v>1607</v>
      </c>
      <c r="AD109" t="s">
        <v>119</v>
      </c>
      <c r="AE109" t="s">
        <v>1606</v>
      </c>
      <c r="AF109" t="s">
        <v>163</v>
      </c>
      <c r="AG109" t="s">
        <v>1607</v>
      </c>
      <c r="AI109" t="s">
        <v>1608</v>
      </c>
      <c r="AJ109" t="s">
        <v>119</v>
      </c>
      <c r="AK109" t="s">
        <v>99</v>
      </c>
      <c r="AL109" t="s">
        <v>1609</v>
      </c>
      <c r="AM109" t="s">
        <v>1610</v>
      </c>
      <c r="AQ109" t="s">
        <v>1611</v>
      </c>
      <c r="AR109" t="s">
        <v>125</v>
      </c>
      <c r="AT109" t="s">
        <v>1612</v>
      </c>
      <c r="AU109" t="s">
        <v>1475</v>
      </c>
      <c r="AV109" t="s">
        <v>128</v>
      </c>
      <c r="AZ109" t="s">
        <v>80</v>
      </c>
    </row>
    <row r="110" spans="1:52" hidden="1" x14ac:dyDescent="0.25">
      <c r="A110" t="s">
        <v>1613</v>
      </c>
      <c r="B110" t="s">
        <v>1614</v>
      </c>
      <c r="C110" t="s">
        <v>1615</v>
      </c>
      <c r="D110" t="s">
        <v>150</v>
      </c>
      <c r="E110" t="s">
        <v>1616</v>
      </c>
      <c r="F110" t="s">
        <v>1616</v>
      </c>
      <c r="G110" t="s">
        <v>1617</v>
      </c>
      <c r="H110" t="s">
        <v>1618</v>
      </c>
      <c r="J110" t="s">
        <v>80</v>
      </c>
      <c r="K110" t="s">
        <v>110</v>
      </c>
      <c r="L110" t="s">
        <v>80</v>
      </c>
      <c r="M110">
        <v>69688</v>
      </c>
      <c r="N110" t="s">
        <v>1619</v>
      </c>
      <c r="P110" t="s">
        <v>1306</v>
      </c>
      <c r="Q110" t="s">
        <v>1284</v>
      </c>
      <c r="R110" t="s">
        <v>1285</v>
      </c>
      <c r="S110" t="s">
        <v>1124</v>
      </c>
      <c r="T110" t="s">
        <v>1620</v>
      </c>
      <c r="U110" t="s">
        <v>1621</v>
      </c>
      <c r="V110" t="s">
        <v>1622</v>
      </c>
      <c r="W110" t="s">
        <v>161</v>
      </c>
      <c r="X110" t="s">
        <v>1623</v>
      </c>
      <c r="Y110" t="s">
        <v>93</v>
      </c>
      <c r="Z110" t="s">
        <v>1312</v>
      </c>
      <c r="AA110" t="s">
        <v>1624</v>
      </c>
      <c r="AB110" t="s">
        <v>119</v>
      </c>
      <c r="AC110" t="s">
        <v>1625</v>
      </c>
      <c r="AD110" t="s">
        <v>1312</v>
      </c>
      <c r="AE110" t="s">
        <v>1624</v>
      </c>
      <c r="AF110" t="s">
        <v>119</v>
      </c>
      <c r="AG110" t="s">
        <v>1625</v>
      </c>
      <c r="AI110" t="s">
        <v>1626</v>
      </c>
      <c r="AJ110" t="s">
        <v>1312</v>
      </c>
      <c r="AK110" t="s">
        <v>99</v>
      </c>
      <c r="AL110" t="s">
        <v>1627</v>
      </c>
      <c r="AM110" t="s">
        <v>1628</v>
      </c>
      <c r="AQ110" t="s">
        <v>1629</v>
      </c>
      <c r="AT110" t="s">
        <v>1630</v>
      </c>
      <c r="AU110" t="s">
        <v>1631</v>
      </c>
      <c r="AV110" t="s">
        <v>128</v>
      </c>
      <c r="AZ110" t="s">
        <v>80</v>
      </c>
    </row>
    <row r="111" spans="1:52" hidden="1" x14ac:dyDescent="0.25">
      <c r="A111" t="s">
        <v>1632</v>
      </c>
      <c r="B111" t="s">
        <v>1633</v>
      </c>
      <c r="C111" t="s">
        <v>1634</v>
      </c>
      <c r="D111" t="s">
        <v>150</v>
      </c>
      <c r="E111" t="s">
        <v>1635</v>
      </c>
      <c r="F111" t="s">
        <v>1636</v>
      </c>
      <c r="G111" t="s">
        <v>1637</v>
      </c>
      <c r="H111" t="s">
        <v>1638</v>
      </c>
      <c r="J111" t="s">
        <v>80</v>
      </c>
      <c r="K111" t="s">
        <v>538</v>
      </c>
      <c r="L111" t="s">
        <v>111</v>
      </c>
      <c r="M111">
        <v>69621</v>
      </c>
      <c r="N111" t="s">
        <v>1639</v>
      </c>
      <c r="P111" t="s">
        <v>1306</v>
      </c>
      <c r="Q111" t="s">
        <v>1284</v>
      </c>
      <c r="R111" t="s">
        <v>1285</v>
      </c>
      <c r="S111" t="s">
        <v>1124</v>
      </c>
      <c r="T111" t="s">
        <v>1307</v>
      </c>
      <c r="U111" t="s">
        <v>1308</v>
      </c>
      <c r="V111" t="s">
        <v>1449</v>
      </c>
      <c r="W111" t="s">
        <v>161</v>
      </c>
      <c r="X111" t="s">
        <v>1640</v>
      </c>
      <c r="Y111" t="s">
        <v>93</v>
      </c>
      <c r="Z111" t="s">
        <v>119</v>
      </c>
      <c r="AA111" t="s">
        <v>1641</v>
      </c>
      <c r="AB111" t="s">
        <v>1312</v>
      </c>
      <c r="AC111" t="s">
        <v>1642</v>
      </c>
      <c r="AD111" t="s">
        <v>119</v>
      </c>
      <c r="AE111" t="s">
        <v>1641</v>
      </c>
      <c r="AF111" t="s">
        <v>1312</v>
      </c>
      <c r="AG111" t="s">
        <v>1642</v>
      </c>
      <c r="AI111" t="s">
        <v>1643</v>
      </c>
      <c r="AJ111" t="s">
        <v>119</v>
      </c>
      <c r="AK111" t="s">
        <v>99</v>
      </c>
      <c r="AL111" t="s">
        <v>1644</v>
      </c>
      <c r="AM111" t="s">
        <v>1645</v>
      </c>
      <c r="AQ111" t="s">
        <v>1646</v>
      </c>
      <c r="AR111" t="s">
        <v>125</v>
      </c>
      <c r="AT111" t="s">
        <v>1647</v>
      </c>
      <c r="AU111" t="s">
        <v>1631</v>
      </c>
      <c r="AV111" t="s">
        <v>128</v>
      </c>
      <c r="AZ111" t="s">
        <v>80</v>
      </c>
    </row>
    <row r="112" spans="1:52" hidden="1" x14ac:dyDescent="0.25">
      <c r="A112" t="s">
        <v>1648</v>
      </c>
      <c r="B112" t="s">
        <v>1649</v>
      </c>
      <c r="C112" t="s">
        <v>1650</v>
      </c>
      <c r="D112" t="s">
        <v>150</v>
      </c>
      <c r="E112" t="s">
        <v>1651</v>
      </c>
      <c r="F112" t="s">
        <v>1652</v>
      </c>
      <c r="G112" t="s">
        <v>1652</v>
      </c>
      <c r="H112" t="s">
        <v>1653</v>
      </c>
      <c r="J112" t="s">
        <v>80</v>
      </c>
      <c r="K112" t="s">
        <v>110</v>
      </c>
      <c r="L112" t="s">
        <v>111</v>
      </c>
      <c r="M112">
        <v>69232</v>
      </c>
      <c r="P112" t="s">
        <v>154</v>
      </c>
      <c r="Q112" t="s">
        <v>1284</v>
      </c>
      <c r="R112" t="s">
        <v>1285</v>
      </c>
      <c r="S112" t="s">
        <v>1124</v>
      </c>
      <c r="T112" t="s">
        <v>734</v>
      </c>
      <c r="U112" t="s">
        <v>1654</v>
      </c>
      <c r="V112" t="s">
        <v>1655</v>
      </c>
      <c r="W112" t="s">
        <v>752</v>
      </c>
      <c r="X112" t="s">
        <v>753</v>
      </c>
      <c r="Y112" t="s">
        <v>93</v>
      </c>
      <c r="Z112" t="s">
        <v>739</v>
      </c>
      <c r="AA112" t="s">
        <v>1656</v>
      </c>
      <c r="AB112" t="s">
        <v>119</v>
      </c>
      <c r="AC112" t="s">
        <v>1657</v>
      </c>
      <c r="AD112" t="s">
        <v>739</v>
      </c>
      <c r="AE112" t="s">
        <v>1656</v>
      </c>
      <c r="AF112" t="s">
        <v>119</v>
      </c>
      <c r="AG112" t="s">
        <v>1657</v>
      </c>
      <c r="AI112" t="s">
        <v>1658</v>
      </c>
      <c r="AJ112" t="s">
        <v>739</v>
      </c>
      <c r="AK112" t="s">
        <v>99</v>
      </c>
      <c r="AL112" t="s">
        <v>1659</v>
      </c>
      <c r="AM112" t="s">
        <v>1645</v>
      </c>
      <c r="AQ112" t="s">
        <v>1660</v>
      </c>
      <c r="AR112" t="s">
        <v>125</v>
      </c>
      <c r="AT112" t="s">
        <v>1661</v>
      </c>
      <c r="AU112" t="s">
        <v>1662</v>
      </c>
      <c r="AV112" t="s">
        <v>128</v>
      </c>
      <c r="AZ112" t="s">
        <v>80</v>
      </c>
    </row>
    <row r="113" spans="1:52" hidden="1" x14ac:dyDescent="0.25">
      <c r="A113" t="s">
        <v>1663</v>
      </c>
      <c r="B113" t="s">
        <v>1649</v>
      </c>
      <c r="C113" t="s">
        <v>1664</v>
      </c>
      <c r="D113" t="s">
        <v>150</v>
      </c>
      <c r="E113" t="s">
        <v>1665</v>
      </c>
      <c r="F113" t="s">
        <v>1652</v>
      </c>
      <c r="G113" t="s">
        <v>1652</v>
      </c>
      <c r="H113" t="s">
        <v>1666</v>
      </c>
      <c r="J113" t="s">
        <v>80</v>
      </c>
      <c r="K113" t="s">
        <v>110</v>
      </c>
      <c r="L113" t="s">
        <v>111</v>
      </c>
      <c r="M113">
        <v>69232</v>
      </c>
      <c r="P113" t="s">
        <v>154</v>
      </c>
      <c r="Q113" t="s">
        <v>1284</v>
      </c>
      <c r="R113" t="s">
        <v>1285</v>
      </c>
      <c r="S113" t="s">
        <v>1124</v>
      </c>
      <c r="T113" t="s">
        <v>734</v>
      </c>
      <c r="U113" t="s">
        <v>1654</v>
      </c>
      <c r="V113" t="s">
        <v>1655</v>
      </c>
      <c r="W113" t="s">
        <v>737</v>
      </c>
      <c r="X113" t="s">
        <v>738</v>
      </c>
      <c r="Y113" t="s">
        <v>93</v>
      </c>
      <c r="Z113" t="s">
        <v>739</v>
      </c>
      <c r="AA113" t="s">
        <v>1656</v>
      </c>
      <c r="AB113" t="s">
        <v>119</v>
      </c>
      <c r="AC113" t="s">
        <v>1657</v>
      </c>
      <c r="AD113" t="s">
        <v>739</v>
      </c>
      <c r="AE113" t="s">
        <v>1656</v>
      </c>
      <c r="AF113" t="s">
        <v>119</v>
      </c>
      <c r="AG113" t="s">
        <v>1657</v>
      </c>
      <c r="AI113" t="s">
        <v>1658</v>
      </c>
      <c r="AJ113" t="s">
        <v>739</v>
      </c>
      <c r="AK113" t="s">
        <v>99</v>
      </c>
      <c r="AL113" t="s">
        <v>1667</v>
      </c>
      <c r="AM113" t="s">
        <v>1668</v>
      </c>
      <c r="AQ113" t="s">
        <v>1669</v>
      </c>
      <c r="AR113" t="s">
        <v>125</v>
      </c>
      <c r="AT113" t="s">
        <v>1670</v>
      </c>
      <c r="AU113" t="s">
        <v>1662</v>
      </c>
      <c r="AV113" t="s">
        <v>128</v>
      </c>
      <c r="AZ113" t="s">
        <v>80</v>
      </c>
    </row>
    <row r="114" spans="1:52" hidden="1" x14ac:dyDescent="0.25">
      <c r="A114" t="s">
        <v>1671</v>
      </c>
      <c r="B114" t="s">
        <v>1672</v>
      </c>
      <c r="C114" t="s">
        <v>1673</v>
      </c>
      <c r="D114" t="s">
        <v>150</v>
      </c>
      <c r="E114" t="s">
        <v>1674</v>
      </c>
      <c r="F114" t="s">
        <v>1675</v>
      </c>
      <c r="G114" t="s">
        <v>1675</v>
      </c>
      <c r="H114" t="s">
        <v>1676</v>
      </c>
      <c r="J114" t="s">
        <v>80</v>
      </c>
      <c r="K114" t="s">
        <v>110</v>
      </c>
      <c r="L114" t="s">
        <v>111</v>
      </c>
      <c r="M114">
        <v>69251</v>
      </c>
      <c r="P114" t="s">
        <v>154</v>
      </c>
      <c r="Q114" t="s">
        <v>1284</v>
      </c>
      <c r="R114" t="s">
        <v>1285</v>
      </c>
      <c r="S114" t="s">
        <v>1124</v>
      </c>
      <c r="T114" t="s">
        <v>734</v>
      </c>
      <c r="U114" t="s">
        <v>1141</v>
      </c>
      <c r="V114" t="s">
        <v>1483</v>
      </c>
      <c r="W114" t="s">
        <v>752</v>
      </c>
      <c r="X114" t="s">
        <v>753</v>
      </c>
      <c r="Y114" t="s">
        <v>93</v>
      </c>
      <c r="Z114" t="s">
        <v>119</v>
      </c>
      <c r="AA114" t="s">
        <v>1677</v>
      </c>
      <c r="AB114" t="s">
        <v>739</v>
      </c>
      <c r="AC114" t="s">
        <v>1678</v>
      </c>
      <c r="AD114" t="s">
        <v>119</v>
      </c>
      <c r="AE114" t="s">
        <v>1677</v>
      </c>
      <c r="AF114" t="s">
        <v>739</v>
      </c>
      <c r="AG114" t="s">
        <v>1678</v>
      </c>
      <c r="AI114" t="s">
        <v>1679</v>
      </c>
      <c r="AJ114" t="s">
        <v>119</v>
      </c>
      <c r="AK114" t="s">
        <v>99</v>
      </c>
      <c r="AL114" t="s">
        <v>1680</v>
      </c>
      <c r="AM114" t="s">
        <v>1681</v>
      </c>
      <c r="AQ114" t="s">
        <v>1682</v>
      </c>
      <c r="AR114" t="s">
        <v>125</v>
      </c>
      <c r="AT114" t="s">
        <v>1683</v>
      </c>
      <c r="AU114" t="s">
        <v>1662</v>
      </c>
      <c r="AV114" t="s">
        <v>128</v>
      </c>
      <c r="AZ114" t="s">
        <v>80</v>
      </c>
    </row>
    <row r="115" spans="1:52" hidden="1" x14ac:dyDescent="0.25">
      <c r="A115" t="s">
        <v>1684</v>
      </c>
      <c r="B115" t="s">
        <v>1672</v>
      </c>
      <c r="C115" t="s">
        <v>1685</v>
      </c>
      <c r="D115" t="s">
        <v>150</v>
      </c>
      <c r="E115" t="s">
        <v>1686</v>
      </c>
      <c r="F115" t="s">
        <v>1675</v>
      </c>
      <c r="G115" t="s">
        <v>1675</v>
      </c>
      <c r="H115" t="s">
        <v>1687</v>
      </c>
      <c r="J115" t="s">
        <v>80</v>
      </c>
      <c r="K115" t="s">
        <v>110</v>
      </c>
      <c r="L115" t="s">
        <v>111</v>
      </c>
      <c r="M115">
        <v>69251</v>
      </c>
      <c r="P115" t="s">
        <v>154</v>
      </c>
      <c r="Q115" t="s">
        <v>1284</v>
      </c>
      <c r="R115" t="s">
        <v>1285</v>
      </c>
      <c r="S115" t="s">
        <v>1124</v>
      </c>
      <c r="T115" t="s">
        <v>734</v>
      </c>
      <c r="U115" t="s">
        <v>1141</v>
      </c>
      <c r="V115" t="s">
        <v>1483</v>
      </c>
      <c r="W115" t="s">
        <v>737</v>
      </c>
      <c r="X115" t="s">
        <v>738</v>
      </c>
      <c r="Y115" t="s">
        <v>93</v>
      </c>
      <c r="Z115" t="s">
        <v>119</v>
      </c>
      <c r="AA115" t="s">
        <v>1677</v>
      </c>
      <c r="AB115" t="s">
        <v>739</v>
      </c>
      <c r="AC115" t="s">
        <v>1678</v>
      </c>
      <c r="AD115" t="s">
        <v>119</v>
      </c>
      <c r="AE115" t="s">
        <v>1677</v>
      </c>
      <c r="AF115" t="s">
        <v>739</v>
      </c>
      <c r="AG115" t="s">
        <v>1678</v>
      </c>
      <c r="AI115" t="s">
        <v>1679</v>
      </c>
      <c r="AJ115" t="s">
        <v>119</v>
      </c>
      <c r="AK115" t="s">
        <v>99</v>
      </c>
      <c r="AL115" t="s">
        <v>1688</v>
      </c>
      <c r="AM115" t="s">
        <v>1681</v>
      </c>
      <c r="AQ115" t="s">
        <v>1689</v>
      </c>
      <c r="AR115" t="s">
        <v>125</v>
      </c>
      <c r="AT115" t="s">
        <v>1690</v>
      </c>
      <c r="AU115" t="s">
        <v>1662</v>
      </c>
      <c r="AV115" t="s">
        <v>128</v>
      </c>
      <c r="AZ115" t="s">
        <v>80</v>
      </c>
    </row>
    <row r="116" spans="1:52" hidden="1" x14ac:dyDescent="0.25">
      <c r="A116" t="s">
        <v>1691</v>
      </c>
      <c r="B116" t="s">
        <v>1692</v>
      </c>
      <c r="C116" t="s">
        <v>1693</v>
      </c>
      <c r="D116" t="s">
        <v>150</v>
      </c>
      <c r="E116" t="s">
        <v>1694</v>
      </c>
      <c r="F116" t="s">
        <v>1695</v>
      </c>
      <c r="G116" t="s">
        <v>1695</v>
      </c>
      <c r="H116" t="s">
        <v>1696</v>
      </c>
      <c r="J116" t="s">
        <v>80</v>
      </c>
      <c r="K116" t="s">
        <v>110</v>
      </c>
      <c r="L116" t="s">
        <v>111</v>
      </c>
      <c r="M116">
        <v>69500</v>
      </c>
      <c r="P116" t="s">
        <v>154</v>
      </c>
      <c r="Q116" t="s">
        <v>1284</v>
      </c>
      <c r="R116" t="s">
        <v>1285</v>
      </c>
      <c r="S116" t="s">
        <v>1124</v>
      </c>
      <c r="T116" t="s">
        <v>1082</v>
      </c>
      <c r="U116" t="s">
        <v>1083</v>
      </c>
      <c r="V116" t="s">
        <v>1084</v>
      </c>
      <c r="W116" t="s">
        <v>601</v>
      </c>
      <c r="X116" t="s">
        <v>1085</v>
      </c>
      <c r="Y116" t="s">
        <v>93</v>
      </c>
      <c r="Z116" t="s">
        <v>182</v>
      </c>
      <c r="AA116" t="s">
        <v>1697</v>
      </c>
      <c r="AB116" t="s">
        <v>119</v>
      </c>
      <c r="AC116" t="s">
        <v>1698</v>
      </c>
      <c r="AD116" t="s">
        <v>182</v>
      </c>
      <c r="AE116" t="s">
        <v>1697</v>
      </c>
      <c r="AF116" t="s">
        <v>119</v>
      </c>
      <c r="AG116" t="s">
        <v>1698</v>
      </c>
      <c r="AI116" t="s">
        <v>1699</v>
      </c>
      <c r="AJ116" t="s">
        <v>182</v>
      </c>
      <c r="AK116" t="s">
        <v>99</v>
      </c>
      <c r="AL116" t="s">
        <v>1700</v>
      </c>
      <c r="AM116" t="s">
        <v>1701</v>
      </c>
      <c r="AQ116" t="s">
        <v>1702</v>
      </c>
      <c r="AR116" t="s">
        <v>125</v>
      </c>
      <c r="AT116" t="s">
        <v>1703</v>
      </c>
      <c r="AU116" t="s">
        <v>1704</v>
      </c>
      <c r="AV116" t="s">
        <v>128</v>
      </c>
      <c r="AZ116" t="s">
        <v>80</v>
      </c>
    </row>
    <row r="117" spans="1:52" hidden="1" x14ac:dyDescent="0.25">
      <c r="A117" t="s">
        <v>1705</v>
      </c>
      <c r="B117" t="s">
        <v>1077</v>
      </c>
      <c r="C117" t="s">
        <v>1706</v>
      </c>
      <c r="D117" t="s">
        <v>150</v>
      </c>
      <c r="E117" t="s">
        <v>1707</v>
      </c>
      <c r="F117" t="s">
        <v>1080</v>
      </c>
      <c r="G117" t="s">
        <v>1080</v>
      </c>
      <c r="H117" t="s">
        <v>1081</v>
      </c>
      <c r="J117" t="s">
        <v>80</v>
      </c>
      <c r="K117" t="s">
        <v>110</v>
      </c>
      <c r="L117" t="s">
        <v>111</v>
      </c>
      <c r="M117">
        <v>69516</v>
      </c>
      <c r="P117" t="s">
        <v>154</v>
      </c>
      <c r="Q117" t="s">
        <v>1284</v>
      </c>
      <c r="R117" t="s">
        <v>1285</v>
      </c>
      <c r="S117" t="s">
        <v>1124</v>
      </c>
      <c r="T117" t="s">
        <v>1082</v>
      </c>
      <c r="U117" t="s">
        <v>1083</v>
      </c>
      <c r="V117" t="s">
        <v>1084</v>
      </c>
      <c r="W117" t="s">
        <v>302</v>
      </c>
      <c r="X117" t="s">
        <v>1708</v>
      </c>
      <c r="Y117" t="s">
        <v>93</v>
      </c>
      <c r="Z117" t="s">
        <v>182</v>
      </c>
      <c r="AA117" t="s">
        <v>1086</v>
      </c>
      <c r="AB117" t="s">
        <v>119</v>
      </c>
      <c r="AC117" t="s">
        <v>1087</v>
      </c>
      <c r="AD117" t="s">
        <v>182</v>
      </c>
      <c r="AE117" t="s">
        <v>1086</v>
      </c>
      <c r="AF117" t="s">
        <v>119</v>
      </c>
      <c r="AG117" t="s">
        <v>1087</v>
      </c>
      <c r="AI117" t="s">
        <v>1088</v>
      </c>
      <c r="AJ117" t="s">
        <v>182</v>
      </c>
      <c r="AK117" t="s">
        <v>99</v>
      </c>
      <c r="AL117" t="s">
        <v>1709</v>
      </c>
      <c r="AM117" t="s">
        <v>1710</v>
      </c>
      <c r="AQ117" t="s">
        <v>1091</v>
      </c>
      <c r="AR117" t="s">
        <v>125</v>
      </c>
      <c r="AT117" t="s">
        <v>1711</v>
      </c>
      <c r="AU117" t="s">
        <v>1712</v>
      </c>
      <c r="AV117" t="s">
        <v>128</v>
      </c>
      <c r="AZ117" t="s">
        <v>80</v>
      </c>
    </row>
    <row r="118" spans="1:52" hidden="1" x14ac:dyDescent="0.25">
      <c r="A118" t="s">
        <v>1713</v>
      </c>
      <c r="B118" t="s">
        <v>1714</v>
      </c>
      <c r="C118" t="s">
        <v>1715</v>
      </c>
      <c r="D118" t="s">
        <v>150</v>
      </c>
      <c r="E118" t="s">
        <v>1716</v>
      </c>
      <c r="F118" t="s">
        <v>1717</v>
      </c>
      <c r="G118" t="s">
        <v>1718</v>
      </c>
      <c r="H118" t="s">
        <v>1719</v>
      </c>
      <c r="J118" t="s">
        <v>80</v>
      </c>
      <c r="K118" t="s">
        <v>110</v>
      </c>
      <c r="L118" t="s">
        <v>111</v>
      </c>
      <c r="M118">
        <v>69555</v>
      </c>
      <c r="P118" t="s">
        <v>154</v>
      </c>
      <c r="Q118" t="s">
        <v>1284</v>
      </c>
      <c r="R118" t="s">
        <v>1285</v>
      </c>
      <c r="S118" t="s">
        <v>1124</v>
      </c>
      <c r="T118" t="s">
        <v>1082</v>
      </c>
      <c r="U118" t="s">
        <v>1720</v>
      </c>
      <c r="V118" t="s">
        <v>1721</v>
      </c>
      <c r="W118" t="s">
        <v>697</v>
      </c>
      <c r="X118" t="s">
        <v>1708</v>
      </c>
      <c r="Y118" t="s">
        <v>93</v>
      </c>
      <c r="Z118" t="s">
        <v>119</v>
      </c>
      <c r="AA118" t="s">
        <v>1722</v>
      </c>
      <c r="AB118" t="s">
        <v>182</v>
      </c>
      <c r="AC118" t="s">
        <v>1723</v>
      </c>
      <c r="AD118" t="s">
        <v>119</v>
      </c>
      <c r="AE118" t="s">
        <v>1722</v>
      </c>
      <c r="AF118" t="s">
        <v>182</v>
      </c>
      <c r="AG118" t="s">
        <v>1723</v>
      </c>
      <c r="AI118" t="s">
        <v>1724</v>
      </c>
      <c r="AJ118" t="s">
        <v>119</v>
      </c>
      <c r="AK118" t="s">
        <v>99</v>
      </c>
      <c r="AL118" t="s">
        <v>1725</v>
      </c>
      <c r="AM118" t="s">
        <v>1726</v>
      </c>
      <c r="AQ118" t="s">
        <v>1727</v>
      </c>
      <c r="AR118" t="s">
        <v>125</v>
      </c>
      <c r="AT118" t="s">
        <v>1728</v>
      </c>
      <c r="AU118" t="s">
        <v>1712</v>
      </c>
      <c r="AV118" t="s">
        <v>190</v>
      </c>
      <c r="AZ118" t="s">
        <v>80</v>
      </c>
    </row>
    <row r="119" spans="1:52" hidden="1" x14ac:dyDescent="0.25">
      <c r="A119" t="s">
        <v>1729</v>
      </c>
      <c r="B119" t="s">
        <v>669</v>
      </c>
      <c r="C119" t="s">
        <v>1730</v>
      </c>
      <c r="D119" t="s">
        <v>150</v>
      </c>
      <c r="E119" t="s">
        <v>1731</v>
      </c>
      <c r="F119" t="s">
        <v>1731</v>
      </c>
      <c r="G119" t="s">
        <v>672</v>
      </c>
      <c r="H119" t="s">
        <v>673</v>
      </c>
      <c r="J119" t="s">
        <v>80</v>
      </c>
      <c r="K119" t="s">
        <v>110</v>
      </c>
      <c r="L119" t="s">
        <v>80</v>
      </c>
      <c r="M119">
        <v>69672</v>
      </c>
      <c r="P119" t="s">
        <v>154</v>
      </c>
      <c r="Q119" t="s">
        <v>1284</v>
      </c>
      <c r="R119" t="s">
        <v>1285</v>
      </c>
      <c r="S119" t="s">
        <v>1124</v>
      </c>
      <c r="T119" t="s">
        <v>674</v>
      </c>
      <c r="U119" t="s">
        <v>675</v>
      </c>
      <c r="V119" t="s">
        <v>676</v>
      </c>
      <c r="W119" t="s">
        <v>601</v>
      </c>
      <c r="X119" t="s">
        <v>1732</v>
      </c>
      <c r="Y119" t="s">
        <v>93</v>
      </c>
      <c r="Z119" t="s">
        <v>678</v>
      </c>
      <c r="AA119" t="s">
        <v>679</v>
      </c>
      <c r="AB119" t="s">
        <v>119</v>
      </c>
      <c r="AC119" t="s">
        <v>680</v>
      </c>
      <c r="AD119" t="s">
        <v>678</v>
      </c>
      <c r="AE119" t="s">
        <v>679</v>
      </c>
      <c r="AF119" t="s">
        <v>119</v>
      </c>
      <c r="AG119" t="s">
        <v>680</v>
      </c>
      <c r="AI119" t="s">
        <v>681</v>
      </c>
      <c r="AJ119" t="s">
        <v>678</v>
      </c>
      <c r="AK119" t="s">
        <v>99</v>
      </c>
      <c r="AL119" t="s">
        <v>1733</v>
      </c>
      <c r="AM119" t="s">
        <v>1734</v>
      </c>
      <c r="AQ119" t="s">
        <v>684</v>
      </c>
      <c r="AT119" t="s">
        <v>1735</v>
      </c>
      <c r="AU119" t="s">
        <v>1736</v>
      </c>
      <c r="AV119" t="s">
        <v>128</v>
      </c>
      <c r="AZ119" t="s">
        <v>80</v>
      </c>
    </row>
    <row r="120" spans="1:52" x14ac:dyDescent="0.25">
      <c r="A120" t="s">
        <v>1737</v>
      </c>
      <c r="B120" t="s">
        <v>1738</v>
      </c>
      <c r="C120" t="s">
        <v>1739</v>
      </c>
      <c r="D120" t="s">
        <v>78</v>
      </c>
      <c r="E120" t="s">
        <v>1740</v>
      </c>
      <c r="F120" t="s">
        <v>1740</v>
      </c>
      <c r="G120" t="s">
        <v>1741</v>
      </c>
      <c r="H120" t="s">
        <v>1742</v>
      </c>
      <c r="J120" t="s">
        <v>80</v>
      </c>
      <c r="K120" t="s">
        <v>538</v>
      </c>
      <c r="L120" t="s">
        <v>111</v>
      </c>
      <c r="M120" t="s">
        <v>1743</v>
      </c>
      <c r="O120" t="s">
        <v>83</v>
      </c>
      <c r="P120" t="s">
        <v>134</v>
      </c>
      <c r="Q120" t="s">
        <v>1744</v>
      </c>
      <c r="R120" t="s">
        <v>1550</v>
      </c>
      <c r="S120" t="s">
        <v>774</v>
      </c>
      <c r="T120" t="s">
        <v>1745</v>
      </c>
      <c r="U120" t="s">
        <v>1746</v>
      </c>
      <c r="V120" t="s">
        <v>372</v>
      </c>
      <c r="W120" t="s">
        <v>161</v>
      </c>
      <c r="X120" t="s">
        <v>1747</v>
      </c>
      <c r="Y120" t="s">
        <v>93</v>
      </c>
      <c r="Z120" t="s">
        <v>1748</v>
      </c>
      <c r="AA120" t="s">
        <v>377</v>
      </c>
      <c r="AB120" t="s">
        <v>119</v>
      </c>
      <c r="AC120" t="s">
        <v>1749</v>
      </c>
      <c r="AD120" t="s">
        <v>1748</v>
      </c>
      <c r="AE120" t="s">
        <v>377</v>
      </c>
      <c r="AF120" t="s">
        <v>119</v>
      </c>
      <c r="AG120" t="s">
        <v>1749</v>
      </c>
      <c r="AI120" t="s">
        <v>1750</v>
      </c>
      <c r="AJ120" t="s">
        <v>1748</v>
      </c>
      <c r="AK120" t="s">
        <v>1751</v>
      </c>
      <c r="AQ120" t="s">
        <v>1752</v>
      </c>
      <c r="AR120" t="s">
        <v>125</v>
      </c>
      <c r="AT120" t="s">
        <v>1753</v>
      </c>
      <c r="AU120" t="s">
        <v>1754</v>
      </c>
      <c r="AV120" t="s">
        <v>190</v>
      </c>
      <c r="AZ120" t="s">
        <v>80</v>
      </c>
    </row>
    <row r="121" spans="1:52" hidden="1" x14ac:dyDescent="0.25">
      <c r="A121" t="s">
        <v>1755</v>
      </c>
      <c r="B121" t="s">
        <v>1756</v>
      </c>
      <c r="C121" t="s">
        <v>1757</v>
      </c>
      <c r="D121" t="s">
        <v>78</v>
      </c>
      <c r="E121" t="s">
        <v>1758</v>
      </c>
      <c r="F121" t="s">
        <v>1758</v>
      </c>
      <c r="G121" t="s">
        <v>1759</v>
      </c>
      <c r="H121" t="s">
        <v>1760</v>
      </c>
      <c r="J121" t="s">
        <v>80</v>
      </c>
      <c r="K121" t="s">
        <v>81</v>
      </c>
      <c r="L121" t="s">
        <v>111</v>
      </c>
      <c r="M121">
        <v>76318</v>
      </c>
      <c r="P121" t="s">
        <v>134</v>
      </c>
      <c r="Q121" t="s">
        <v>1205</v>
      </c>
      <c r="R121" t="s">
        <v>914</v>
      </c>
      <c r="S121" t="s">
        <v>444</v>
      </c>
      <c r="T121" t="s">
        <v>1761</v>
      </c>
      <c r="U121" t="s">
        <v>1762</v>
      </c>
      <c r="V121" t="s">
        <v>1466</v>
      </c>
      <c r="W121" t="s">
        <v>797</v>
      </c>
      <c r="X121" t="s">
        <v>1763</v>
      </c>
      <c r="Y121" t="s">
        <v>93</v>
      </c>
      <c r="Z121" t="s">
        <v>1764</v>
      </c>
      <c r="AA121" t="s">
        <v>1765</v>
      </c>
      <c r="AB121" t="s">
        <v>182</v>
      </c>
      <c r="AC121" t="s">
        <v>1766</v>
      </c>
      <c r="AD121" t="s">
        <v>1764</v>
      </c>
      <c r="AE121" t="s">
        <v>1765</v>
      </c>
      <c r="AF121" t="s">
        <v>182</v>
      </c>
      <c r="AG121" t="s">
        <v>1766</v>
      </c>
      <c r="AI121" t="s">
        <v>1767</v>
      </c>
      <c r="AJ121" t="s">
        <v>1764</v>
      </c>
      <c r="AK121" t="s">
        <v>99</v>
      </c>
      <c r="AL121" t="s">
        <v>1768</v>
      </c>
      <c r="AM121" t="s">
        <v>1769</v>
      </c>
      <c r="AQ121" t="s">
        <v>1770</v>
      </c>
      <c r="AR121" t="s">
        <v>125</v>
      </c>
      <c r="AT121" t="s">
        <v>1771</v>
      </c>
      <c r="AU121" t="s">
        <v>1772</v>
      </c>
      <c r="AV121" t="s">
        <v>128</v>
      </c>
      <c r="AZ121" t="s">
        <v>80</v>
      </c>
    </row>
    <row r="122" spans="1:52" hidden="1" x14ac:dyDescent="0.25">
      <c r="A122" t="s">
        <v>1773</v>
      </c>
      <c r="B122" t="s">
        <v>1774</v>
      </c>
      <c r="C122" t="s">
        <v>1775</v>
      </c>
      <c r="D122" t="s">
        <v>78</v>
      </c>
      <c r="E122" t="s">
        <v>1776</v>
      </c>
      <c r="F122" t="s">
        <v>1776</v>
      </c>
      <c r="G122" t="s">
        <v>1777</v>
      </c>
      <c r="H122" t="s">
        <v>1778</v>
      </c>
      <c r="J122" t="s">
        <v>80</v>
      </c>
      <c r="K122" t="s">
        <v>110</v>
      </c>
      <c r="L122" t="s">
        <v>111</v>
      </c>
      <c r="M122">
        <v>76002</v>
      </c>
      <c r="N122" t="s">
        <v>1779</v>
      </c>
      <c r="O122" t="s">
        <v>1780</v>
      </c>
      <c r="P122" t="s">
        <v>1781</v>
      </c>
      <c r="Q122" t="s">
        <v>1744</v>
      </c>
      <c r="R122" t="s">
        <v>1550</v>
      </c>
      <c r="S122" t="s">
        <v>774</v>
      </c>
      <c r="T122" t="s">
        <v>1782</v>
      </c>
      <c r="U122" t="s">
        <v>487</v>
      </c>
      <c r="V122" t="s">
        <v>1783</v>
      </c>
      <c r="W122" t="s">
        <v>697</v>
      </c>
      <c r="X122" t="s">
        <v>1784</v>
      </c>
      <c r="Y122" t="s">
        <v>93</v>
      </c>
      <c r="Z122" t="s">
        <v>1785</v>
      </c>
      <c r="AA122" t="s">
        <v>1786</v>
      </c>
      <c r="AB122" t="s">
        <v>119</v>
      </c>
      <c r="AC122" t="s">
        <v>1787</v>
      </c>
      <c r="AD122" t="s">
        <v>1785</v>
      </c>
      <c r="AE122" t="s">
        <v>1786</v>
      </c>
      <c r="AF122" t="s">
        <v>119</v>
      </c>
      <c r="AG122" t="s">
        <v>1787</v>
      </c>
      <c r="AH122" t="s">
        <v>1788</v>
      </c>
      <c r="AI122" t="s">
        <v>1789</v>
      </c>
      <c r="AJ122" t="s">
        <v>1785</v>
      </c>
      <c r="AK122" t="s">
        <v>99</v>
      </c>
      <c r="AL122" t="s">
        <v>1790</v>
      </c>
      <c r="AM122" t="s">
        <v>1791</v>
      </c>
      <c r="AQ122" t="s">
        <v>1792</v>
      </c>
      <c r="AR122" t="s">
        <v>125</v>
      </c>
      <c r="AT122" t="s">
        <v>1793</v>
      </c>
      <c r="AU122" t="s">
        <v>1772</v>
      </c>
      <c r="AV122" t="s">
        <v>190</v>
      </c>
      <c r="AZ122" t="s">
        <v>80</v>
      </c>
    </row>
    <row r="123" spans="1:52" hidden="1" x14ac:dyDescent="0.25">
      <c r="A123" t="s">
        <v>1794</v>
      </c>
      <c r="B123" t="s">
        <v>1795</v>
      </c>
      <c r="C123" t="s">
        <v>1796</v>
      </c>
      <c r="D123" t="s">
        <v>78</v>
      </c>
      <c r="E123" t="s">
        <v>1797</v>
      </c>
      <c r="F123" t="s">
        <v>1797</v>
      </c>
      <c r="G123" t="s">
        <v>1798</v>
      </c>
      <c r="H123" t="s">
        <v>1799</v>
      </c>
      <c r="J123" t="s">
        <v>80</v>
      </c>
      <c r="K123" t="s">
        <v>110</v>
      </c>
      <c r="L123" t="s">
        <v>111</v>
      </c>
      <c r="M123">
        <v>76316</v>
      </c>
      <c r="P123" t="s">
        <v>134</v>
      </c>
      <c r="Q123" t="s">
        <v>1744</v>
      </c>
      <c r="R123" t="s">
        <v>1550</v>
      </c>
      <c r="S123" t="s">
        <v>774</v>
      </c>
      <c r="T123" t="s">
        <v>1800</v>
      </c>
      <c r="U123" t="s">
        <v>321</v>
      </c>
      <c r="V123" t="s">
        <v>1801</v>
      </c>
      <c r="W123" t="s">
        <v>1802</v>
      </c>
      <c r="X123" t="s">
        <v>1803</v>
      </c>
      <c r="Y123" t="s">
        <v>93</v>
      </c>
      <c r="Z123" t="s">
        <v>1804</v>
      </c>
      <c r="AA123" t="s">
        <v>1805</v>
      </c>
      <c r="AB123" t="s">
        <v>182</v>
      </c>
      <c r="AC123" t="s">
        <v>1806</v>
      </c>
      <c r="AD123" t="s">
        <v>1804</v>
      </c>
      <c r="AE123" t="s">
        <v>1805</v>
      </c>
      <c r="AF123" t="s">
        <v>182</v>
      </c>
      <c r="AG123" t="s">
        <v>1806</v>
      </c>
      <c r="AI123" t="s">
        <v>1807</v>
      </c>
      <c r="AJ123" t="s">
        <v>1804</v>
      </c>
      <c r="AK123" t="s">
        <v>99</v>
      </c>
      <c r="AL123" t="s">
        <v>1808</v>
      </c>
      <c r="AM123" t="s">
        <v>1809</v>
      </c>
      <c r="AQ123" t="s">
        <v>1810</v>
      </c>
      <c r="AR123" t="s">
        <v>125</v>
      </c>
      <c r="AT123" t="s">
        <v>1811</v>
      </c>
      <c r="AU123" t="s">
        <v>1772</v>
      </c>
      <c r="AV123" t="s">
        <v>128</v>
      </c>
      <c r="AZ123" t="s">
        <v>80</v>
      </c>
    </row>
    <row r="124" spans="1:52" hidden="1" x14ac:dyDescent="0.25">
      <c r="A124" t="s">
        <v>1812</v>
      </c>
      <c r="B124" t="s">
        <v>1813</v>
      </c>
      <c r="C124" t="s">
        <v>1814</v>
      </c>
      <c r="D124" t="s">
        <v>78</v>
      </c>
      <c r="E124" t="s">
        <v>1815</v>
      </c>
      <c r="F124" t="s">
        <v>1815</v>
      </c>
      <c r="G124" t="s">
        <v>1816</v>
      </c>
      <c r="H124" t="s">
        <v>1817</v>
      </c>
      <c r="J124" t="s">
        <v>80</v>
      </c>
      <c r="K124" t="s">
        <v>110</v>
      </c>
      <c r="L124" t="s">
        <v>111</v>
      </c>
      <c r="M124">
        <v>76102</v>
      </c>
      <c r="O124" t="s">
        <v>1818</v>
      </c>
      <c r="P124" t="s">
        <v>1819</v>
      </c>
      <c r="Q124" t="s">
        <v>1744</v>
      </c>
      <c r="R124" t="s">
        <v>1550</v>
      </c>
      <c r="S124" t="s">
        <v>774</v>
      </c>
      <c r="T124" t="s">
        <v>1820</v>
      </c>
      <c r="U124" t="s">
        <v>1102</v>
      </c>
      <c r="V124" t="s">
        <v>1821</v>
      </c>
      <c r="W124" t="s">
        <v>1822</v>
      </c>
      <c r="X124" t="s">
        <v>1823</v>
      </c>
      <c r="Y124" t="s">
        <v>93</v>
      </c>
      <c r="Z124" t="s">
        <v>1804</v>
      </c>
      <c r="AA124" t="s">
        <v>1805</v>
      </c>
      <c r="AB124" t="s">
        <v>119</v>
      </c>
      <c r="AC124" t="s">
        <v>1824</v>
      </c>
      <c r="AD124" t="s">
        <v>1804</v>
      </c>
      <c r="AE124" t="s">
        <v>1805</v>
      </c>
      <c r="AF124" t="s">
        <v>119</v>
      </c>
      <c r="AG124" t="s">
        <v>1824</v>
      </c>
      <c r="AI124" t="s">
        <v>1807</v>
      </c>
      <c r="AJ124" t="s">
        <v>1804</v>
      </c>
      <c r="AK124" t="s">
        <v>1751</v>
      </c>
      <c r="AQ124" t="s">
        <v>1825</v>
      </c>
      <c r="AR124" t="s">
        <v>125</v>
      </c>
      <c r="AT124" t="s">
        <v>1826</v>
      </c>
      <c r="AU124" t="s">
        <v>1772</v>
      </c>
      <c r="AV124" t="s">
        <v>190</v>
      </c>
      <c r="AZ124" t="s">
        <v>80</v>
      </c>
    </row>
    <row r="125" spans="1:52" hidden="1" x14ac:dyDescent="0.25">
      <c r="A125" t="s">
        <v>1827</v>
      </c>
      <c r="B125" t="s">
        <v>1828</v>
      </c>
      <c r="C125" t="s">
        <v>1829</v>
      </c>
      <c r="D125" t="s">
        <v>78</v>
      </c>
      <c r="E125" t="s">
        <v>1830</v>
      </c>
      <c r="F125" t="s">
        <v>1830</v>
      </c>
      <c r="G125" t="s">
        <v>1831</v>
      </c>
      <c r="H125" t="s">
        <v>1832</v>
      </c>
      <c r="J125" t="s">
        <v>80</v>
      </c>
      <c r="K125" t="s">
        <v>81</v>
      </c>
      <c r="L125" t="s">
        <v>111</v>
      </c>
      <c r="M125">
        <v>76314</v>
      </c>
      <c r="P125" t="s">
        <v>134</v>
      </c>
      <c r="Q125" t="s">
        <v>1205</v>
      </c>
      <c r="R125" t="s">
        <v>914</v>
      </c>
      <c r="S125" t="s">
        <v>444</v>
      </c>
      <c r="T125" t="s">
        <v>1761</v>
      </c>
      <c r="U125" t="s">
        <v>1833</v>
      </c>
      <c r="V125" t="s">
        <v>1834</v>
      </c>
      <c r="W125" t="s">
        <v>161</v>
      </c>
      <c r="X125" t="s">
        <v>1835</v>
      </c>
      <c r="Y125" t="s">
        <v>93</v>
      </c>
      <c r="Z125" t="s">
        <v>1764</v>
      </c>
      <c r="AA125" t="s">
        <v>1836</v>
      </c>
      <c r="AB125" t="s">
        <v>182</v>
      </c>
      <c r="AC125" t="s">
        <v>1837</v>
      </c>
      <c r="AD125" t="s">
        <v>1764</v>
      </c>
      <c r="AE125" t="s">
        <v>1836</v>
      </c>
      <c r="AF125" t="s">
        <v>182</v>
      </c>
      <c r="AG125" t="s">
        <v>1837</v>
      </c>
      <c r="AI125" t="s">
        <v>1838</v>
      </c>
      <c r="AJ125" t="s">
        <v>1764</v>
      </c>
      <c r="AK125" t="s">
        <v>99</v>
      </c>
      <c r="AL125" t="s">
        <v>1839</v>
      </c>
      <c r="AM125" t="s">
        <v>1840</v>
      </c>
      <c r="AQ125" t="s">
        <v>1841</v>
      </c>
      <c r="AR125" t="s">
        <v>125</v>
      </c>
      <c r="AT125" t="s">
        <v>1842</v>
      </c>
      <c r="AU125" t="s">
        <v>1772</v>
      </c>
      <c r="AV125" t="s">
        <v>128</v>
      </c>
      <c r="AZ125" t="s">
        <v>80</v>
      </c>
    </row>
    <row r="126" spans="1:52" hidden="1" x14ac:dyDescent="0.25">
      <c r="A126" t="s">
        <v>1843</v>
      </c>
      <c r="B126" t="s">
        <v>1844</v>
      </c>
      <c r="C126" t="s">
        <v>1845</v>
      </c>
      <c r="D126" t="s">
        <v>78</v>
      </c>
      <c r="E126" t="s">
        <v>1846</v>
      </c>
      <c r="F126" t="s">
        <v>1846</v>
      </c>
      <c r="G126" t="s">
        <v>1847</v>
      </c>
      <c r="H126" t="s">
        <v>1848</v>
      </c>
      <c r="J126" t="s">
        <v>80</v>
      </c>
      <c r="K126" t="s">
        <v>81</v>
      </c>
      <c r="L126" t="s">
        <v>111</v>
      </c>
      <c r="M126">
        <v>76312</v>
      </c>
      <c r="P126" t="s">
        <v>134</v>
      </c>
      <c r="Q126" t="s">
        <v>1205</v>
      </c>
      <c r="R126" t="s">
        <v>914</v>
      </c>
      <c r="S126" t="s">
        <v>444</v>
      </c>
      <c r="T126" t="s">
        <v>1849</v>
      </c>
      <c r="U126" t="s">
        <v>1850</v>
      </c>
      <c r="V126" t="s">
        <v>1851</v>
      </c>
      <c r="W126" t="s">
        <v>161</v>
      </c>
      <c r="X126" t="s">
        <v>1852</v>
      </c>
      <c r="Y126" t="s">
        <v>93</v>
      </c>
      <c r="Z126" t="s">
        <v>1764</v>
      </c>
      <c r="AA126" t="s">
        <v>1853</v>
      </c>
      <c r="AB126" t="s">
        <v>182</v>
      </c>
      <c r="AC126" t="s">
        <v>1854</v>
      </c>
      <c r="AD126" t="s">
        <v>1764</v>
      </c>
      <c r="AE126" t="s">
        <v>1853</v>
      </c>
      <c r="AF126" t="s">
        <v>182</v>
      </c>
      <c r="AG126" t="s">
        <v>1854</v>
      </c>
      <c r="AI126" t="s">
        <v>1855</v>
      </c>
      <c r="AJ126" t="s">
        <v>1764</v>
      </c>
      <c r="AK126" t="s">
        <v>99</v>
      </c>
      <c r="AL126" t="s">
        <v>1856</v>
      </c>
      <c r="AM126" t="s">
        <v>1857</v>
      </c>
      <c r="AQ126" t="s">
        <v>1858</v>
      </c>
      <c r="AR126" t="s">
        <v>125</v>
      </c>
      <c r="AT126" t="s">
        <v>1859</v>
      </c>
      <c r="AU126" t="s">
        <v>1772</v>
      </c>
      <c r="AV126" t="s">
        <v>128</v>
      </c>
      <c r="AZ126" t="s">
        <v>80</v>
      </c>
    </row>
    <row r="127" spans="1:52" hidden="1" x14ac:dyDescent="0.25">
      <c r="A127" t="s">
        <v>1860</v>
      </c>
      <c r="B127" t="s">
        <v>1861</v>
      </c>
      <c r="C127" t="s">
        <v>1862</v>
      </c>
      <c r="D127" t="s">
        <v>78</v>
      </c>
      <c r="E127" t="s">
        <v>1863</v>
      </c>
      <c r="F127" t="s">
        <v>1863</v>
      </c>
      <c r="G127" t="s">
        <v>1864</v>
      </c>
      <c r="H127" t="s">
        <v>1865</v>
      </c>
      <c r="J127" t="s">
        <v>80</v>
      </c>
      <c r="K127" t="s">
        <v>110</v>
      </c>
      <c r="L127" t="s">
        <v>111</v>
      </c>
      <c r="M127">
        <v>76000</v>
      </c>
      <c r="N127" t="s">
        <v>1866</v>
      </c>
      <c r="O127" t="s">
        <v>1867</v>
      </c>
      <c r="P127" t="s">
        <v>1781</v>
      </c>
      <c r="Q127" t="s">
        <v>1744</v>
      </c>
      <c r="R127" t="s">
        <v>1550</v>
      </c>
      <c r="S127" t="s">
        <v>774</v>
      </c>
      <c r="T127" t="s">
        <v>1782</v>
      </c>
      <c r="U127" t="s">
        <v>1102</v>
      </c>
      <c r="V127" t="s">
        <v>1833</v>
      </c>
      <c r="W127" t="s">
        <v>697</v>
      </c>
      <c r="X127" t="s">
        <v>1784</v>
      </c>
      <c r="Y127" t="s">
        <v>93</v>
      </c>
      <c r="Z127" t="s">
        <v>1785</v>
      </c>
      <c r="AA127" t="s">
        <v>1868</v>
      </c>
      <c r="AB127" t="s">
        <v>119</v>
      </c>
      <c r="AC127" t="s">
        <v>1869</v>
      </c>
      <c r="AD127" t="s">
        <v>1785</v>
      </c>
      <c r="AE127" t="s">
        <v>1868</v>
      </c>
      <c r="AF127" t="s">
        <v>119</v>
      </c>
      <c r="AG127" t="s">
        <v>1869</v>
      </c>
      <c r="AH127" t="s">
        <v>1788</v>
      </c>
      <c r="AI127" t="s">
        <v>1870</v>
      </c>
      <c r="AJ127" t="s">
        <v>1785</v>
      </c>
      <c r="AK127" t="s">
        <v>1751</v>
      </c>
      <c r="AQ127" t="s">
        <v>1871</v>
      </c>
      <c r="AR127" t="s">
        <v>125</v>
      </c>
      <c r="AT127" t="s">
        <v>1872</v>
      </c>
      <c r="AU127" t="s">
        <v>1873</v>
      </c>
      <c r="AV127" t="s">
        <v>190</v>
      </c>
      <c r="AZ127" t="s">
        <v>80</v>
      </c>
    </row>
    <row r="128" spans="1:52" hidden="1" x14ac:dyDescent="0.25">
      <c r="A128" t="s">
        <v>1874</v>
      </c>
      <c r="B128" t="s">
        <v>1875</v>
      </c>
      <c r="C128" t="s">
        <v>1876</v>
      </c>
      <c r="D128" t="s">
        <v>78</v>
      </c>
      <c r="E128" t="s">
        <v>1877</v>
      </c>
      <c r="F128" t="s">
        <v>1877</v>
      </c>
      <c r="G128" t="s">
        <v>1878</v>
      </c>
      <c r="H128" t="s">
        <v>1879</v>
      </c>
      <c r="J128" t="s">
        <v>80</v>
      </c>
      <c r="K128" t="s">
        <v>110</v>
      </c>
      <c r="L128" t="s">
        <v>111</v>
      </c>
      <c r="M128">
        <v>76100</v>
      </c>
      <c r="O128" t="s">
        <v>1880</v>
      </c>
      <c r="P128" t="s">
        <v>1819</v>
      </c>
      <c r="Q128" t="s">
        <v>1744</v>
      </c>
      <c r="R128" t="s">
        <v>1550</v>
      </c>
      <c r="S128" t="s">
        <v>774</v>
      </c>
      <c r="T128" t="s">
        <v>1820</v>
      </c>
      <c r="U128" t="s">
        <v>1881</v>
      </c>
      <c r="V128" t="s">
        <v>1287</v>
      </c>
      <c r="W128" t="s">
        <v>161</v>
      </c>
      <c r="X128" t="s">
        <v>1882</v>
      </c>
      <c r="Y128" t="s">
        <v>93</v>
      </c>
      <c r="Z128" t="s">
        <v>1804</v>
      </c>
      <c r="AA128" t="s">
        <v>1883</v>
      </c>
      <c r="AB128" t="s">
        <v>119</v>
      </c>
      <c r="AC128" t="s">
        <v>1884</v>
      </c>
      <c r="AD128" t="s">
        <v>1804</v>
      </c>
      <c r="AE128" t="s">
        <v>1883</v>
      </c>
      <c r="AF128" t="s">
        <v>119</v>
      </c>
      <c r="AG128" t="s">
        <v>1884</v>
      </c>
      <c r="AI128" t="s">
        <v>1885</v>
      </c>
      <c r="AJ128" t="s">
        <v>1804</v>
      </c>
      <c r="AK128" t="s">
        <v>99</v>
      </c>
      <c r="AL128" t="s">
        <v>1886</v>
      </c>
      <c r="AM128" t="s">
        <v>1887</v>
      </c>
      <c r="AQ128" t="s">
        <v>1888</v>
      </c>
      <c r="AR128" t="s">
        <v>125</v>
      </c>
      <c r="AT128" t="s">
        <v>1889</v>
      </c>
      <c r="AU128" t="s">
        <v>1772</v>
      </c>
      <c r="AV128" t="s">
        <v>190</v>
      </c>
      <c r="AZ128" t="s">
        <v>80</v>
      </c>
    </row>
    <row r="129" spans="1:52" hidden="1" x14ac:dyDescent="0.25">
      <c r="A129" t="s">
        <v>540</v>
      </c>
      <c r="B129" t="s">
        <v>1890</v>
      </c>
      <c r="C129" t="s">
        <v>1891</v>
      </c>
      <c r="D129" t="s">
        <v>78</v>
      </c>
      <c r="E129" t="s">
        <v>1892</v>
      </c>
      <c r="F129" t="s">
        <v>1892</v>
      </c>
      <c r="G129" t="s">
        <v>1893</v>
      </c>
      <c r="H129" t="s">
        <v>1894</v>
      </c>
      <c r="J129" t="s">
        <v>80</v>
      </c>
      <c r="K129" t="s">
        <v>110</v>
      </c>
      <c r="L129" t="s">
        <v>111</v>
      </c>
      <c r="M129">
        <v>67329</v>
      </c>
      <c r="P129" t="s">
        <v>134</v>
      </c>
      <c r="Q129" t="s">
        <v>1744</v>
      </c>
      <c r="R129" t="s">
        <v>1550</v>
      </c>
      <c r="S129" t="s">
        <v>774</v>
      </c>
      <c r="T129" t="s">
        <v>1800</v>
      </c>
      <c r="U129" t="s">
        <v>1746</v>
      </c>
      <c r="V129" t="s">
        <v>1895</v>
      </c>
      <c r="W129" t="s">
        <v>1896</v>
      </c>
      <c r="X129" t="s">
        <v>1897</v>
      </c>
      <c r="Y129" t="s">
        <v>93</v>
      </c>
      <c r="Z129" t="s">
        <v>182</v>
      </c>
      <c r="AA129" t="s">
        <v>1898</v>
      </c>
      <c r="AB129" t="s">
        <v>1804</v>
      </c>
      <c r="AC129" t="s">
        <v>216</v>
      </c>
      <c r="AD129" t="s">
        <v>182</v>
      </c>
      <c r="AE129" t="s">
        <v>1898</v>
      </c>
      <c r="AF129" t="s">
        <v>1804</v>
      </c>
      <c r="AG129" t="s">
        <v>216</v>
      </c>
      <c r="AI129" t="s">
        <v>1899</v>
      </c>
      <c r="AJ129" t="s">
        <v>182</v>
      </c>
      <c r="AK129" t="s">
        <v>99</v>
      </c>
      <c r="AL129" t="s">
        <v>1900</v>
      </c>
      <c r="AM129" t="s">
        <v>1901</v>
      </c>
      <c r="AQ129" t="s">
        <v>1902</v>
      </c>
      <c r="AR129" t="s">
        <v>125</v>
      </c>
      <c r="AT129" t="s">
        <v>1903</v>
      </c>
      <c r="AU129" t="s">
        <v>1772</v>
      </c>
      <c r="AV129" t="s">
        <v>128</v>
      </c>
      <c r="AZ129" t="s">
        <v>80</v>
      </c>
    </row>
    <row r="130" spans="1:52" hidden="1" x14ac:dyDescent="0.25">
      <c r="A130" t="s">
        <v>1904</v>
      </c>
      <c r="B130" t="s">
        <v>1905</v>
      </c>
      <c r="C130" t="s">
        <v>1906</v>
      </c>
      <c r="D130" t="s">
        <v>78</v>
      </c>
      <c r="E130" t="s">
        <v>1907</v>
      </c>
      <c r="F130" t="s">
        <v>1907</v>
      </c>
      <c r="G130" t="s">
        <v>1908</v>
      </c>
      <c r="H130" t="s">
        <v>1909</v>
      </c>
      <c r="J130" t="s">
        <v>80</v>
      </c>
      <c r="K130" t="s">
        <v>110</v>
      </c>
      <c r="L130" t="s">
        <v>111</v>
      </c>
      <c r="M130">
        <v>67003</v>
      </c>
      <c r="N130" t="s">
        <v>1910</v>
      </c>
      <c r="O130" t="s">
        <v>1867</v>
      </c>
      <c r="P130" t="s">
        <v>1781</v>
      </c>
      <c r="Q130" t="s">
        <v>1744</v>
      </c>
      <c r="R130" t="s">
        <v>1550</v>
      </c>
      <c r="S130" t="s">
        <v>774</v>
      </c>
      <c r="T130" t="s">
        <v>1782</v>
      </c>
      <c r="U130" t="s">
        <v>1911</v>
      </c>
      <c r="V130" t="s">
        <v>1621</v>
      </c>
      <c r="W130" t="s">
        <v>697</v>
      </c>
      <c r="X130" t="s">
        <v>1784</v>
      </c>
      <c r="Y130" t="s">
        <v>93</v>
      </c>
      <c r="Z130" t="s">
        <v>119</v>
      </c>
      <c r="AA130" t="s">
        <v>1912</v>
      </c>
      <c r="AB130" t="s">
        <v>1785</v>
      </c>
      <c r="AC130" t="s">
        <v>1913</v>
      </c>
      <c r="AD130" t="s">
        <v>119</v>
      </c>
      <c r="AE130" t="s">
        <v>1912</v>
      </c>
      <c r="AF130" t="s">
        <v>1785</v>
      </c>
      <c r="AG130" t="s">
        <v>1913</v>
      </c>
      <c r="AH130" t="s">
        <v>1914</v>
      </c>
      <c r="AI130" t="s">
        <v>1915</v>
      </c>
      <c r="AJ130" t="s">
        <v>119</v>
      </c>
      <c r="AK130" t="s">
        <v>99</v>
      </c>
      <c r="AL130" t="s">
        <v>1916</v>
      </c>
      <c r="AM130" t="s">
        <v>1917</v>
      </c>
      <c r="AQ130" t="s">
        <v>1918</v>
      </c>
      <c r="AR130" t="s">
        <v>125</v>
      </c>
      <c r="AT130" t="s">
        <v>1919</v>
      </c>
      <c r="AU130" t="s">
        <v>1772</v>
      </c>
      <c r="AV130" t="s">
        <v>190</v>
      </c>
      <c r="AZ130" t="s">
        <v>80</v>
      </c>
    </row>
    <row r="131" spans="1:52" hidden="1" x14ac:dyDescent="0.25">
      <c r="A131" t="s">
        <v>1920</v>
      </c>
      <c r="B131" t="s">
        <v>1921</v>
      </c>
      <c r="C131" t="s">
        <v>1922</v>
      </c>
      <c r="D131" t="s">
        <v>78</v>
      </c>
      <c r="E131" t="s">
        <v>1923</v>
      </c>
      <c r="F131" t="s">
        <v>1923</v>
      </c>
      <c r="G131" t="s">
        <v>1924</v>
      </c>
      <c r="H131" t="s">
        <v>1925</v>
      </c>
      <c r="J131" t="s">
        <v>80</v>
      </c>
      <c r="K131" t="s">
        <v>81</v>
      </c>
      <c r="L131" t="s">
        <v>111</v>
      </c>
      <c r="M131">
        <v>67327</v>
      </c>
      <c r="P131" t="s">
        <v>134</v>
      </c>
      <c r="Q131" t="s">
        <v>1205</v>
      </c>
      <c r="R131" t="s">
        <v>914</v>
      </c>
      <c r="S131" t="s">
        <v>444</v>
      </c>
      <c r="T131" t="s">
        <v>1849</v>
      </c>
      <c r="U131" t="s">
        <v>1926</v>
      </c>
      <c r="V131" t="s">
        <v>544</v>
      </c>
      <c r="W131" t="s">
        <v>797</v>
      </c>
      <c r="X131" t="s">
        <v>1927</v>
      </c>
      <c r="Y131" t="s">
        <v>93</v>
      </c>
      <c r="Z131" t="s">
        <v>182</v>
      </c>
      <c r="AA131" t="s">
        <v>1928</v>
      </c>
      <c r="AB131" t="s">
        <v>1764</v>
      </c>
      <c r="AC131" t="s">
        <v>1929</v>
      </c>
      <c r="AD131" t="s">
        <v>182</v>
      </c>
      <c r="AE131" t="s">
        <v>1928</v>
      </c>
      <c r="AF131" t="s">
        <v>1764</v>
      </c>
      <c r="AG131" t="s">
        <v>1929</v>
      </c>
      <c r="AI131" t="s">
        <v>1930</v>
      </c>
      <c r="AJ131" t="s">
        <v>182</v>
      </c>
      <c r="AK131" t="s">
        <v>99</v>
      </c>
      <c r="AL131" t="s">
        <v>1931</v>
      </c>
      <c r="AM131" t="s">
        <v>1901</v>
      </c>
      <c r="AQ131" t="s">
        <v>1932</v>
      </c>
      <c r="AR131" t="s">
        <v>125</v>
      </c>
      <c r="AT131" t="s">
        <v>1933</v>
      </c>
      <c r="AU131" t="s">
        <v>1772</v>
      </c>
      <c r="AV131" t="s">
        <v>128</v>
      </c>
      <c r="AZ131" t="s">
        <v>80</v>
      </c>
    </row>
    <row r="132" spans="1:52" hidden="1" x14ac:dyDescent="0.25">
      <c r="A132" t="s">
        <v>1934</v>
      </c>
      <c r="B132" t="s">
        <v>1935</v>
      </c>
      <c r="C132" t="s">
        <v>1936</v>
      </c>
      <c r="D132" t="s">
        <v>78</v>
      </c>
      <c r="E132" t="s">
        <v>1937</v>
      </c>
      <c r="F132" t="s">
        <v>1937</v>
      </c>
      <c r="G132" t="s">
        <v>1938</v>
      </c>
      <c r="H132" t="s">
        <v>1939</v>
      </c>
      <c r="J132" t="s">
        <v>80</v>
      </c>
      <c r="K132" t="s">
        <v>110</v>
      </c>
      <c r="L132" t="s">
        <v>111</v>
      </c>
      <c r="M132">
        <v>67101</v>
      </c>
      <c r="O132" t="s">
        <v>1880</v>
      </c>
      <c r="P132" t="s">
        <v>1819</v>
      </c>
      <c r="Q132" t="s">
        <v>1744</v>
      </c>
      <c r="R132" t="s">
        <v>1550</v>
      </c>
      <c r="S132" t="s">
        <v>774</v>
      </c>
      <c r="T132" t="s">
        <v>1820</v>
      </c>
      <c r="U132" t="s">
        <v>1940</v>
      </c>
      <c r="V132" t="s">
        <v>1364</v>
      </c>
      <c r="W132" t="s">
        <v>161</v>
      </c>
      <c r="X132" t="s">
        <v>1882</v>
      </c>
      <c r="Y132" t="s">
        <v>93</v>
      </c>
      <c r="Z132" t="s">
        <v>119</v>
      </c>
      <c r="AA132" t="s">
        <v>1941</v>
      </c>
      <c r="AB132" t="s">
        <v>1804</v>
      </c>
      <c r="AC132" t="s">
        <v>1942</v>
      </c>
      <c r="AD132" t="s">
        <v>119</v>
      </c>
      <c r="AE132" t="s">
        <v>1941</v>
      </c>
      <c r="AF132" t="s">
        <v>1804</v>
      </c>
      <c r="AG132" t="s">
        <v>1942</v>
      </c>
      <c r="AI132" t="s">
        <v>1943</v>
      </c>
      <c r="AJ132" t="s">
        <v>119</v>
      </c>
      <c r="AK132" t="s">
        <v>99</v>
      </c>
      <c r="AL132" t="s">
        <v>1944</v>
      </c>
      <c r="AM132" t="s">
        <v>1917</v>
      </c>
      <c r="AQ132" t="s">
        <v>1945</v>
      </c>
      <c r="AR132" t="s">
        <v>125</v>
      </c>
      <c r="AT132" t="s">
        <v>1946</v>
      </c>
      <c r="AU132" t="s">
        <v>1947</v>
      </c>
      <c r="AV132" t="s">
        <v>190</v>
      </c>
      <c r="AZ132" t="s">
        <v>80</v>
      </c>
    </row>
    <row r="133" spans="1:52" hidden="1" x14ac:dyDescent="0.25">
      <c r="A133" t="s">
        <v>1948</v>
      </c>
      <c r="B133" t="s">
        <v>1949</v>
      </c>
      <c r="C133" t="s">
        <v>1950</v>
      </c>
      <c r="D133" t="s">
        <v>78</v>
      </c>
      <c r="E133" t="s">
        <v>1951</v>
      </c>
      <c r="F133" t="s">
        <v>1951</v>
      </c>
      <c r="G133" t="s">
        <v>1952</v>
      </c>
      <c r="H133" t="s">
        <v>1953</v>
      </c>
      <c r="J133" t="s">
        <v>80</v>
      </c>
      <c r="K133" t="s">
        <v>81</v>
      </c>
      <c r="L133" t="s">
        <v>111</v>
      </c>
      <c r="M133">
        <v>67325</v>
      </c>
      <c r="P133" t="s">
        <v>134</v>
      </c>
      <c r="Q133" t="s">
        <v>1205</v>
      </c>
      <c r="R133" t="s">
        <v>914</v>
      </c>
      <c r="S133" t="s">
        <v>444</v>
      </c>
      <c r="T133" t="s">
        <v>1761</v>
      </c>
      <c r="U133" t="s">
        <v>1954</v>
      </c>
      <c r="V133" t="s">
        <v>1955</v>
      </c>
      <c r="W133" t="s">
        <v>161</v>
      </c>
      <c r="X133" t="s">
        <v>1835</v>
      </c>
      <c r="Y133" t="s">
        <v>93</v>
      </c>
      <c r="Z133" t="s">
        <v>182</v>
      </c>
      <c r="AA133" t="s">
        <v>1956</v>
      </c>
      <c r="AB133" t="s">
        <v>1764</v>
      </c>
      <c r="AC133" t="s">
        <v>1957</v>
      </c>
      <c r="AD133" t="s">
        <v>182</v>
      </c>
      <c r="AE133" t="s">
        <v>1956</v>
      </c>
      <c r="AF133" t="s">
        <v>1764</v>
      </c>
      <c r="AG133" t="s">
        <v>1957</v>
      </c>
      <c r="AI133" t="s">
        <v>1958</v>
      </c>
      <c r="AJ133" t="s">
        <v>182</v>
      </c>
      <c r="AK133" t="s">
        <v>99</v>
      </c>
      <c r="AL133" t="s">
        <v>1959</v>
      </c>
      <c r="AM133" t="s">
        <v>1960</v>
      </c>
      <c r="AQ133" t="s">
        <v>1961</v>
      </c>
      <c r="AR133" t="s">
        <v>125</v>
      </c>
      <c r="AT133" t="s">
        <v>1962</v>
      </c>
      <c r="AU133" t="s">
        <v>1772</v>
      </c>
      <c r="AV133" t="s">
        <v>128</v>
      </c>
      <c r="AZ133" t="s">
        <v>80</v>
      </c>
    </row>
    <row r="134" spans="1:52" hidden="1" x14ac:dyDescent="0.25">
      <c r="A134" t="s">
        <v>1963</v>
      </c>
      <c r="B134" t="s">
        <v>1964</v>
      </c>
      <c r="C134" t="s">
        <v>1965</v>
      </c>
      <c r="D134" t="s">
        <v>78</v>
      </c>
      <c r="E134" t="s">
        <v>1966</v>
      </c>
      <c r="F134" t="s">
        <v>1966</v>
      </c>
      <c r="G134" t="s">
        <v>1967</v>
      </c>
      <c r="H134" t="s">
        <v>1968</v>
      </c>
      <c r="J134" t="s">
        <v>80</v>
      </c>
      <c r="K134" t="s">
        <v>81</v>
      </c>
      <c r="L134" t="s">
        <v>80</v>
      </c>
      <c r="M134">
        <v>67323</v>
      </c>
      <c r="P134" t="s">
        <v>134</v>
      </c>
      <c r="Q134" t="s">
        <v>1205</v>
      </c>
      <c r="R134" t="s">
        <v>914</v>
      </c>
      <c r="S134" t="s">
        <v>444</v>
      </c>
      <c r="T134" t="s">
        <v>1761</v>
      </c>
      <c r="U134" t="s">
        <v>198</v>
      </c>
      <c r="V134" t="s">
        <v>1969</v>
      </c>
      <c r="W134" t="s">
        <v>697</v>
      </c>
      <c r="X134" t="s">
        <v>1970</v>
      </c>
      <c r="Y134" t="s">
        <v>93</v>
      </c>
      <c r="Z134" t="s">
        <v>182</v>
      </c>
      <c r="AA134" t="s">
        <v>1971</v>
      </c>
      <c r="AB134" t="s">
        <v>1764</v>
      </c>
      <c r="AC134" t="s">
        <v>1972</v>
      </c>
      <c r="AD134" t="s">
        <v>182</v>
      </c>
      <c r="AE134" t="s">
        <v>1971</v>
      </c>
      <c r="AF134" t="s">
        <v>1764</v>
      </c>
      <c r="AG134" t="s">
        <v>1972</v>
      </c>
      <c r="AI134" t="s">
        <v>1973</v>
      </c>
      <c r="AJ134" t="s">
        <v>182</v>
      </c>
      <c r="AK134" t="s">
        <v>99</v>
      </c>
      <c r="AL134" t="s">
        <v>1974</v>
      </c>
      <c r="AM134" t="s">
        <v>1975</v>
      </c>
      <c r="AQ134" t="s">
        <v>1976</v>
      </c>
      <c r="AT134" t="s">
        <v>1977</v>
      </c>
      <c r="AU134" t="s">
        <v>1978</v>
      </c>
      <c r="AV134" t="s">
        <v>128</v>
      </c>
      <c r="AZ134" t="s">
        <v>80</v>
      </c>
    </row>
    <row r="135" spans="1:52" hidden="1" x14ac:dyDescent="0.25">
      <c r="A135" t="s">
        <v>1979</v>
      </c>
      <c r="B135" t="s">
        <v>1980</v>
      </c>
      <c r="C135" t="s">
        <v>1981</v>
      </c>
      <c r="D135" t="s">
        <v>78</v>
      </c>
      <c r="E135" t="s">
        <v>1982</v>
      </c>
      <c r="F135" t="s">
        <v>1982</v>
      </c>
      <c r="G135" t="s">
        <v>1983</v>
      </c>
      <c r="H135" t="s">
        <v>1984</v>
      </c>
      <c r="J135" t="s">
        <v>80</v>
      </c>
      <c r="K135" t="s">
        <v>81</v>
      </c>
      <c r="L135" t="s">
        <v>111</v>
      </c>
      <c r="M135">
        <v>67323</v>
      </c>
      <c r="P135" t="s">
        <v>134</v>
      </c>
      <c r="Q135" t="s">
        <v>1205</v>
      </c>
      <c r="R135" t="s">
        <v>914</v>
      </c>
      <c r="S135" t="s">
        <v>444</v>
      </c>
      <c r="T135" t="s">
        <v>1849</v>
      </c>
      <c r="U135" t="s">
        <v>1985</v>
      </c>
      <c r="V135" t="s">
        <v>1986</v>
      </c>
      <c r="W135" t="s">
        <v>601</v>
      </c>
      <c r="X135" t="s">
        <v>1927</v>
      </c>
      <c r="Y135" t="s">
        <v>1663</v>
      </c>
      <c r="Z135" t="s">
        <v>182</v>
      </c>
      <c r="AA135" t="s">
        <v>1987</v>
      </c>
      <c r="AB135" t="s">
        <v>1764</v>
      </c>
      <c r="AC135" t="s">
        <v>782</v>
      </c>
      <c r="AD135" t="s">
        <v>182</v>
      </c>
      <c r="AE135" t="s">
        <v>1987</v>
      </c>
      <c r="AF135" t="s">
        <v>1764</v>
      </c>
      <c r="AG135" t="s">
        <v>782</v>
      </c>
      <c r="AI135" t="s">
        <v>1988</v>
      </c>
      <c r="AJ135" t="s">
        <v>182</v>
      </c>
      <c r="AK135" t="s">
        <v>99</v>
      </c>
      <c r="AL135" t="s">
        <v>1989</v>
      </c>
      <c r="AM135" t="s">
        <v>1990</v>
      </c>
      <c r="AQ135" t="s">
        <v>1991</v>
      </c>
      <c r="AR135" t="s">
        <v>125</v>
      </c>
      <c r="AT135" t="s">
        <v>1992</v>
      </c>
      <c r="AU135" t="s">
        <v>1993</v>
      </c>
      <c r="AV135" t="s">
        <v>128</v>
      </c>
      <c r="AZ135" t="s">
        <v>80</v>
      </c>
    </row>
    <row r="136" spans="1:52" hidden="1" x14ac:dyDescent="0.25">
      <c r="A136" t="s">
        <v>1994</v>
      </c>
      <c r="B136" t="s">
        <v>1714</v>
      </c>
      <c r="C136" t="s">
        <v>1995</v>
      </c>
      <c r="D136" t="s">
        <v>78</v>
      </c>
      <c r="E136" t="s">
        <v>1996</v>
      </c>
      <c r="F136" t="s">
        <v>1996</v>
      </c>
      <c r="G136" t="s">
        <v>1997</v>
      </c>
      <c r="H136" t="s">
        <v>1998</v>
      </c>
      <c r="J136" t="s">
        <v>80</v>
      </c>
      <c r="K136" t="s">
        <v>81</v>
      </c>
      <c r="L136" t="s">
        <v>111</v>
      </c>
      <c r="M136">
        <v>67321</v>
      </c>
      <c r="P136" t="s">
        <v>134</v>
      </c>
      <c r="Q136" t="s">
        <v>1205</v>
      </c>
      <c r="R136" t="s">
        <v>914</v>
      </c>
      <c r="S136" t="s">
        <v>444</v>
      </c>
      <c r="T136" t="s">
        <v>1999</v>
      </c>
      <c r="U136" t="s">
        <v>1466</v>
      </c>
      <c r="V136" t="s">
        <v>2000</v>
      </c>
      <c r="W136" t="s">
        <v>2001</v>
      </c>
      <c r="X136" t="s">
        <v>2002</v>
      </c>
      <c r="Y136" t="s">
        <v>93</v>
      </c>
      <c r="Z136" t="s">
        <v>2003</v>
      </c>
      <c r="AA136" t="s">
        <v>184</v>
      </c>
      <c r="AB136" t="s">
        <v>1764</v>
      </c>
      <c r="AC136" t="s">
        <v>2004</v>
      </c>
      <c r="AD136" t="s">
        <v>2003</v>
      </c>
      <c r="AE136" t="s">
        <v>184</v>
      </c>
      <c r="AF136" t="s">
        <v>1764</v>
      </c>
      <c r="AG136" t="s">
        <v>2004</v>
      </c>
      <c r="AI136" t="s">
        <v>2005</v>
      </c>
      <c r="AJ136" t="s">
        <v>2003</v>
      </c>
      <c r="AK136" t="s">
        <v>99</v>
      </c>
      <c r="AL136" t="s">
        <v>2006</v>
      </c>
      <c r="AM136" t="s">
        <v>2007</v>
      </c>
      <c r="AP136" t="s">
        <v>1218</v>
      </c>
      <c r="AQ136" t="s">
        <v>2008</v>
      </c>
      <c r="AR136" t="s">
        <v>125</v>
      </c>
      <c r="AT136" t="s">
        <v>2009</v>
      </c>
      <c r="AU136" t="s">
        <v>2010</v>
      </c>
      <c r="AV136" t="s">
        <v>128</v>
      </c>
      <c r="AZ136" t="s">
        <v>80</v>
      </c>
    </row>
    <row r="137" spans="1:52" hidden="1" x14ac:dyDescent="0.25">
      <c r="A137" t="s">
        <v>2011</v>
      </c>
      <c r="B137" t="s">
        <v>1714</v>
      </c>
      <c r="C137" t="s">
        <v>1995</v>
      </c>
      <c r="D137" t="s">
        <v>78</v>
      </c>
      <c r="E137" t="s">
        <v>2012</v>
      </c>
      <c r="F137" t="s">
        <v>2012</v>
      </c>
      <c r="G137" t="s">
        <v>1997</v>
      </c>
      <c r="H137" t="s">
        <v>2013</v>
      </c>
      <c r="J137" t="s">
        <v>80</v>
      </c>
      <c r="K137" t="s">
        <v>81</v>
      </c>
      <c r="L137" t="s">
        <v>111</v>
      </c>
      <c r="M137">
        <v>67321</v>
      </c>
      <c r="P137" t="s">
        <v>134</v>
      </c>
      <c r="Q137" t="s">
        <v>1205</v>
      </c>
      <c r="R137" t="s">
        <v>914</v>
      </c>
      <c r="S137" t="s">
        <v>444</v>
      </c>
      <c r="T137" t="s">
        <v>1999</v>
      </c>
      <c r="U137" t="s">
        <v>2014</v>
      </c>
      <c r="V137" t="s">
        <v>2000</v>
      </c>
      <c r="W137" t="s">
        <v>2015</v>
      </c>
      <c r="X137" t="s">
        <v>2016</v>
      </c>
      <c r="Y137" t="s">
        <v>93</v>
      </c>
      <c r="Z137" t="s">
        <v>2003</v>
      </c>
      <c r="AA137" t="s">
        <v>184</v>
      </c>
      <c r="AB137" t="s">
        <v>1764</v>
      </c>
      <c r="AC137" t="s">
        <v>2004</v>
      </c>
      <c r="AD137" t="s">
        <v>2003</v>
      </c>
      <c r="AE137" t="s">
        <v>184</v>
      </c>
      <c r="AF137" t="s">
        <v>1764</v>
      </c>
      <c r="AG137" t="s">
        <v>2004</v>
      </c>
      <c r="AI137" t="s">
        <v>2005</v>
      </c>
      <c r="AJ137" t="s">
        <v>2003</v>
      </c>
      <c r="AK137" t="s">
        <v>99</v>
      </c>
      <c r="AL137" t="s">
        <v>2017</v>
      </c>
      <c r="AM137" t="s">
        <v>1259</v>
      </c>
      <c r="AP137" t="s">
        <v>1218</v>
      </c>
      <c r="AQ137" t="s">
        <v>2018</v>
      </c>
      <c r="AR137" t="s">
        <v>125</v>
      </c>
      <c r="AT137" t="s">
        <v>2019</v>
      </c>
      <c r="AU137" t="s">
        <v>2010</v>
      </c>
      <c r="AV137" t="s">
        <v>128</v>
      </c>
      <c r="AZ137" t="s">
        <v>80</v>
      </c>
    </row>
    <row r="138" spans="1:52" hidden="1" x14ac:dyDescent="0.25">
      <c r="A138" t="s">
        <v>2020</v>
      </c>
      <c r="B138" t="s">
        <v>2021</v>
      </c>
      <c r="C138" t="s">
        <v>2022</v>
      </c>
      <c r="D138" t="s">
        <v>78</v>
      </c>
      <c r="E138" t="s">
        <v>2023</v>
      </c>
      <c r="F138" t="s">
        <v>2024</v>
      </c>
      <c r="G138" t="s">
        <v>2025</v>
      </c>
      <c r="H138" t="s">
        <v>2026</v>
      </c>
      <c r="J138" t="s">
        <v>80</v>
      </c>
      <c r="K138" t="s">
        <v>538</v>
      </c>
      <c r="L138" t="s">
        <v>111</v>
      </c>
      <c r="M138">
        <v>69107</v>
      </c>
      <c r="O138" t="s">
        <v>2027</v>
      </c>
      <c r="P138" t="s">
        <v>212</v>
      </c>
      <c r="Q138" t="s">
        <v>2028</v>
      </c>
      <c r="R138" t="s">
        <v>2029</v>
      </c>
      <c r="S138" t="s">
        <v>1705</v>
      </c>
      <c r="T138" t="s">
        <v>2030</v>
      </c>
      <c r="U138" t="s">
        <v>1530</v>
      </c>
      <c r="V138" t="s">
        <v>1911</v>
      </c>
      <c r="W138" t="s">
        <v>797</v>
      </c>
      <c r="X138" t="s">
        <v>2031</v>
      </c>
      <c r="Y138" t="s">
        <v>93</v>
      </c>
      <c r="Z138" t="s">
        <v>119</v>
      </c>
      <c r="AA138" t="s">
        <v>1255</v>
      </c>
      <c r="AB138" t="s">
        <v>1213</v>
      </c>
      <c r="AC138" t="s">
        <v>2032</v>
      </c>
      <c r="AD138" t="s">
        <v>119</v>
      </c>
      <c r="AE138" t="s">
        <v>1255</v>
      </c>
      <c r="AF138" t="s">
        <v>1213</v>
      </c>
      <c r="AG138" t="s">
        <v>2032</v>
      </c>
      <c r="AI138" t="s">
        <v>1257</v>
      </c>
      <c r="AJ138" t="s">
        <v>119</v>
      </c>
      <c r="AK138" t="s">
        <v>99</v>
      </c>
      <c r="AL138" t="s">
        <v>2033</v>
      </c>
      <c r="AM138" t="s">
        <v>2034</v>
      </c>
      <c r="AQ138" t="s">
        <v>2035</v>
      </c>
      <c r="AR138" t="s">
        <v>125</v>
      </c>
      <c r="AT138" t="s">
        <v>2036</v>
      </c>
      <c r="AU138" t="s">
        <v>2037</v>
      </c>
      <c r="AV138" t="s">
        <v>190</v>
      </c>
      <c r="AZ138" t="s">
        <v>80</v>
      </c>
    </row>
    <row r="139" spans="1:52" hidden="1" x14ac:dyDescent="0.25">
      <c r="A139" t="s">
        <v>2038</v>
      </c>
      <c r="B139" t="s">
        <v>2039</v>
      </c>
      <c r="C139" t="s">
        <v>2040</v>
      </c>
      <c r="D139" t="s">
        <v>78</v>
      </c>
      <c r="E139" t="s">
        <v>2041</v>
      </c>
      <c r="F139" t="s">
        <v>2041</v>
      </c>
      <c r="G139" t="s">
        <v>2042</v>
      </c>
      <c r="H139" t="s">
        <v>2043</v>
      </c>
      <c r="J139" t="s">
        <v>80</v>
      </c>
      <c r="K139" t="s">
        <v>110</v>
      </c>
      <c r="L139" t="s">
        <v>111</v>
      </c>
      <c r="M139" t="s">
        <v>2044</v>
      </c>
      <c r="P139" t="s">
        <v>154</v>
      </c>
      <c r="Q139" t="s">
        <v>731</v>
      </c>
      <c r="R139" t="s">
        <v>732</v>
      </c>
      <c r="S139" t="s">
        <v>733</v>
      </c>
      <c r="T139" t="s">
        <v>2045</v>
      </c>
      <c r="U139" t="s">
        <v>1746</v>
      </c>
      <c r="V139" t="s">
        <v>2046</v>
      </c>
      <c r="W139" t="s">
        <v>797</v>
      </c>
      <c r="X139" t="s">
        <v>2047</v>
      </c>
      <c r="Y139" t="s">
        <v>93</v>
      </c>
      <c r="Z139" t="s">
        <v>2048</v>
      </c>
      <c r="AA139" t="s">
        <v>2049</v>
      </c>
      <c r="AB139" t="s">
        <v>427</v>
      </c>
      <c r="AC139" t="s">
        <v>2050</v>
      </c>
      <c r="AD139" t="s">
        <v>2048</v>
      </c>
      <c r="AE139" t="s">
        <v>2049</v>
      </c>
      <c r="AF139" t="s">
        <v>427</v>
      </c>
      <c r="AG139" t="s">
        <v>2050</v>
      </c>
      <c r="AI139" t="s">
        <v>2051</v>
      </c>
      <c r="AJ139" t="s">
        <v>2048</v>
      </c>
      <c r="AK139" t="s">
        <v>1751</v>
      </c>
      <c r="AQ139" t="s">
        <v>2052</v>
      </c>
      <c r="AR139" t="s">
        <v>125</v>
      </c>
      <c r="AT139" t="s">
        <v>2053</v>
      </c>
      <c r="AU139" t="s">
        <v>2054</v>
      </c>
      <c r="AV139" t="s">
        <v>128</v>
      </c>
      <c r="AZ139" t="s">
        <v>80</v>
      </c>
    </row>
    <row r="140" spans="1:52" hidden="1" x14ac:dyDescent="0.25">
      <c r="A140" t="s">
        <v>2055</v>
      </c>
      <c r="B140" t="s">
        <v>2056</v>
      </c>
      <c r="C140" t="s">
        <v>2057</v>
      </c>
      <c r="D140" t="s">
        <v>78</v>
      </c>
      <c r="E140" t="s">
        <v>2058</v>
      </c>
      <c r="F140" t="s">
        <v>2058</v>
      </c>
      <c r="G140" t="s">
        <v>2059</v>
      </c>
      <c r="H140" t="s">
        <v>2060</v>
      </c>
      <c r="J140" t="s">
        <v>80</v>
      </c>
      <c r="K140" t="s">
        <v>110</v>
      </c>
      <c r="L140" t="s">
        <v>111</v>
      </c>
      <c r="M140">
        <v>69658</v>
      </c>
      <c r="P140" t="s">
        <v>154</v>
      </c>
      <c r="Q140" t="s">
        <v>731</v>
      </c>
      <c r="R140" t="s">
        <v>732</v>
      </c>
      <c r="S140" t="s">
        <v>733</v>
      </c>
      <c r="T140" t="s">
        <v>2061</v>
      </c>
      <c r="U140" t="s">
        <v>2062</v>
      </c>
      <c r="V140" t="s">
        <v>1622</v>
      </c>
      <c r="W140" t="s">
        <v>697</v>
      </c>
      <c r="X140" t="s">
        <v>2063</v>
      </c>
      <c r="Y140" t="s">
        <v>93</v>
      </c>
      <c r="Z140" t="s">
        <v>2048</v>
      </c>
      <c r="AA140" t="s">
        <v>2049</v>
      </c>
      <c r="AB140" t="s">
        <v>119</v>
      </c>
      <c r="AC140" t="s">
        <v>2064</v>
      </c>
      <c r="AD140" t="s">
        <v>2048</v>
      </c>
      <c r="AE140" t="s">
        <v>2049</v>
      </c>
      <c r="AF140" t="s">
        <v>119</v>
      </c>
      <c r="AG140" t="s">
        <v>2064</v>
      </c>
      <c r="AI140" t="s">
        <v>2051</v>
      </c>
      <c r="AJ140" t="s">
        <v>2048</v>
      </c>
      <c r="AK140" t="s">
        <v>99</v>
      </c>
      <c r="AL140" t="s">
        <v>2065</v>
      </c>
      <c r="AM140" t="s">
        <v>2066</v>
      </c>
      <c r="AQ140" t="s">
        <v>2067</v>
      </c>
      <c r="AR140" t="s">
        <v>125</v>
      </c>
      <c r="AT140" t="s">
        <v>2068</v>
      </c>
      <c r="AU140" t="s">
        <v>2054</v>
      </c>
      <c r="AV140" t="s">
        <v>128</v>
      </c>
      <c r="AZ140" t="s">
        <v>80</v>
      </c>
    </row>
    <row r="141" spans="1:52" hidden="1" x14ac:dyDescent="0.25">
      <c r="A141" t="s">
        <v>2069</v>
      </c>
      <c r="B141" t="s">
        <v>2070</v>
      </c>
      <c r="C141" t="s">
        <v>2071</v>
      </c>
      <c r="D141" t="s">
        <v>78</v>
      </c>
      <c r="E141" t="s">
        <v>2072</v>
      </c>
      <c r="F141" t="s">
        <v>2073</v>
      </c>
      <c r="G141" t="s">
        <v>2074</v>
      </c>
      <c r="H141" t="s">
        <v>2075</v>
      </c>
      <c r="J141" t="s">
        <v>80</v>
      </c>
      <c r="K141" t="s">
        <v>538</v>
      </c>
      <c r="L141" t="s">
        <v>111</v>
      </c>
      <c r="M141">
        <v>69257</v>
      </c>
      <c r="P141" t="s">
        <v>154</v>
      </c>
      <c r="Q141" t="s">
        <v>731</v>
      </c>
      <c r="R141" t="s">
        <v>732</v>
      </c>
      <c r="S141" t="s">
        <v>733</v>
      </c>
      <c r="T141" t="s">
        <v>734</v>
      </c>
      <c r="U141" t="s">
        <v>1141</v>
      </c>
      <c r="V141" t="s">
        <v>2076</v>
      </c>
      <c r="W141" t="s">
        <v>737</v>
      </c>
      <c r="X141" t="s">
        <v>738</v>
      </c>
      <c r="Y141" t="s">
        <v>93</v>
      </c>
      <c r="Z141" t="s">
        <v>119</v>
      </c>
      <c r="AA141" t="s">
        <v>2077</v>
      </c>
      <c r="AB141" t="s">
        <v>739</v>
      </c>
      <c r="AC141" t="s">
        <v>1434</v>
      </c>
      <c r="AD141" t="s">
        <v>119</v>
      </c>
      <c r="AE141" t="s">
        <v>2077</v>
      </c>
      <c r="AF141" t="s">
        <v>739</v>
      </c>
      <c r="AG141" t="s">
        <v>1434</v>
      </c>
      <c r="AI141" t="s">
        <v>2078</v>
      </c>
      <c r="AJ141" t="s">
        <v>119</v>
      </c>
      <c r="AK141" t="s">
        <v>99</v>
      </c>
      <c r="AL141" t="s">
        <v>2079</v>
      </c>
      <c r="AM141" t="s">
        <v>2080</v>
      </c>
      <c r="AQ141" t="s">
        <v>2081</v>
      </c>
      <c r="AR141" t="s">
        <v>125</v>
      </c>
      <c r="AT141" t="s">
        <v>2082</v>
      </c>
      <c r="AU141" t="s">
        <v>2083</v>
      </c>
      <c r="AV141" t="s">
        <v>128</v>
      </c>
      <c r="AZ141" t="s">
        <v>80</v>
      </c>
    </row>
    <row r="142" spans="1:52" hidden="1" x14ac:dyDescent="0.25">
      <c r="A142" t="s">
        <v>2084</v>
      </c>
      <c r="B142" t="s">
        <v>2085</v>
      </c>
      <c r="C142" t="s">
        <v>2086</v>
      </c>
      <c r="D142" t="s">
        <v>78</v>
      </c>
      <c r="E142" t="s">
        <v>2087</v>
      </c>
      <c r="F142" t="s">
        <v>2073</v>
      </c>
      <c r="G142" t="s">
        <v>2074</v>
      </c>
      <c r="H142" t="s">
        <v>2088</v>
      </c>
      <c r="J142" t="s">
        <v>80</v>
      </c>
      <c r="K142" t="s">
        <v>538</v>
      </c>
      <c r="L142" t="s">
        <v>111</v>
      </c>
      <c r="M142">
        <v>69257</v>
      </c>
      <c r="P142" t="s">
        <v>154</v>
      </c>
      <c r="Q142" t="s">
        <v>731</v>
      </c>
      <c r="R142" t="s">
        <v>732</v>
      </c>
      <c r="S142" t="s">
        <v>733</v>
      </c>
      <c r="T142" t="s">
        <v>734</v>
      </c>
      <c r="U142" t="s">
        <v>2089</v>
      </c>
      <c r="V142" t="s">
        <v>2090</v>
      </c>
      <c r="W142" t="s">
        <v>752</v>
      </c>
      <c r="X142" t="s">
        <v>753</v>
      </c>
      <c r="Y142" t="s">
        <v>93</v>
      </c>
      <c r="Z142" t="s">
        <v>119</v>
      </c>
      <c r="AA142" t="s">
        <v>2077</v>
      </c>
      <c r="AB142" t="s">
        <v>739</v>
      </c>
      <c r="AC142" t="s">
        <v>1434</v>
      </c>
      <c r="AD142" t="s">
        <v>119</v>
      </c>
      <c r="AE142" t="s">
        <v>2077</v>
      </c>
      <c r="AF142" t="s">
        <v>739</v>
      </c>
      <c r="AG142" t="s">
        <v>1434</v>
      </c>
      <c r="AI142" t="s">
        <v>2078</v>
      </c>
      <c r="AJ142" t="s">
        <v>119</v>
      </c>
      <c r="AK142" t="s">
        <v>99</v>
      </c>
      <c r="AL142" t="s">
        <v>2091</v>
      </c>
      <c r="AM142" t="s">
        <v>2092</v>
      </c>
      <c r="AQ142" t="s">
        <v>2093</v>
      </c>
      <c r="AR142" t="s">
        <v>125</v>
      </c>
      <c r="AT142" t="s">
        <v>2094</v>
      </c>
      <c r="AU142" t="s">
        <v>2083</v>
      </c>
      <c r="AV142" t="s">
        <v>128</v>
      </c>
      <c r="AZ142" t="s">
        <v>80</v>
      </c>
    </row>
    <row r="143" spans="1:52" hidden="1" x14ac:dyDescent="0.25">
      <c r="A143" t="s">
        <v>2095</v>
      </c>
      <c r="B143" t="s">
        <v>2096</v>
      </c>
      <c r="C143" t="s">
        <v>2097</v>
      </c>
      <c r="D143" t="s">
        <v>78</v>
      </c>
      <c r="E143" t="s">
        <v>2098</v>
      </c>
      <c r="F143" t="s">
        <v>2099</v>
      </c>
      <c r="G143" t="s">
        <v>2099</v>
      </c>
      <c r="H143" t="s">
        <v>2100</v>
      </c>
      <c r="J143" t="s">
        <v>80</v>
      </c>
      <c r="K143" t="s">
        <v>110</v>
      </c>
      <c r="L143" t="s">
        <v>111</v>
      </c>
      <c r="M143">
        <v>60780</v>
      </c>
      <c r="P143" t="s">
        <v>154</v>
      </c>
      <c r="Q143" t="s">
        <v>539</v>
      </c>
      <c r="R143" t="s">
        <v>540</v>
      </c>
      <c r="S143" t="s">
        <v>541</v>
      </c>
      <c r="T143" t="s">
        <v>562</v>
      </c>
      <c r="U143" t="s">
        <v>544</v>
      </c>
      <c r="V143" t="s">
        <v>564</v>
      </c>
      <c r="W143" t="s">
        <v>797</v>
      </c>
      <c r="X143" t="s">
        <v>798</v>
      </c>
      <c r="Y143" t="s">
        <v>93</v>
      </c>
      <c r="Z143" t="s">
        <v>567</v>
      </c>
      <c r="AA143" t="s">
        <v>2101</v>
      </c>
      <c r="AB143" t="s">
        <v>119</v>
      </c>
      <c r="AC143" t="s">
        <v>2102</v>
      </c>
      <c r="AD143" t="s">
        <v>567</v>
      </c>
      <c r="AE143" t="s">
        <v>2101</v>
      </c>
      <c r="AF143" t="s">
        <v>119</v>
      </c>
      <c r="AG143" t="s">
        <v>2102</v>
      </c>
      <c r="AI143" t="s">
        <v>2103</v>
      </c>
      <c r="AJ143" t="s">
        <v>567</v>
      </c>
      <c r="AK143" t="s">
        <v>99</v>
      </c>
      <c r="AL143" t="s">
        <v>2104</v>
      </c>
      <c r="AM143" t="s">
        <v>2105</v>
      </c>
      <c r="AQ143" t="s">
        <v>2106</v>
      </c>
      <c r="AR143" t="s">
        <v>125</v>
      </c>
      <c r="AT143" t="s">
        <v>2107</v>
      </c>
      <c r="AU143" t="s">
        <v>2108</v>
      </c>
      <c r="AV143" t="s">
        <v>128</v>
      </c>
      <c r="AZ143" t="s">
        <v>80</v>
      </c>
    </row>
    <row r="144" spans="1:52" hidden="1" x14ac:dyDescent="0.25">
      <c r="A144" t="s">
        <v>2109</v>
      </c>
      <c r="B144" t="s">
        <v>2110</v>
      </c>
      <c r="C144" t="s">
        <v>2111</v>
      </c>
      <c r="D144" t="s">
        <v>78</v>
      </c>
      <c r="E144" t="s">
        <v>2112</v>
      </c>
      <c r="F144" t="s">
        <v>2113</v>
      </c>
      <c r="G144" t="s">
        <v>2113</v>
      </c>
      <c r="H144" t="s">
        <v>2114</v>
      </c>
      <c r="J144" t="s">
        <v>80</v>
      </c>
      <c r="K144" t="s">
        <v>110</v>
      </c>
      <c r="L144" t="s">
        <v>111</v>
      </c>
      <c r="M144">
        <v>60761</v>
      </c>
      <c r="P144" t="s">
        <v>154</v>
      </c>
      <c r="Q144" t="s">
        <v>539</v>
      </c>
      <c r="R144" t="s">
        <v>540</v>
      </c>
      <c r="S144" t="s">
        <v>541</v>
      </c>
      <c r="T144" t="s">
        <v>562</v>
      </c>
      <c r="U144" t="s">
        <v>2115</v>
      </c>
      <c r="V144" t="s">
        <v>583</v>
      </c>
      <c r="W144" t="s">
        <v>2116</v>
      </c>
      <c r="X144" t="s">
        <v>2117</v>
      </c>
      <c r="Y144" t="s">
        <v>93</v>
      </c>
      <c r="Z144" t="s">
        <v>119</v>
      </c>
      <c r="AA144" t="s">
        <v>2118</v>
      </c>
      <c r="AB144" t="s">
        <v>567</v>
      </c>
      <c r="AC144" t="s">
        <v>2119</v>
      </c>
      <c r="AD144" t="s">
        <v>119</v>
      </c>
      <c r="AE144" t="s">
        <v>2118</v>
      </c>
      <c r="AF144" t="s">
        <v>567</v>
      </c>
      <c r="AG144" t="s">
        <v>2119</v>
      </c>
      <c r="AI144" t="s">
        <v>2120</v>
      </c>
      <c r="AJ144" t="s">
        <v>119</v>
      </c>
      <c r="AK144" t="s">
        <v>99</v>
      </c>
      <c r="AL144" t="s">
        <v>2121</v>
      </c>
      <c r="AM144" t="s">
        <v>2122</v>
      </c>
      <c r="AQ144" t="s">
        <v>2123</v>
      </c>
      <c r="AR144" t="s">
        <v>125</v>
      </c>
      <c r="AT144" t="s">
        <v>2124</v>
      </c>
      <c r="AU144" t="s">
        <v>2108</v>
      </c>
      <c r="AV144" t="s">
        <v>128</v>
      </c>
      <c r="AZ144" t="s">
        <v>80</v>
      </c>
    </row>
    <row r="145" spans="1:52" hidden="1" x14ac:dyDescent="0.25">
      <c r="A145" t="s">
        <v>2125</v>
      </c>
      <c r="B145" t="s">
        <v>2110</v>
      </c>
      <c r="C145" t="s">
        <v>2126</v>
      </c>
      <c r="D145" t="s">
        <v>78</v>
      </c>
      <c r="E145" t="s">
        <v>2127</v>
      </c>
      <c r="F145" t="s">
        <v>2113</v>
      </c>
      <c r="G145" t="s">
        <v>2113</v>
      </c>
      <c r="H145" t="s">
        <v>2128</v>
      </c>
      <c r="J145" t="s">
        <v>80</v>
      </c>
      <c r="K145" t="s">
        <v>110</v>
      </c>
      <c r="L145" t="s">
        <v>111</v>
      </c>
      <c r="M145">
        <v>60761</v>
      </c>
      <c r="P145" t="s">
        <v>154</v>
      </c>
      <c r="Q145" t="s">
        <v>539</v>
      </c>
      <c r="R145" t="s">
        <v>540</v>
      </c>
      <c r="S145" t="s">
        <v>541</v>
      </c>
      <c r="T145" t="s">
        <v>562</v>
      </c>
      <c r="U145" t="s">
        <v>2115</v>
      </c>
      <c r="V145" t="s">
        <v>583</v>
      </c>
      <c r="W145" t="s">
        <v>2129</v>
      </c>
      <c r="X145" t="s">
        <v>2130</v>
      </c>
      <c r="Y145" t="s">
        <v>93</v>
      </c>
      <c r="Z145" t="s">
        <v>119</v>
      </c>
      <c r="AA145" t="s">
        <v>2118</v>
      </c>
      <c r="AB145" t="s">
        <v>567</v>
      </c>
      <c r="AC145" t="s">
        <v>2119</v>
      </c>
      <c r="AD145" t="s">
        <v>119</v>
      </c>
      <c r="AE145" t="s">
        <v>2118</v>
      </c>
      <c r="AF145" t="s">
        <v>567</v>
      </c>
      <c r="AG145" t="s">
        <v>2119</v>
      </c>
      <c r="AI145" t="s">
        <v>2120</v>
      </c>
      <c r="AJ145" t="s">
        <v>119</v>
      </c>
      <c r="AK145" t="s">
        <v>99</v>
      </c>
      <c r="AL145" t="s">
        <v>2131</v>
      </c>
      <c r="AM145" t="s">
        <v>2132</v>
      </c>
      <c r="AQ145" t="s">
        <v>2133</v>
      </c>
      <c r="AR145" t="s">
        <v>125</v>
      </c>
      <c r="AT145" t="s">
        <v>2134</v>
      </c>
      <c r="AU145" t="s">
        <v>2108</v>
      </c>
      <c r="AV145" t="s">
        <v>128</v>
      </c>
      <c r="AZ145" t="s">
        <v>80</v>
      </c>
    </row>
    <row r="146" spans="1:52" hidden="1" x14ac:dyDescent="0.25">
      <c r="A146" t="s">
        <v>1377</v>
      </c>
      <c r="B146" t="s">
        <v>2135</v>
      </c>
      <c r="C146" t="s">
        <v>2136</v>
      </c>
      <c r="D146" t="s">
        <v>78</v>
      </c>
      <c r="E146" t="s">
        <v>2137</v>
      </c>
      <c r="F146" t="s">
        <v>2138</v>
      </c>
      <c r="G146" t="s">
        <v>2139</v>
      </c>
      <c r="H146" t="s">
        <v>2140</v>
      </c>
      <c r="J146" t="s">
        <v>80</v>
      </c>
      <c r="K146" t="s">
        <v>538</v>
      </c>
      <c r="L146" t="s">
        <v>111</v>
      </c>
      <c r="M146">
        <v>69240</v>
      </c>
      <c r="P146" t="s">
        <v>154</v>
      </c>
      <c r="Q146" t="s">
        <v>731</v>
      </c>
      <c r="R146" t="s">
        <v>732</v>
      </c>
      <c r="S146" t="s">
        <v>733</v>
      </c>
      <c r="T146" t="s">
        <v>734</v>
      </c>
      <c r="U146" t="s">
        <v>1288</v>
      </c>
      <c r="V146" t="s">
        <v>2141</v>
      </c>
      <c r="W146" t="s">
        <v>752</v>
      </c>
      <c r="X146" t="s">
        <v>753</v>
      </c>
      <c r="Y146" t="s">
        <v>93</v>
      </c>
      <c r="Z146" t="s">
        <v>739</v>
      </c>
      <c r="AA146" t="s">
        <v>2142</v>
      </c>
      <c r="AB146" t="s">
        <v>119</v>
      </c>
      <c r="AC146" t="s">
        <v>2119</v>
      </c>
      <c r="AD146" t="s">
        <v>739</v>
      </c>
      <c r="AE146" t="s">
        <v>2142</v>
      </c>
      <c r="AF146" t="s">
        <v>119</v>
      </c>
      <c r="AG146" t="s">
        <v>2119</v>
      </c>
      <c r="AI146" t="s">
        <v>2143</v>
      </c>
      <c r="AJ146" t="s">
        <v>739</v>
      </c>
      <c r="AK146" t="s">
        <v>99</v>
      </c>
      <c r="AL146" t="s">
        <v>2144</v>
      </c>
      <c r="AM146" t="s">
        <v>2145</v>
      </c>
      <c r="AQ146" t="s">
        <v>2146</v>
      </c>
      <c r="AR146" t="s">
        <v>125</v>
      </c>
      <c r="AT146" t="s">
        <v>2147</v>
      </c>
      <c r="AU146" t="s">
        <v>2083</v>
      </c>
      <c r="AV146" t="s">
        <v>128</v>
      </c>
      <c r="AZ146" t="s">
        <v>80</v>
      </c>
    </row>
    <row r="147" spans="1:52" hidden="1" x14ac:dyDescent="0.25">
      <c r="A147" t="s">
        <v>2148</v>
      </c>
      <c r="B147" t="s">
        <v>2135</v>
      </c>
      <c r="C147" t="s">
        <v>2149</v>
      </c>
      <c r="D147" t="s">
        <v>78</v>
      </c>
      <c r="E147" t="s">
        <v>2150</v>
      </c>
      <c r="F147" t="s">
        <v>2138</v>
      </c>
      <c r="G147" t="s">
        <v>2139</v>
      </c>
      <c r="H147" t="s">
        <v>2151</v>
      </c>
      <c r="J147" t="s">
        <v>80</v>
      </c>
      <c r="K147" t="s">
        <v>538</v>
      </c>
      <c r="L147" t="s">
        <v>111</v>
      </c>
      <c r="M147">
        <v>69240</v>
      </c>
      <c r="P147" t="s">
        <v>154</v>
      </c>
      <c r="Q147" t="s">
        <v>731</v>
      </c>
      <c r="R147" t="s">
        <v>732</v>
      </c>
      <c r="S147" t="s">
        <v>733</v>
      </c>
      <c r="T147" t="s">
        <v>734</v>
      </c>
      <c r="U147" t="s">
        <v>1288</v>
      </c>
      <c r="V147" t="s">
        <v>2141</v>
      </c>
      <c r="W147" t="s">
        <v>737</v>
      </c>
      <c r="X147" t="s">
        <v>738</v>
      </c>
      <c r="Y147" t="s">
        <v>93</v>
      </c>
      <c r="Z147" t="s">
        <v>739</v>
      </c>
      <c r="AA147" t="s">
        <v>2142</v>
      </c>
      <c r="AB147" t="s">
        <v>119</v>
      </c>
      <c r="AC147" t="s">
        <v>2119</v>
      </c>
      <c r="AD147" t="s">
        <v>739</v>
      </c>
      <c r="AE147" t="s">
        <v>2142</v>
      </c>
      <c r="AF147" t="s">
        <v>119</v>
      </c>
      <c r="AG147" t="s">
        <v>2119</v>
      </c>
      <c r="AI147" t="s">
        <v>2143</v>
      </c>
      <c r="AJ147" t="s">
        <v>739</v>
      </c>
      <c r="AK147" t="s">
        <v>99</v>
      </c>
      <c r="AL147" t="s">
        <v>2152</v>
      </c>
      <c r="AM147" t="s">
        <v>2145</v>
      </c>
      <c r="AQ147" t="s">
        <v>2153</v>
      </c>
      <c r="AR147" t="s">
        <v>125</v>
      </c>
      <c r="AT147" t="s">
        <v>2154</v>
      </c>
      <c r="AU147" t="s">
        <v>2083</v>
      </c>
      <c r="AV147" t="s">
        <v>128</v>
      </c>
      <c r="AZ147" t="s">
        <v>80</v>
      </c>
    </row>
    <row r="148" spans="1:52" hidden="1" x14ac:dyDescent="0.25">
      <c r="A148" t="s">
        <v>2155</v>
      </c>
      <c r="B148" t="s">
        <v>2156</v>
      </c>
      <c r="C148" t="s">
        <v>2157</v>
      </c>
      <c r="D148" t="s">
        <v>78</v>
      </c>
      <c r="E148" t="s">
        <v>2158</v>
      </c>
      <c r="F148" t="s">
        <v>2159</v>
      </c>
      <c r="G148" t="s">
        <v>2159</v>
      </c>
      <c r="H148" t="s">
        <v>2160</v>
      </c>
      <c r="J148" t="s">
        <v>80</v>
      </c>
      <c r="K148" t="s">
        <v>81</v>
      </c>
      <c r="L148" t="s">
        <v>111</v>
      </c>
      <c r="M148" t="s">
        <v>2161</v>
      </c>
      <c r="O148" t="s">
        <v>2162</v>
      </c>
      <c r="P148" t="s">
        <v>154</v>
      </c>
      <c r="Q148" t="s">
        <v>155</v>
      </c>
      <c r="R148" t="s">
        <v>156</v>
      </c>
      <c r="S148" t="s">
        <v>157</v>
      </c>
      <c r="T148" t="s">
        <v>2163</v>
      </c>
      <c r="U148" t="s">
        <v>114</v>
      </c>
      <c r="V148" t="s">
        <v>2164</v>
      </c>
      <c r="W148" t="s">
        <v>797</v>
      </c>
      <c r="X148" t="s">
        <v>2165</v>
      </c>
      <c r="Y148" t="s">
        <v>93</v>
      </c>
      <c r="Z148" t="s">
        <v>249</v>
      </c>
      <c r="AA148" t="s">
        <v>2166</v>
      </c>
      <c r="AB148" t="s">
        <v>119</v>
      </c>
      <c r="AC148" t="s">
        <v>2167</v>
      </c>
      <c r="AD148" t="s">
        <v>249</v>
      </c>
      <c r="AE148" t="s">
        <v>2166</v>
      </c>
      <c r="AF148" t="s">
        <v>119</v>
      </c>
      <c r="AG148" t="s">
        <v>2167</v>
      </c>
      <c r="AI148" t="s">
        <v>2168</v>
      </c>
      <c r="AJ148" t="s">
        <v>249</v>
      </c>
      <c r="AK148" t="s">
        <v>99</v>
      </c>
      <c r="AL148" t="s">
        <v>2169</v>
      </c>
      <c r="AM148" t="s">
        <v>2170</v>
      </c>
      <c r="AQ148" t="s">
        <v>2171</v>
      </c>
      <c r="AR148" t="s">
        <v>125</v>
      </c>
      <c r="AT148" t="s">
        <v>2172</v>
      </c>
      <c r="AU148" t="s">
        <v>2173</v>
      </c>
      <c r="AV148" t="s">
        <v>128</v>
      </c>
      <c r="AZ148" t="s">
        <v>80</v>
      </c>
    </row>
    <row r="149" spans="1:52" hidden="1" x14ac:dyDescent="0.25">
      <c r="A149" t="s">
        <v>2174</v>
      </c>
      <c r="B149" t="s">
        <v>2175</v>
      </c>
      <c r="C149" t="s">
        <v>2176</v>
      </c>
      <c r="D149" t="s">
        <v>78</v>
      </c>
      <c r="E149" t="s">
        <v>2177</v>
      </c>
      <c r="F149" t="s">
        <v>2178</v>
      </c>
      <c r="G149" t="s">
        <v>2178</v>
      </c>
      <c r="H149" t="s">
        <v>2179</v>
      </c>
      <c r="J149" t="s">
        <v>80</v>
      </c>
      <c r="K149" t="s">
        <v>81</v>
      </c>
      <c r="L149" t="s">
        <v>111</v>
      </c>
      <c r="M149" t="s">
        <v>2180</v>
      </c>
      <c r="O149" t="s">
        <v>2162</v>
      </c>
      <c r="P149" t="s">
        <v>154</v>
      </c>
      <c r="Q149" t="s">
        <v>155</v>
      </c>
      <c r="R149" t="s">
        <v>156</v>
      </c>
      <c r="S149" t="s">
        <v>157</v>
      </c>
      <c r="T149" t="s">
        <v>2163</v>
      </c>
      <c r="U149" t="s">
        <v>114</v>
      </c>
      <c r="V149" t="s">
        <v>2181</v>
      </c>
      <c r="W149" t="s">
        <v>797</v>
      </c>
      <c r="X149" t="s">
        <v>2165</v>
      </c>
      <c r="Y149" t="s">
        <v>93</v>
      </c>
      <c r="Z149" t="s">
        <v>249</v>
      </c>
      <c r="AA149" t="s">
        <v>2182</v>
      </c>
      <c r="AB149" t="s">
        <v>119</v>
      </c>
      <c r="AC149" t="s">
        <v>2183</v>
      </c>
      <c r="AD149" t="s">
        <v>249</v>
      </c>
      <c r="AE149" t="s">
        <v>2182</v>
      </c>
      <c r="AF149" t="s">
        <v>119</v>
      </c>
      <c r="AG149" t="s">
        <v>2183</v>
      </c>
      <c r="AI149" t="s">
        <v>2184</v>
      </c>
      <c r="AJ149" t="s">
        <v>249</v>
      </c>
      <c r="AK149" t="s">
        <v>99</v>
      </c>
      <c r="AL149" t="s">
        <v>2185</v>
      </c>
      <c r="AM149" t="s">
        <v>2186</v>
      </c>
      <c r="AQ149" t="s">
        <v>2187</v>
      </c>
      <c r="AR149" t="s">
        <v>125</v>
      </c>
      <c r="AT149" t="s">
        <v>2188</v>
      </c>
      <c r="AU149" t="s">
        <v>2173</v>
      </c>
      <c r="AV149" t="s">
        <v>128</v>
      </c>
      <c r="AZ149" t="s">
        <v>80</v>
      </c>
    </row>
    <row r="150" spans="1:52" hidden="1" x14ac:dyDescent="0.25">
      <c r="A150" t="s">
        <v>2189</v>
      </c>
      <c r="B150" t="s">
        <v>2190</v>
      </c>
      <c r="C150" t="s">
        <v>2191</v>
      </c>
      <c r="D150" t="s">
        <v>78</v>
      </c>
      <c r="E150" t="s">
        <v>2192</v>
      </c>
      <c r="F150" t="s">
        <v>2193</v>
      </c>
      <c r="G150" t="s">
        <v>2193</v>
      </c>
      <c r="H150" t="s">
        <v>2194</v>
      </c>
      <c r="J150" t="s">
        <v>80</v>
      </c>
      <c r="K150" t="s">
        <v>110</v>
      </c>
      <c r="L150" t="s">
        <v>111</v>
      </c>
      <c r="M150">
        <v>66130</v>
      </c>
      <c r="O150" t="s">
        <v>2195</v>
      </c>
      <c r="P150" t="s">
        <v>212</v>
      </c>
      <c r="Q150" t="s">
        <v>1284</v>
      </c>
      <c r="R150" t="s">
        <v>1285</v>
      </c>
      <c r="S150" t="s">
        <v>1124</v>
      </c>
      <c r="T150" t="s">
        <v>158</v>
      </c>
      <c r="U150" t="s">
        <v>2196</v>
      </c>
      <c r="V150" t="s">
        <v>2197</v>
      </c>
      <c r="W150" t="s">
        <v>161</v>
      </c>
      <c r="X150" t="s">
        <v>162</v>
      </c>
      <c r="Y150" t="s">
        <v>93</v>
      </c>
      <c r="Z150" t="s">
        <v>163</v>
      </c>
      <c r="AA150" t="s">
        <v>2198</v>
      </c>
      <c r="AB150" t="s">
        <v>119</v>
      </c>
      <c r="AC150" t="s">
        <v>2199</v>
      </c>
      <c r="AD150" t="s">
        <v>163</v>
      </c>
      <c r="AE150" t="s">
        <v>2198</v>
      </c>
      <c r="AF150" t="s">
        <v>119</v>
      </c>
      <c r="AG150" t="s">
        <v>2199</v>
      </c>
      <c r="AI150" t="s">
        <v>2200</v>
      </c>
      <c r="AJ150" t="s">
        <v>163</v>
      </c>
      <c r="AK150" t="s">
        <v>99</v>
      </c>
      <c r="AL150" t="s">
        <v>2201</v>
      </c>
      <c r="AM150" t="s">
        <v>2202</v>
      </c>
      <c r="AQ150" t="s">
        <v>2203</v>
      </c>
      <c r="AR150" t="s">
        <v>125</v>
      </c>
      <c r="AT150" t="s">
        <v>2204</v>
      </c>
      <c r="AU150" t="s">
        <v>2205</v>
      </c>
      <c r="AV150" t="s">
        <v>190</v>
      </c>
      <c r="AZ150" t="s">
        <v>80</v>
      </c>
    </row>
    <row r="151" spans="1:52" hidden="1" x14ac:dyDescent="0.25">
      <c r="A151" t="s">
        <v>2206</v>
      </c>
      <c r="B151" t="s">
        <v>2207</v>
      </c>
      <c r="C151" t="s">
        <v>2208</v>
      </c>
      <c r="D151" t="s">
        <v>78</v>
      </c>
      <c r="E151" t="s">
        <v>2209</v>
      </c>
      <c r="F151" t="s">
        <v>2210</v>
      </c>
      <c r="G151" t="s">
        <v>2210</v>
      </c>
      <c r="H151" t="s">
        <v>2211</v>
      </c>
      <c r="J151" t="s">
        <v>80</v>
      </c>
      <c r="K151" t="s">
        <v>81</v>
      </c>
      <c r="L151" t="s">
        <v>111</v>
      </c>
      <c r="M151" t="s">
        <v>2212</v>
      </c>
      <c r="O151" t="s">
        <v>2162</v>
      </c>
      <c r="P151" t="s">
        <v>154</v>
      </c>
      <c r="Q151" t="s">
        <v>155</v>
      </c>
      <c r="R151" t="s">
        <v>156</v>
      </c>
      <c r="S151" t="s">
        <v>157</v>
      </c>
      <c r="T151" t="s">
        <v>2163</v>
      </c>
      <c r="U151" t="s">
        <v>114</v>
      </c>
      <c r="V151" t="s">
        <v>2213</v>
      </c>
      <c r="W151" t="s">
        <v>797</v>
      </c>
      <c r="X151" t="s">
        <v>2165</v>
      </c>
      <c r="Y151" t="s">
        <v>93</v>
      </c>
      <c r="Z151" t="s">
        <v>249</v>
      </c>
      <c r="AA151" t="s">
        <v>2214</v>
      </c>
      <c r="AB151" t="s">
        <v>119</v>
      </c>
      <c r="AC151" t="s">
        <v>2215</v>
      </c>
      <c r="AD151" t="s">
        <v>249</v>
      </c>
      <c r="AE151" t="s">
        <v>2214</v>
      </c>
      <c r="AF151" t="s">
        <v>119</v>
      </c>
      <c r="AG151" t="s">
        <v>2215</v>
      </c>
      <c r="AI151" t="s">
        <v>2216</v>
      </c>
      <c r="AJ151" t="s">
        <v>249</v>
      </c>
      <c r="AK151" t="s">
        <v>99</v>
      </c>
      <c r="AL151" t="s">
        <v>2217</v>
      </c>
      <c r="AM151" t="s">
        <v>2218</v>
      </c>
      <c r="AQ151" t="s">
        <v>2219</v>
      </c>
      <c r="AR151" t="s">
        <v>125</v>
      </c>
      <c r="AT151" t="s">
        <v>2220</v>
      </c>
      <c r="AU151" t="s">
        <v>2173</v>
      </c>
      <c r="AV151" t="s">
        <v>128</v>
      </c>
      <c r="AZ151" t="s">
        <v>80</v>
      </c>
    </row>
    <row r="152" spans="1:52" hidden="1" x14ac:dyDescent="0.25">
      <c r="A152" t="s">
        <v>2221</v>
      </c>
      <c r="B152" t="s">
        <v>2222</v>
      </c>
      <c r="C152" t="s">
        <v>2223</v>
      </c>
      <c r="D152" t="s">
        <v>78</v>
      </c>
      <c r="E152" t="s">
        <v>2224</v>
      </c>
      <c r="F152" t="s">
        <v>2225</v>
      </c>
      <c r="G152" t="s">
        <v>2225</v>
      </c>
      <c r="H152" t="s">
        <v>2226</v>
      </c>
      <c r="J152" t="s">
        <v>80</v>
      </c>
      <c r="K152" t="s">
        <v>81</v>
      </c>
      <c r="L152" t="s">
        <v>111</v>
      </c>
      <c r="M152" t="s">
        <v>2227</v>
      </c>
      <c r="O152" t="s">
        <v>2162</v>
      </c>
      <c r="P152" t="s">
        <v>154</v>
      </c>
      <c r="Q152" t="s">
        <v>155</v>
      </c>
      <c r="R152" t="s">
        <v>156</v>
      </c>
      <c r="S152" t="s">
        <v>157</v>
      </c>
      <c r="T152" t="s">
        <v>2163</v>
      </c>
      <c r="U152" t="s">
        <v>2076</v>
      </c>
      <c r="V152" t="s">
        <v>2181</v>
      </c>
      <c r="W152" t="s">
        <v>797</v>
      </c>
      <c r="X152" t="s">
        <v>2165</v>
      </c>
      <c r="Y152" t="s">
        <v>93</v>
      </c>
      <c r="Z152" t="s">
        <v>249</v>
      </c>
      <c r="AA152" t="s">
        <v>2228</v>
      </c>
      <c r="AB152" t="s">
        <v>119</v>
      </c>
      <c r="AC152" t="s">
        <v>2229</v>
      </c>
      <c r="AD152" t="s">
        <v>249</v>
      </c>
      <c r="AE152" t="s">
        <v>2228</v>
      </c>
      <c r="AF152" t="s">
        <v>119</v>
      </c>
      <c r="AG152" t="s">
        <v>2229</v>
      </c>
      <c r="AI152" t="s">
        <v>2230</v>
      </c>
      <c r="AJ152" t="s">
        <v>249</v>
      </c>
      <c r="AK152" t="s">
        <v>99</v>
      </c>
      <c r="AL152" t="s">
        <v>2231</v>
      </c>
      <c r="AM152" t="s">
        <v>2232</v>
      </c>
      <c r="AQ152" t="s">
        <v>2233</v>
      </c>
      <c r="AR152" t="s">
        <v>125</v>
      </c>
      <c r="AT152" t="s">
        <v>2234</v>
      </c>
      <c r="AU152" t="s">
        <v>2173</v>
      </c>
      <c r="AV152" t="s">
        <v>128</v>
      </c>
      <c r="AZ152" t="s">
        <v>80</v>
      </c>
    </row>
    <row r="153" spans="1:52" hidden="1" x14ac:dyDescent="0.25">
      <c r="A153" t="s">
        <v>86</v>
      </c>
      <c r="B153" t="s">
        <v>2235</v>
      </c>
      <c r="C153" t="s">
        <v>2236</v>
      </c>
      <c r="D153" t="s">
        <v>78</v>
      </c>
      <c r="E153" t="s">
        <v>2237</v>
      </c>
      <c r="F153" t="s">
        <v>2238</v>
      </c>
      <c r="G153" t="s">
        <v>2238</v>
      </c>
      <c r="H153" t="s">
        <v>2239</v>
      </c>
      <c r="J153" t="s">
        <v>80</v>
      </c>
      <c r="K153" t="s">
        <v>81</v>
      </c>
      <c r="L153" t="s">
        <v>111</v>
      </c>
      <c r="M153" t="s">
        <v>2240</v>
      </c>
      <c r="O153" t="s">
        <v>2162</v>
      </c>
      <c r="P153" t="s">
        <v>154</v>
      </c>
      <c r="Q153" t="s">
        <v>539</v>
      </c>
      <c r="R153" t="s">
        <v>540</v>
      </c>
      <c r="S153" t="s">
        <v>541</v>
      </c>
      <c r="T153" t="s">
        <v>2163</v>
      </c>
      <c r="U153" t="s">
        <v>2241</v>
      </c>
      <c r="V153" t="s">
        <v>2242</v>
      </c>
      <c r="W153" t="s">
        <v>697</v>
      </c>
      <c r="X153" t="s">
        <v>2243</v>
      </c>
      <c r="Y153" t="s">
        <v>93</v>
      </c>
      <c r="Z153" t="s">
        <v>249</v>
      </c>
      <c r="AA153" t="s">
        <v>2244</v>
      </c>
      <c r="AB153" t="s">
        <v>119</v>
      </c>
      <c r="AC153" t="s">
        <v>2245</v>
      </c>
      <c r="AD153" t="s">
        <v>249</v>
      </c>
      <c r="AE153" t="s">
        <v>2244</v>
      </c>
      <c r="AF153" t="s">
        <v>119</v>
      </c>
      <c r="AG153" t="s">
        <v>2245</v>
      </c>
      <c r="AI153" t="s">
        <v>2246</v>
      </c>
      <c r="AJ153" t="s">
        <v>249</v>
      </c>
      <c r="AK153" t="s">
        <v>99</v>
      </c>
      <c r="AL153" t="s">
        <v>2247</v>
      </c>
      <c r="AM153" t="s">
        <v>2248</v>
      </c>
      <c r="AQ153" t="s">
        <v>2249</v>
      </c>
      <c r="AR153" t="s">
        <v>125</v>
      </c>
      <c r="AT153" t="s">
        <v>2250</v>
      </c>
      <c r="AU153" t="s">
        <v>2251</v>
      </c>
      <c r="AV153" t="s">
        <v>128</v>
      </c>
      <c r="AW153" t="s">
        <v>2252</v>
      </c>
      <c r="AZ153" t="s">
        <v>80</v>
      </c>
    </row>
    <row r="154" spans="1:52" hidden="1" x14ac:dyDescent="0.25">
      <c r="A154" t="s">
        <v>2253</v>
      </c>
      <c r="B154" t="s">
        <v>2254</v>
      </c>
      <c r="C154" t="s">
        <v>2255</v>
      </c>
      <c r="D154" t="s">
        <v>78</v>
      </c>
      <c r="E154" t="s">
        <v>2256</v>
      </c>
      <c r="F154" t="s">
        <v>2257</v>
      </c>
      <c r="G154" t="s">
        <v>2257</v>
      </c>
      <c r="H154" t="s">
        <v>2258</v>
      </c>
      <c r="J154" t="s">
        <v>80</v>
      </c>
      <c r="K154" t="s">
        <v>81</v>
      </c>
      <c r="L154" t="s">
        <v>111</v>
      </c>
      <c r="M154" t="s">
        <v>2259</v>
      </c>
      <c r="O154" t="s">
        <v>2162</v>
      </c>
      <c r="P154" t="s">
        <v>154</v>
      </c>
      <c r="Q154" t="s">
        <v>155</v>
      </c>
      <c r="R154" t="s">
        <v>156</v>
      </c>
      <c r="S154" t="s">
        <v>157</v>
      </c>
      <c r="T154" t="s">
        <v>2163</v>
      </c>
      <c r="U154" t="s">
        <v>2260</v>
      </c>
      <c r="V154" t="s">
        <v>2261</v>
      </c>
      <c r="W154" t="s">
        <v>697</v>
      </c>
      <c r="X154" t="s">
        <v>2243</v>
      </c>
      <c r="Y154" t="s">
        <v>93</v>
      </c>
      <c r="Z154" t="s">
        <v>249</v>
      </c>
      <c r="AA154" t="s">
        <v>2262</v>
      </c>
      <c r="AB154" t="s">
        <v>119</v>
      </c>
      <c r="AC154" t="s">
        <v>1928</v>
      </c>
      <c r="AD154" t="s">
        <v>249</v>
      </c>
      <c r="AE154" t="s">
        <v>2262</v>
      </c>
      <c r="AF154" t="s">
        <v>119</v>
      </c>
      <c r="AG154" t="s">
        <v>1928</v>
      </c>
      <c r="AI154" t="s">
        <v>2263</v>
      </c>
      <c r="AJ154" t="s">
        <v>249</v>
      </c>
      <c r="AK154" t="s">
        <v>99</v>
      </c>
      <c r="AL154" t="s">
        <v>2264</v>
      </c>
      <c r="AM154" t="s">
        <v>2265</v>
      </c>
      <c r="AQ154" t="s">
        <v>2266</v>
      </c>
      <c r="AR154" t="s">
        <v>125</v>
      </c>
      <c r="AT154" t="s">
        <v>2267</v>
      </c>
      <c r="AU154" t="s">
        <v>2173</v>
      </c>
      <c r="AV154" t="s">
        <v>128</v>
      </c>
      <c r="AZ154" t="s">
        <v>80</v>
      </c>
    </row>
    <row r="155" spans="1:52" hidden="1" x14ac:dyDescent="0.25">
      <c r="A155" t="s">
        <v>2268</v>
      </c>
      <c r="B155" t="s">
        <v>2269</v>
      </c>
      <c r="C155" t="s">
        <v>2270</v>
      </c>
      <c r="D155" t="s">
        <v>78</v>
      </c>
      <c r="E155" t="s">
        <v>2271</v>
      </c>
      <c r="F155" t="s">
        <v>2272</v>
      </c>
      <c r="G155" t="s">
        <v>2272</v>
      </c>
      <c r="H155" t="s">
        <v>2273</v>
      </c>
      <c r="J155" t="s">
        <v>80</v>
      </c>
      <c r="K155" t="s">
        <v>81</v>
      </c>
      <c r="L155" t="s">
        <v>111</v>
      </c>
      <c r="M155" t="s">
        <v>2274</v>
      </c>
      <c r="O155" t="s">
        <v>2162</v>
      </c>
      <c r="P155" t="s">
        <v>154</v>
      </c>
      <c r="Q155" t="s">
        <v>155</v>
      </c>
      <c r="R155" t="s">
        <v>156</v>
      </c>
      <c r="S155" t="s">
        <v>157</v>
      </c>
      <c r="T155" t="s">
        <v>2163</v>
      </c>
      <c r="U155" t="s">
        <v>114</v>
      </c>
      <c r="V155" t="s">
        <v>2164</v>
      </c>
      <c r="W155" t="s">
        <v>797</v>
      </c>
      <c r="X155" t="s">
        <v>2165</v>
      </c>
      <c r="Y155" t="s">
        <v>93</v>
      </c>
      <c r="Z155" t="s">
        <v>249</v>
      </c>
      <c r="AA155" t="s">
        <v>2275</v>
      </c>
      <c r="AB155" t="s">
        <v>119</v>
      </c>
      <c r="AC155" t="s">
        <v>2276</v>
      </c>
      <c r="AD155" t="s">
        <v>249</v>
      </c>
      <c r="AE155" t="s">
        <v>2275</v>
      </c>
      <c r="AF155" t="s">
        <v>119</v>
      </c>
      <c r="AG155" t="s">
        <v>2276</v>
      </c>
      <c r="AI155" t="s">
        <v>2277</v>
      </c>
      <c r="AJ155" t="s">
        <v>249</v>
      </c>
      <c r="AK155" t="s">
        <v>99</v>
      </c>
      <c r="AL155" t="s">
        <v>2278</v>
      </c>
      <c r="AM155" t="s">
        <v>2279</v>
      </c>
      <c r="AQ155" t="s">
        <v>2280</v>
      </c>
      <c r="AR155" t="s">
        <v>125</v>
      </c>
      <c r="AT155" t="s">
        <v>2281</v>
      </c>
      <c r="AU155" t="s">
        <v>2173</v>
      </c>
      <c r="AV155" t="s">
        <v>128</v>
      </c>
      <c r="AZ155" t="s">
        <v>80</v>
      </c>
    </row>
    <row r="156" spans="1:52" hidden="1" x14ac:dyDescent="0.25">
      <c r="A156" t="s">
        <v>2282</v>
      </c>
      <c r="B156" t="s">
        <v>2283</v>
      </c>
      <c r="C156" t="s">
        <v>2284</v>
      </c>
      <c r="D156" t="s">
        <v>78</v>
      </c>
      <c r="E156" t="s">
        <v>2285</v>
      </c>
      <c r="F156" t="s">
        <v>2286</v>
      </c>
      <c r="G156" t="s">
        <v>2286</v>
      </c>
      <c r="H156" t="s">
        <v>2287</v>
      </c>
      <c r="J156" t="s">
        <v>80</v>
      </c>
      <c r="K156" t="s">
        <v>81</v>
      </c>
      <c r="L156" t="s">
        <v>111</v>
      </c>
      <c r="M156" t="s">
        <v>2288</v>
      </c>
      <c r="O156" t="s">
        <v>2162</v>
      </c>
      <c r="P156" t="s">
        <v>154</v>
      </c>
      <c r="Q156" t="s">
        <v>155</v>
      </c>
      <c r="R156" t="s">
        <v>156</v>
      </c>
      <c r="S156" t="s">
        <v>157</v>
      </c>
      <c r="T156" t="s">
        <v>2163</v>
      </c>
      <c r="U156" t="s">
        <v>114</v>
      </c>
      <c r="V156" t="s">
        <v>2289</v>
      </c>
      <c r="W156" t="s">
        <v>797</v>
      </c>
      <c r="X156" t="s">
        <v>2165</v>
      </c>
      <c r="Y156" t="s">
        <v>93</v>
      </c>
      <c r="Z156" t="s">
        <v>249</v>
      </c>
      <c r="AA156" t="s">
        <v>2290</v>
      </c>
      <c r="AB156" t="s">
        <v>119</v>
      </c>
      <c r="AC156" t="s">
        <v>2291</v>
      </c>
      <c r="AD156" t="s">
        <v>249</v>
      </c>
      <c r="AE156" t="s">
        <v>2290</v>
      </c>
      <c r="AF156" t="s">
        <v>119</v>
      </c>
      <c r="AG156" t="s">
        <v>2291</v>
      </c>
      <c r="AI156" t="s">
        <v>2292</v>
      </c>
      <c r="AJ156" t="s">
        <v>249</v>
      </c>
      <c r="AK156" t="s">
        <v>99</v>
      </c>
      <c r="AL156" t="s">
        <v>2293</v>
      </c>
      <c r="AM156" t="s">
        <v>2294</v>
      </c>
      <c r="AQ156" t="s">
        <v>2295</v>
      </c>
      <c r="AR156" t="s">
        <v>125</v>
      </c>
      <c r="AT156" t="s">
        <v>2296</v>
      </c>
      <c r="AU156" t="s">
        <v>2173</v>
      </c>
      <c r="AV156" t="s">
        <v>128</v>
      </c>
      <c r="AZ156" t="s">
        <v>80</v>
      </c>
    </row>
    <row r="157" spans="1:52" hidden="1" x14ac:dyDescent="0.25">
      <c r="A157" t="s">
        <v>2297</v>
      </c>
      <c r="B157" t="s">
        <v>2298</v>
      </c>
      <c r="C157" t="s">
        <v>2299</v>
      </c>
      <c r="D157" t="s">
        <v>78</v>
      </c>
      <c r="E157" t="s">
        <v>2300</v>
      </c>
      <c r="F157" t="s">
        <v>2301</v>
      </c>
      <c r="G157" t="s">
        <v>2301</v>
      </c>
      <c r="H157" t="s">
        <v>2302</v>
      </c>
      <c r="J157" t="s">
        <v>80</v>
      </c>
      <c r="K157" t="s">
        <v>81</v>
      </c>
      <c r="L157" t="s">
        <v>111</v>
      </c>
      <c r="M157" t="s">
        <v>2303</v>
      </c>
      <c r="O157" t="s">
        <v>2162</v>
      </c>
      <c r="P157" t="s">
        <v>154</v>
      </c>
      <c r="Q157" t="s">
        <v>155</v>
      </c>
      <c r="R157" t="s">
        <v>156</v>
      </c>
      <c r="S157" t="s">
        <v>157</v>
      </c>
      <c r="T157" t="s">
        <v>2163</v>
      </c>
      <c r="U157" t="s">
        <v>2241</v>
      </c>
      <c r="V157" t="s">
        <v>2242</v>
      </c>
      <c r="W157" t="s">
        <v>797</v>
      </c>
      <c r="X157" t="s">
        <v>2165</v>
      </c>
      <c r="Y157" t="s">
        <v>93</v>
      </c>
      <c r="Z157" t="s">
        <v>249</v>
      </c>
      <c r="AA157" t="s">
        <v>2304</v>
      </c>
      <c r="AB157" t="s">
        <v>119</v>
      </c>
      <c r="AC157" t="s">
        <v>2305</v>
      </c>
      <c r="AD157" t="s">
        <v>249</v>
      </c>
      <c r="AE157" t="s">
        <v>2304</v>
      </c>
      <c r="AF157" t="s">
        <v>119</v>
      </c>
      <c r="AG157" t="s">
        <v>2305</v>
      </c>
      <c r="AI157" t="s">
        <v>2306</v>
      </c>
      <c r="AJ157" t="s">
        <v>249</v>
      </c>
      <c r="AK157" t="s">
        <v>99</v>
      </c>
      <c r="AL157" t="s">
        <v>2307</v>
      </c>
      <c r="AM157" t="s">
        <v>2308</v>
      </c>
      <c r="AQ157" t="s">
        <v>2309</v>
      </c>
      <c r="AR157" t="s">
        <v>125</v>
      </c>
      <c r="AT157" t="s">
        <v>2310</v>
      </c>
      <c r="AU157" t="s">
        <v>2173</v>
      </c>
      <c r="AV157" t="s">
        <v>128</v>
      </c>
      <c r="AZ157" t="s">
        <v>80</v>
      </c>
    </row>
    <row r="158" spans="1:52" hidden="1" x14ac:dyDescent="0.25">
      <c r="A158" t="s">
        <v>5347</v>
      </c>
      <c r="B158" t="s">
        <v>5348</v>
      </c>
      <c r="C158" t="s">
        <v>5332</v>
      </c>
      <c r="D158" t="s">
        <v>2544</v>
      </c>
      <c r="E158" t="s">
        <v>5349</v>
      </c>
      <c r="F158" t="s">
        <v>5350</v>
      </c>
      <c r="G158" t="s">
        <v>5350</v>
      </c>
      <c r="J158" t="s">
        <v>80</v>
      </c>
      <c r="K158" t="s">
        <v>110</v>
      </c>
      <c r="L158" t="s">
        <v>111</v>
      </c>
      <c r="M158" t="s">
        <v>5351</v>
      </c>
      <c r="P158" t="s">
        <v>154</v>
      </c>
      <c r="Q158" t="s">
        <v>155</v>
      </c>
      <c r="R158" t="s">
        <v>156</v>
      </c>
      <c r="S158" t="s">
        <v>157</v>
      </c>
      <c r="T158" t="s">
        <v>273</v>
      </c>
      <c r="U158" t="s">
        <v>5152</v>
      </c>
      <c r="V158" t="s">
        <v>652</v>
      </c>
      <c r="W158" t="s">
        <v>359</v>
      </c>
      <c r="X158" t="s">
        <v>5135</v>
      </c>
      <c r="Y158" t="s">
        <v>93</v>
      </c>
      <c r="Z158" t="s">
        <v>119</v>
      </c>
      <c r="AA158" t="s">
        <v>5352</v>
      </c>
      <c r="AB158" t="s">
        <v>249</v>
      </c>
      <c r="AC158" t="s">
        <v>3530</v>
      </c>
      <c r="AD158" t="s">
        <v>119</v>
      </c>
      <c r="AE158" t="s">
        <v>5352</v>
      </c>
      <c r="AF158" t="s">
        <v>249</v>
      </c>
      <c r="AG158" t="s">
        <v>3530</v>
      </c>
      <c r="AI158" t="s">
        <v>5353</v>
      </c>
      <c r="AJ158" t="s">
        <v>119</v>
      </c>
      <c r="AK158" t="s">
        <v>99</v>
      </c>
      <c r="AL158" t="s">
        <v>5354</v>
      </c>
      <c r="AM158" t="s">
        <v>5355</v>
      </c>
      <c r="AN158" t="s">
        <v>2578</v>
      </c>
      <c r="AR158" t="s">
        <v>125</v>
      </c>
      <c r="AT158" t="s">
        <v>5356</v>
      </c>
      <c r="AV158" t="s">
        <v>128</v>
      </c>
      <c r="AZ158" t="s">
        <v>80</v>
      </c>
    </row>
    <row r="159" spans="1:52" hidden="1" x14ac:dyDescent="0.25">
      <c r="A159" t="s">
        <v>5357</v>
      </c>
      <c r="B159" t="s">
        <v>5348</v>
      </c>
      <c r="C159" t="s">
        <v>5332</v>
      </c>
      <c r="D159" t="s">
        <v>2544</v>
      </c>
      <c r="E159" t="s">
        <v>5358</v>
      </c>
      <c r="F159" t="s">
        <v>5350</v>
      </c>
      <c r="G159" t="s">
        <v>5350</v>
      </c>
      <c r="J159" t="s">
        <v>80</v>
      </c>
      <c r="K159" t="s">
        <v>110</v>
      </c>
      <c r="L159" t="s">
        <v>111</v>
      </c>
      <c r="M159" t="s">
        <v>5351</v>
      </c>
      <c r="P159" t="s">
        <v>154</v>
      </c>
      <c r="Q159" t="s">
        <v>155</v>
      </c>
      <c r="R159" t="s">
        <v>156</v>
      </c>
      <c r="S159" t="s">
        <v>157</v>
      </c>
      <c r="T159" t="s">
        <v>273</v>
      </c>
      <c r="U159" t="s">
        <v>5152</v>
      </c>
      <c r="V159" t="s">
        <v>652</v>
      </c>
      <c r="W159" t="s">
        <v>347</v>
      </c>
      <c r="X159" t="s">
        <v>5143</v>
      </c>
      <c r="Y159" t="s">
        <v>93</v>
      </c>
      <c r="Z159" t="s">
        <v>119</v>
      </c>
      <c r="AA159" t="s">
        <v>5352</v>
      </c>
      <c r="AB159" t="s">
        <v>249</v>
      </c>
      <c r="AC159" t="s">
        <v>3530</v>
      </c>
      <c r="AD159" t="s">
        <v>119</v>
      </c>
      <c r="AE159" t="s">
        <v>5352</v>
      </c>
      <c r="AF159" t="s">
        <v>249</v>
      </c>
      <c r="AG159" t="s">
        <v>3530</v>
      </c>
      <c r="AI159" t="s">
        <v>5353</v>
      </c>
      <c r="AJ159" t="s">
        <v>119</v>
      </c>
      <c r="AK159" t="s">
        <v>99</v>
      </c>
      <c r="AL159" t="s">
        <v>5359</v>
      </c>
      <c r="AM159" t="s">
        <v>5355</v>
      </c>
      <c r="AN159" t="s">
        <v>2578</v>
      </c>
      <c r="AR159" t="s">
        <v>125</v>
      </c>
      <c r="AT159" t="s">
        <v>5360</v>
      </c>
      <c r="AV159" t="s">
        <v>128</v>
      </c>
      <c r="AZ159" t="s">
        <v>80</v>
      </c>
    </row>
    <row r="160" spans="1:52" hidden="1" x14ac:dyDescent="0.25">
      <c r="A160" t="s">
        <v>2421</v>
      </c>
      <c r="B160" t="s">
        <v>2422</v>
      </c>
      <c r="C160" t="s">
        <v>2423</v>
      </c>
      <c r="D160" t="s">
        <v>78</v>
      </c>
      <c r="E160" t="s">
        <v>2424</v>
      </c>
      <c r="F160" t="s">
        <v>2425</v>
      </c>
      <c r="G160" t="s">
        <v>2425</v>
      </c>
      <c r="H160" t="s">
        <v>2426</v>
      </c>
      <c r="J160" t="s">
        <v>80</v>
      </c>
      <c r="K160" t="s">
        <v>81</v>
      </c>
      <c r="L160" t="s">
        <v>111</v>
      </c>
      <c r="M160" t="s">
        <v>2427</v>
      </c>
      <c r="O160" t="s">
        <v>2162</v>
      </c>
      <c r="P160" t="s">
        <v>154</v>
      </c>
      <c r="Q160" t="s">
        <v>155</v>
      </c>
      <c r="R160" t="s">
        <v>156</v>
      </c>
      <c r="S160" t="s">
        <v>157</v>
      </c>
      <c r="T160" t="s">
        <v>2318</v>
      </c>
      <c r="U160" t="s">
        <v>2428</v>
      </c>
      <c r="V160" t="s">
        <v>2429</v>
      </c>
      <c r="W160" t="s">
        <v>797</v>
      </c>
      <c r="X160" t="s">
        <v>2319</v>
      </c>
      <c r="Y160" t="s">
        <v>93</v>
      </c>
      <c r="Z160" t="s">
        <v>119</v>
      </c>
      <c r="AA160" t="s">
        <v>2430</v>
      </c>
      <c r="AB160" t="s">
        <v>249</v>
      </c>
      <c r="AC160" t="s">
        <v>2431</v>
      </c>
      <c r="AD160" t="s">
        <v>119</v>
      </c>
      <c r="AE160" t="s">
        <v>2430</v>
      </c>
      <c r="AF160" t="s">
        <v>249</v>
      </c>
      <c r="AG160" t="s">
        <v>2431</v>
      </c>
      <c r="AI160" t="s">
        <v>2432</v>
      </c>
      <c r="AJ160" t="s">
        <v>119</v>
      </c>
      <c r="AK160" t="s">
        <v>99</v>
      </c>
      <c r="AL160" t="s">
        <v>2433</v>
      </c>
      <c r="AM160" t="s">
        <v>2434</v>
      </c>
      <c r="AQ160" t="s">
        <v>2435</v>
      </c>
      <c r="AR160" t="s">
        <v>125</v>
      </c>
      <c r="AT160" t="s">
        <v>2436</v>
      </c>
      <c r="AU160" t="s">
        <v>2173</v>
      </c>
      <c r="AV160" t="s">
        <v>128</v>
      </c>
      <c r="AZ160" t="s">
        <v>80</v>
      </c>
    </row>
    <row r="161" spans="1:52" hidden="1" x14ac:dyDescent="0.25">
      <c r="A161" t="s">
        <v>7058</v>
      </c>
      <c r="B161" t="s">
        <v>7059</v>
      </c>
      <c r="C161" t="s">
        <v>7060</v>
      </c>
      <c r="D161" t="s">
        <v>2544</v>
      </c>
      <c r="E161" t="s">
        <v>7061</v>
      </c>
      <c r="F161" t="s">
        <v>7062</v>
      </c>
      <c r="G161" t="s">
        <v>7062</v>
      </c>
      <c r="J161" t="s">
        <v>80</v>
      </c>
      <c r="K161" t="s">
        <v>110</v>
      </c>
      <c r="L161" t="s">
        <v>111</v>
      </c>
      <c r="M161" t="s">
        <v>7063</v>
      </c>
      <c r="O161" t="s">
        <v>2162</v>
      </c>
      <c r="P161" t="s">
        <v>154</v>
      </c>
      <c r="Q161" t="s">
        <v>155</v>
      </c>
      <c r="R161" t="s">
        <v>156</v>
      </c>
      <c r="S161" t="s">
        <v>157</v>
      </c>
      <c r="T161" t="s">
        <v>2318</v>
      </c>
      <c r="U161" t="s">
        <v>2414</v>
      </c>
      <c r="V161" t="s">
        <v>7064</v>
      </c>
      <c r="W161" t="s">
        <v>161</v>
      </c>
      <c r="X161" t="s">
        <v>7015</v>
      </c>
      <c r="Y161" t="s">
        <v>93</v>
      </c>
      <c r="Z161" t="s">
        <v>119</v>
      </c>
      <c r="AA161" t="s">
        <v>2988</v>
      </c>
      <c r="AB161" t="s">
        <v>249</v>
      </c>
      <c r="AC161" t="s">
        <v>7065</v>
      </c>
      <c r="AD161" t="s">
        <v>119</v>
      </c>
      <c r="AE161" t="s">
        <v>2988</v>
      </c>
      <c r="AF161" t="s">
        <v>249</v>
      </c>
      <c r="AG161" t="s">
        <v>7065</v>
      </c>
      <c r="AI161" t="s">
        <v>6615</v>
      </c>
      <c r="AJ161" t="s">
        <v>119</v>
      </c>
      <c r="AK161" t="s">
        <v>99</v>
      </c>
      <c r="AL161" t="s">
        <v>7066</v>
      </c>
      <c r="AM161" t="s">
        <v>7067</v>
      </c>
      <c r="AN161" t="s">
        <v>2555</v>
      </c>
      <c r="AR161" t="s">
        <v>125</v>
      </c>
      <c r="AT161" t="s">
        <v>7068</v>
      </c>
      <c r="AV161" t="s">
        <v>128</v>
      </c>
      <c r="AZ161" t="s">
        <v>80</v>
      </c>
    </row>
    <row r="162" spans="1:52" hidden="1" x14ac:dyDescent="0.25">
      <c r="A162" t="s">
        <v>5288</v>
      </c>
      <c r="B162" t="s">
        <v>5289</v>
      </c>
      <c r="C162" t="s">
        <v>5290</v>
      </c>
      <c r="D162" t="s">
        <v>2544</v>
      </c>
      <c r="E162" t="s">
        <v>5291</v>
      </c>
      <c r="F162" t="s">
        <v>5292</v>
      </c>
      <c r="G162" t="s">
        <v>5292</v>
      </c>
      <c r="J162" t="s">
        <v>80</v>
      </c>
      <c r="K162" t="s">
        <v>110</v>
      </c>
      <c r="L162" t="s">
        <v>111</v>
      </c>
      <c r="M162" t="s">
        <v>5293</v>
      </c>
      <c r="P162" t="s">
        <v>154</v>
      </c>
      <c r="Q162" t="s">
        <v>155</v>
      </c>
      <c r="R162" t="s">
        <v>156</v>
      </c>
      <c r="S162" t="s">
        <v>157</v>
      </c>
      <c r="T162" t="s">
        <v>273</v>
      </c>
      <c r="U162" t="s">
        <v>274</v>
      </c>
      <c r="V162" t="s">
        <v>246</v>
      </c>
      <c r="W162" t="s">
        <v>439</v>
      </c>
      <c r="X162" t="s">
        <v>5097</v>
      </c>
      <c r="Y162" t="s">
        <v>93</v>
      </c>
      <c r="Z162" t="s">
        <v>119</v>
      </c>
      <c r="AA162" t="s">
        <v>3226</v>
      </c>
      <c r="AB162" t="s">
        <v>249</v>
      </c>
      <c r="AC162" t="s">
        <v>5294</v>
      </c>
      <c r="AD162" t="s">
        <v>119</v>
      </c>
      <c r="AE162" t="s">
        <v>3226</v>
      </c>
      <c r="AF162" t="s">
        <v>249</v>
      </c>
      <c r="AG162" t="s">
        <v>5294</v>
      </c>
      <c r="AI162" t="s">
        <v>3855</v>
      </c>
      <c r="AJ162" t="s">
        <v>119</v>
      </c>
      <c r="AK162" t="s">
        <v>99</v>
      </c>
      <c r="AL162" t="s">
        <v>5295</v>
      </c>
      <c r="AM162" t="s">
        <v>5296</v>
      </c>
      <c r="AN162" t="s">
        <v>2578</v>
      </c>
      <c r="AR162" t="s">
        <v>125</v>
      </c>
      <c r="AT162" t="s">
        <v>5297</v>
      </c>
      <c r="AV162" t="s">
        <v>128</v>
      </c>
      <c r="AZ162" t="s">
        <v>80</v>
      </c>
    </row>
    <row r="163" spans="1:52" hidden="1" x14ac:dyDescent="0.25">
      <c r="A163" t="s">
        <v>5298</v>
      </c>
      <c r="B163" t="s">
        <v>5289</v>
      </c>
      <c r="C163" t="s">
        <v>5290</v>
      </c>
      <c r="D163" t="s">
        <v>2544</v>
      </c>
      <c r="E163" t="s">
        <v>5299</v>
      </c>
      <c r="F163" t="s">
        <v>5292</v>
      </c>
      <c r="G163" t="s">
        <v>5292</v>
      </c>
      <c r="J163" t="s">
        <v>80</v>
      </c>
      <c r="K163" t="s">
        <v>110</v>
      </c>
      <c r="L163" t="s">
        <v>111</v>
      </c>
      <c r="M163" t="s">
        <v>5293</v>
      </c>
      <c r="P163" t="s">
        <v>154</v>
      </c>
      <c r="Q163" t="s">
        <v>155</v>
      </c>
      <c r="R163" t="s">
        <v>156</v>
      </c>
      <c r="S163" t="s">
        <v>157</v>
      </c>
      <c r="T163" t="s">
        <v>273</v>
      </c>
      <c r="U163" t="s">
        <v>274</v>
      </c>
      <c r="V163" t="s">
        <v>246</v>
      </c>
      <c r="W163" t="s">
        <v>425</v>
      </c>
      <c r="X163" t="s">
        <v>5106</v>
      </c>
      <c r="Y163" t="s">
        <v>93</v>
      </c>
      <c r="Z163" t="s">
        <v>119</v>
      </c>
      <c r="AA163" t="s">
        <v>3226</v>
      </c>
      <c r="AB163" t="s">
        <v>249</v>
      </c>
      <c r="AC163" t="s">
        <v>5294</v>
      </c>
      <c r="AD163" t="s">
        <v>119</v>
      </c>
      <c r="AE163" t="s">
        <v>3226</v>
      </c>
      <c r="AF163" t="s">
        <v>249</v>
      </c>
      <c r="AG163" t="s">
        <v>5294</v>
      </c>
      <c r="AI163" t="s">
        <v>3855</v>
      </c>
      <c r="AJ163" t="s">
        <v>119</v>
      </c>
      <c r="AK163" t="s">
        <v>99</v>
      </c>
      <c r="AL163" t="s">
        <v>5300</v>
      </c>
      <c r="AM163" t="s">
        <v>5296</v>
      </c>
      <c r="AN163" t="s">
        <v>2578</v>
      </c>
      <c r="AR163" t="s">
        <v>125</v>
      </c>
      <c r="AT163" t="s">
        <v>5301</v>
      </c>
      <c r="AV163" t="s">
        <v>128</v>
      </c>
      <c r="AZ163" t="s">
        <v>80</v>
      </c>
    </row>
    <row r="164" spans="1:52" hidden="1" x14ac:dyDescent="0.25">
      <c r="A164" t="s">
        <v>2407</v>
      </c>
      <c r="B164" t="s">
        <v>2408</v>
      </c>
      <c r="C164" t="s">
        <v>2409</v>
      </c>
      <c r="D164" t="s">
        <v>78</v>
      </c>
      <c r="E164" t="s">
        <v>2410</v>
      </c>
      <c r="F164" t="s">
        <v>2411</v>
      </c>
      <c r="G164" t="s">
        <v>2411</v>
      </c>
      <c r="H164" t="s">
        <v>2412</v>
      </c>
      <c r="J164" t="s">
        <v>80</v>
      </c>
      <c r="K164" t="s">
        <v>81</v>
      </c>
      <c r="L164" t="s">
        <v>111</v>
      </c>
      <c r="M164" t="s">
        <v>2413</v>
      </c>
      <c r="O164" t="s">
        <v>2162</v>
      </c>
      <c r="P164" t="s">
        <v>154</v>
      </c>
      <c r="Q164" t="s">
        <v>155</v>
      </c>
      <c r="R164" t="s">
        <v>156</v>
      </c>
      <c r="S164" t="s">
        <v>157</v>
      </c>
      <c r="T164" t="s">
        <v>2318</v>
      </c>
      <c r="U164" t="s">
        <v>2414</v>
      </c>
      <c r="V164" t="s">
        <v>2242</v>
      </c>
      <c r="W164" t="s">
        <v>797</v>
      </c>
      <c r="X164" t="s">
        <v>2319</v>
      </c>
      <c r="Y164" t="s">
        <v>93</v>
      </c>
      <c r="Z164" t="s">
        <v>119</v>
      </c>
      <c r="AA164" t="s">
        <v>2415</v>
      </c>
      <c r="AB164" t="s">
        <v>249</v>
      </c>
      <c r="AC164" t="s">
        <v>855</v>
      </c>
      <c r="AD164" t="s">
        <v>119</v>
      </c>
      <c r="AE164" t="s">
        <v>2415</v>
      </c>
      <c r="AF164" t="s">
        <v>249</v>
      </c>
      <c r="AG164" t="s">
        <v>855</v>
      </c>
      <c r="AI164" t="s">
        <v>2416</v>
      </c>
      <c r="AJ164" t="s">
        <v>119</v>
      </c>
      <c r="AK164" t="s">
        <v>99</v>
      </c>
      <c r="AL164" t="s">
        <v>2417</v>
      </c>
      <c r="AM164" t="s">
        <v>2418</v>
      </c>
      <c r="AQ164" t="s">
        <v>2419</v>
      </c>
      <c r="AR164" t="s">
        <v>125</v>
      </c>
      <c r="AT164" t="s">
        <v>2420</v>
      </c>
      <c r="AU164" t="s">
        <v>2173</v>
      </c>
      <c r="AV164" t="s">
        <v>128</v>
      </c>
      <c r="AZ164" t="s">
        <v>80</v>
      </c>
    </row>
    <row r="165" spans="1:52" hidden="1" x14ac:dyDescent="0.25">
      <c r="A165" t="s">
        <v>7047</v>
      </c>
      <c r="B165" t="s">
        <v>7048</v>
      </c>
      <c r="C165" t="s">
        <v>7049</v>
      </c>
      <c r="D165" t="s">
        <v>2544</v>
      </c>
      <c r="E165" t="s">
        <v>7050</v>
      </c>
      <c r="F165" t="s">
        <v>7051</v>
      </c>
      <c r="G165" t="s">
        <v>7051</v>
      </c>
      <c r="J165" t="s">
        <v>80</v>
      </c>
      <c r="K165" t="s">
        <v>110</v>
      </c>
      <c r="L165" t="s">
        <v>111</v>
      </c>
      <c r="M165" t="s">
        <v>7052</v>
      </c>
      <c r="O165" t="s">
        <v>2162</v>
      </c>
      <c r="P165" t="s">
        <v>154</v>
      </c>
      <c r="Q165" t="s">
        <v>155</v>
      </c>
      <c r="R165" t="s">
        <v>156</v>
      </c>
      <c r="S165" t="s">
        <v>157</v>
      </c>
      <c r="T165" t="s">
        <v>2318</v>
      </c>
      <c r="U165" t="s">
        <v>2361</v>
      </c>
      <c r="V165" t="s">
        <v>2261</v>
      </c>
      <c r="W165" t="s">
        <v>161</v>
      </c>
      <c r="X165" t="s">
        <v>7015</v>
      </c>
      <c r="Y165" t="s">
        <v>93</v>
      </c>
      <c r="Z165" t="s">
        <v>119</v>
      </c>
      <c r="AA165" t="s">
        <v>2214</v>
      </c>
      <c r="AB165" t="s">
        <v>249</v>
      </c>
      <c r="AC165" t="s">
        <v>7053</v>
      </c>
      <c r="AD165" t="s">
        <v>119</v>
      </c>
      <c r="AE165" t="s">
        <v>2214</v>
      </c>
      <c r="AF165" t="s">
        <v>249</v>
      </c>
      <c r="AG165" t="s">
        <v>7053</v>
      </c>
      <c r="AI165" t="s">
        <v>7054</v>
      </c>
      <c r="AJ165" t="s">
        <v>119</v>
      </c>
      <c r="AK165" t="s">
        <v>99</v>
      </c>
      <c r="AL165" t="s">
        <v>7055</v>
      </c>
      <c r="AM165" t="s">
        <v>7056</v>
      </c>
      <c r="AN165" t="s">
        <v>2555</v>
      </c>
      <c r="AR165" t="s">
        <v>125</v>
      </c>
      <c r="AT165" t="s">
        <v>7057</v>
      </c>
      <c r="AV165" t="s">
        <v>128</v>
      </c>
      <c r="AZ165" t="s">
        <v>80</v>
      </c>
    </row>
    <row r="166" spans="1:52" hidden="1" x14ac:dyDescent="0.25">
      <c r="A166" t="s">
        <v>5274</v>
      </c>
      <c r="B166" t="s">
        <v>5275</v>
      </c>
      <c r="C166" t="s">
        <v>5263</v>
      </c>
      <c r="D166" t="s">
        <v>2544</v>
      </c>
      <c r="E166" t="s">
        <v>5276</v>
      </c>
      <c r="F166" t="s">
        <v>5277</v>
      </c>
      <c r="G166" t="s">
        <v>5277</v>
      </c>
      <c r="J166" t="s">
        <v>80</v>
      </c>
      <c r="K166" t="s">
        <v>110</v>
      </c>
      <c r="L166" t="s">
        <v>111</v>
      </c>
      <c r="M166" t="s">
        <v>5278</v>
      </c>
      <c r="P166" t="s">
        <v>154</v>
      </c>
      <c r="Q166" t="s">
        <v>155</v>
      </c>
      <c r="R166" t="s">
        <v>156</v>
      </c>
      <c r="S166" t="s">
        <v>157</v>
      </c>
      <c r="T166" t="s">
        <v>273</v>
      </c>
      <c r="U166" t="s">
        <v>274</v>
      </c>
      <c r="V166" t="s">
        <v>246</v>
      </c>
      <c r="W166" t="s">
        <v>439</v>
      </c>
      <c r="X166" t="s">
        <v>5097</v>
      </c>
      <c r="Y166" t="s">
        <v>93</v>
      </c>
      <c r="Z166" t="s">
        <v>119</v>
      </c>
      <c r="AA166" t="s">
        <v>5279</v>
      </c>
      <c r="AB166" t="s">
        <v>249</v>
      </c>
      <c r="AC166" t="s">
        <v>3444</v>
      </c>
      <c r="AD166" t="s">
        <v>119</v>
      </c>
      <c r="AE166" t="s">
        <v>5279</v>
      </c>
      <c r="AF166" t="s">
        <v>249</v>
      </c>
      <c r="AG166" t="s">
        <v>3444</v>
      </c>
      <c r="AI166" t="s">
        <v>5280</v>
      </c>
      <c r="AJ166" t="s">
        <v>119</v>
      </c>
      <c r="AK166" t="s">
        <v>99</v>
      </c>
      <c r="AL166" t="s">
        <v>5281</v>
      </c>
      <c r="AM166" t="s">
        <v>5282</v>
      </c>
      <c r="AN166" t="s">
        <v>2578</v>
      </c>
      <c r="AR166" t="s">
        <v>125</v>
      </c>
      <c r="AT166" t="s">
        <v>5283</v>
      </c>
      <c r="AV166" t="s">
        <v>128</v>
      </c>
      <c r="AZ166" t="s">
        <v>80</v>
      </c>
    </row>
    <row r="167" spans="1:52" hidden="1" x14ac:dyDescent="0.25">
      <c r="A167" t="s">
        <v>5284</v>
      </c>
      <c r="B167" t="s">
        <v>5275</v>
      </c>
      <c r="C167" t="s">
        <v>5263</v>
      </c>
      <c r="D167" t="s">
        <v>2544</v>
      </c>
      <c r="E167" t="s">
        <v>5285</v>
      </c>
      <c r="F167" t="s">
        <v>5277</v>
      </c>
      <c r="G167" t="s">
        <v>5277</v>
      </c>
      <c r="J167" t="s">
        <v>80</v>
      </c>
      <c r="K167" t="s">
        <v>110</v>
      </c>
      <c r="L167" t="s">
        <v>111</v>
      </c>
      <c r="M167" t="s">
        <v>5278</v>
      </c>
      <c r="P167" t="s">
        <v>154</v>
      </c>
      <c r="Q167" t="s">
        <v>155</v>
      </c>
      <c r="R167" t="s">
        <v>156</v>
      </c>
      <c r="S167" t="s">
        <v>157</v>
      </c>
      <c r="T167" t="s">
        <v>273</v>
      </c>
      <c r="U167" t="s">
        <v>274</v>
      </c>
      <c r="V167" t="s">
        <v>246</v>
      </c>
      <c r="W167" t="s">
        <v>425</v>
      </c>
      <c r="X167" t="s">
        <v>5106</v>
      </c>
      <c r="Y167" t="s">
        <v>93</v>
      </c>
      <c r="Z167" t="s">
        <v>119</v>
      </c>
      <c r="AA167" t="s">
        <v>5279</v>
      </c>
      <c r="AB167" t="s">
        <v>249</v>
      </c>
      <c r="AC167" t="s">
        <v>3444</v>
      </c>
      <c r="AD167" t="s">
        <v>119</v>
      </c>
      <c r="AE167" t="s">
        <v>5279</v>
      </c>
      <c r="AF167" t="s">
        <v>249</v>
      </c>
      <c r="AG167" t="s">
        <v>3444</v>
      </c>
      <c r="AI167" t="s">
        <v>5280</v>
      </c>
      <c r="AJ167" t="s">
        <v>119</v>
      </c>
      <c r="AK167" t="s">
        <v>99</v>
      </c>
      <c r="AL167" t="s">
        <v>5286</v>
      </c>
      <c r="AM167" t="s">
        <v>5282</v>
      </c>
      <c r="AN167" t="s">
        <v>2578</v>
      </c>
      <c r="AR167" t="s">
        <v>125</v>
      </c>
      <c r="AT167" t="s">
        <v>5287</v>
      </c>
      <c r="AV167" t="s">
        <v>128</v>
      </c>
      <c r="AZ167" t="s">
        <v>80</v>
      </c>
    </row>
    <row r="168" spans="1:52" hidden="1" x14ac:dyDescent="0.25">
      <c r="A168" t="s">
        <v>2449</v>
      </c>
      <c r="B168" t="s">
        <v>2450</v>
      </c>
      <c r="C168" t="s">
        <v>2451</v>
      </c>
      <c r="D168" t="s">
        <v>78</v>
      </c>
      <c r="E168" t="s">
        <v>2452</v>
      </c>
      <c r="F168" t="s">
        <v>2453</v>
      </c>
      <c r="G168" t="s">
        <v>2453</v>
      </c>
      <c r="H168" t="s">
        <v>2454</v>
      </c>
      <c r="J168" t="s">
        <v>80</v>
      </c>
      <c r="K168" t="s">
        <v>110</v>
      </c>
      <c r="L168" t="s">
        <v>111</v>
      </c>
      <c r="M168">
        <v>69287</v>
      </c>
      <c r="O168" t="s">
        <v>2455</v>
      </c>
      <c r="P168" t="s">
        <v>154</v>
      </c>
      <c r="Q168" t="s">
        <v>731</v>
      </c>
      <c r="R168" t="s">
        <v>732</v>
      </c>
      <c r="S168" t="s">
        <v>733</v>
      </c>
      <c r="T168" t="s">
        <v>824</v>
      </c>
      <c r="U168" t="s">
        <v>1833</v>
      </c>
      <c r="V168" t="s">
        <v>2456</v>
      </c>
      <c r="W168" t="s">
        <v>2457</v>
      </c>
      <c r="X168" t="s">
        <v>2458</v>
      </c>
      <c r="Y168" t="s">
        <v>93</v>
      </c>
      <c r="Z168" t="s">
        <v>119</v>
      </c>
      <c r="AA168" t="s">
        <v>2459</v>
      </c>
      <c r="AB168" t="s">
        <v>829</v>
      </c>
      <c r="AC168" t="s">
        <v>1118</v>
      </c>
      <c r="AD168" t="s">
        <v>119</v>
      </c>
      <c r="AE168" t="s">
        <v>2459</v>
      </c>
      <c r="AF168" t="s">
        <v>829</v>
      </c>
      <c r="AG168" t="s">
        <v>1118</v>
      </c>
      <c r="AI168" t="s">
        <v>2460</v>
      </c>
      <c r="AJ168" t="s">
        <v>119</v>
      </c>
      <c r="AK168" t="s">
        <v>99</v>
      </c>
      <c r="AL168" t="s">
        <v>2461</v>
      </c>
      <c r="AM168" t="s">
        <v>2462</v>
      </c>
      <c r="AQ168" t="s">
        <v>2463</v>
      </c>
      <c r="AR168" t="s">
        <v>125</v>
      </c>
      <c r="AT168" t="s">
        <v>2464</v>
      </c>
      <c r="AU168" t="s">
        <v>2465</v>
      </c>
      <c r="AV168" t="s">
        <v>128</v>
      </c>
      <c r="AZ168" t="s">
        <v>80</v>
      </c>
    </row>
    <row r="169" spans="1:52" hidden="1" x14ac:dyDescent="0.25">
      <c r="A169" t="s">
        <v>2466</v>
      </c>
      <c r="B169" t="s">
        <v>2467</v>
      </c>
      <c r="C169" t="s">
        <v>2468</v>
      </c>
      <c r="D169" t="s">
        <v>78</v>
      </c>
      <c r="E169" t="s">
        <v>2469</v>
      </c>
      <c r="F169" t="s">
        <v>2453</v>
      </c>
      <c r="G169" t="s">
        <v>2453</v>
      </c>
      <c r="H169" t="s">
        <v>2470</v>
      </c>
      <c r="J169" t="s">
        <v>80</v>
      </c>
      <c r="K169" t="s">
        <v>110</v>
      </c>
      <c r="L169" t="s">
        <v>111</v>
      </c>
      <c r="M169">
        <v>69287</v>
      </c>
      <c r="O169" t="s">
        <v>2455</v>
      </c>
      <c r="P169" t="s">
        <v>154</v>
      </c>
      <c r="Q169" t="s">
        <v>731</v>
      </c>
      <c r="R169" t="s">
        <v>732</v>
      </c>
      <c r="S169" t="s">
        <v>733</v>
      </c>
      <c r="T169" t="s">
        <v>824</v>
      </c>
      <c r="U169" t="s">
        <v>1833</v>
      </c>
      <c r="V169" t="s">
        <v>2456</v>
      </c>
      <c r="W169" t="s">
        <v>2471</v>
      </c>
      <c r="X169" t="s">
        <v>2472</v>
      </c>
      <c r="Y169" t="s">
        <v>93</v>
      </c>
      <c r="Z169" t="s">
        <v>119</v>
      </c>
      <c r="AA169" t="s">
        <v>2459</v>
      </c>
      <c r="AB169" t="s">
        <v>829</v>
      </c>
      <c r="AC169" t="s">
        <v>1118</v>
      </c>
      <c r="AD169" t="s">
        <v>119</v>
      </c>
      <c r="AE169" t="s">
        <v>2459</v>
      </c>
      <c r="AF169" t="s">
        <v>829</v>
      </c>
      <c r="AG169" t="s">
        <v>1118</v>
      </c>
      <c r="AI169" t="s">
        <v>2460</v>
      </c>
      <c r="AJ169" t="s">
        <v>119</v>
      </c>
      <c r="AK169" t="s">
        <v>99</v>
      </c>
      <c r="AL169" t="s">
        <v>2473</v>
      </c>
      <c r="AM169" t="s">
        <v>2474</v>
      </c>
      <c r="AQ169" t="s">
        <v>2475</v>
      </c>
      <c r="AR169" t="s">
        <v>125</v>
      </c>
      <c r="AT169" t="s">
        <v>2476</v>
      </c>
      <c r="AU169" t="s">
        <v>2465</v>
      </c>
      <c r="AV169" t="s">
        <v>128</v>
      </c>
      <c r="AZ169" t="s">
        <v>80</v>
      </c>
    </row>
    <row r="170" spans="1:52" hidden="1" x14ac:dyDescent="0.25">
      <c r="A170" t="s">
        <v>2477</v>
      </c>
      <c r="B170" t="s">
        <v>2478</v>
      </c>
      <c r="C170" t="s">
        <v>2479</v>
      </c>
      <c r="D170" t="s">
        <v>78</v>
      </c>
      <c r="E170" t="s">
        <v>2480</v>
      </c>
      <c r="F170" t="s">
        <v>2481</v>
      </c>
      <c r="G170" t="s">
        <v>2481</v>
      </c>
      <c r="H170" t="s">
        <v>2482</v>
      </c>
      <c r="J170" t="s">
        <v>80</v>
      </c>
      <c r="K170" t="s">
        <v>110</v>
      </c>
      <c r="L170" t="s">
        <v>111</v>
      </c>
      <c r="M170">
        <v>69287</v>
      </c>
      <c r="O170" t="s">
        <v>2455</v>
      </c>
      <c r="P170" t="s">
        <v>154</v>
      </c>
      <c r="Q170" t="s">
        <v>731</v>
      </c>
      <c r="R170" t="s">
        <v>732</v>
      </c>
      <c r="S170" t="s">
        <v>733</v>
      </c>
      <c r="T170" t="s">
        <v>824</v>
      </c>
      <c r="U170" t="s">
        <v>1833</v>
      </c>
      <c r="V170" t="s">
        <v>2456</v>
      </c>
      <c r="W170" t="s">
        <v>2483</v>
      </c>
      <c r="X170" t="s">
        <v>2472</v>
      </c>
      <c r="Y170" t="s">
        <v>93</v>
      </c>
      <c r="Z170" t="s">
        <v>119</v>
      </c>
      <c r="AA170" t="s">
        <v>2459</v>
      </c>
      <c r="AB170" t="s">
        <v>829</v>
      </c>
      <c r="AC170" t="s">
        <v>1118</v>
      </c>
      <c r="AD170" t="s">
        <v>119</v>
      </c>
      <c r="AE170" t="s">
        <v>2459</v>
      </c>
      <c r="AF170" t="s">
        <v>829</v>
      </c>
      <c r="AG170" t="s">
        <v>1118</v>
      </c>
      <c r="AI170" t="s">
        <v>2460</v>
      </c>
      <c r="AJ170" t="s">
        <v>119</v>
      </c>
      <c r="AK170" t="s">
        <v>99</v>
      </c>
      <c r="AL170" t="s">
        <v>2484</v>
      </c>
      <c r="AM170" t="s">
        <v>2485</v>
      </c>
      <c r="AQ170" t="s">
        <v>2486</v>
      </c>
      <c r="AR170" t="s">
        <v>125</v>
      </c>
      <c r="AT170" t="s">
        <v>2487</v>
      </c>
      <c r="AU170" t="s">
        <v>2465</v>
      </c>
      <c r="AV170" t="s">
        <v>128</v>
      </c>
      <c r="AZ170" t="s">
        <v>80</v>
      </c>
    </row>
    <row r="171" spans="1:52" hidden="1" x14ac:dyDescent="0.25">
      <c r="A171" t="s">
        <v>2488</v>
      </c>
      <c r="B171" t="s">
        <v>2489</v>
      </c>
      <c r="C171" t="s">
        <v>2490</v>
      </c>
      <c r="D171" t="s">
        <v>78</v>
      </c>
      <c r="E171" t="s">
        <v>2491</v>
      </c>
      <c r="F171" t="s">
        <v>2453</v>
      </c>
      <c r="G171" t="s">
        <v>2453</v>
      </c>
      <c r="H171" t="s">
        <v>2492</v>
      </c>
      <c r="J171" t="s">
        <v>80</v>
      </c>
      <c r="K171" t="s">
        <v>110</v>
      </c>
      <c r="L171" t="s">
        <v>111</v>
      </c>
      <c r="M171">
        <v>69287</v>
      </c>
      <c r="O171" t="s">
        <v>2455</v>
      </c>
      <c r="P171" t="s">
        <v>154</v>
      </c>
      <c r="Q171" t="s">
        <v>731</v>
      </c>
      <c r="R171" t="s">
        <v>732</v>
      </c>
      <c r="S171" t="s">
        <v>733</v>
      </c>
      <c r="T171" t="s">
        <v>824</v>
      </c>
      <c r="U171" t="s">
        <v>1833</v>
      </c>
      <c r="V171" t="s">
        <v>2456</v>
      </c>
      <c r="W171" t="s">
        <v>2493</v>
      </c>
      <c r="X171" t="s">
        <v>2494</v>
      </c>
      <c r="Y171" t="s">
        <v>93</v>
      </c>
      <c r="Z171" t="s">
        <v>119</v>
      </c>
      <c r="AA171" t="s">
        <v>2459</v>
      </c>
      <c r="AB171" t="s">
        <v>829</v>
      </c>
      <c r="AC171" t="s">
        <v>1118</v>
      </c>
      <c r="AD171" t="s">
        <v>119</v>
      </c>
      <c r="AE171" t="s">
        <v>2459</v>
      </c>
      <c r="AF171" t="s">
        <v>829</v>
      </c>
      <c r="AG171" t="s">
        <v>1118</v>
      </c>
      <c r="AI171" t="s">
        <v>2460</v>
      </c>
      <c r="AJ171" t="s">
        <v>119</v>
      </c>
      <c r="AK171" t="s">
        <v>99</v>
      </c>
      <c r="AL171" t="s">
        <v>2495</v>
      </c>
      <c r="AM171" t="s">
        <v>2496</v>
      </c>
      <c r="AQ171" t="s">
        <v>2497</v>
      </c>
      <c r="AR171" t="s">
        <v>125</v>
      </c>
      <c r="AT171" t="s">
        <v>2498</v>
      </c>
      <c r="AU171" t="s">
        <v>2465</v>
      </c>
      <c r="AV171" t="s">
        <v>128</v>
      </c>
      <c r="AZ171" t="s">
        <v>80</v>
      </c>
    </row>
    <row r="172" spans="1:52" hidden="1" x14ac:dyDescent="0.25">
      <c r="A172" t="s">
        <v>2499</v>
      </c>
      <c r="B172" t="s">
        <v>2500</v>
      </c>
      <c r="C172" t="s">
        <v>2501</v>
      </c>
      <c r="D172" t="s">
        <v>78</v>
      </c>
      <c r="E172" t="s">
        <v>2502</v>
      </c>
      <c r="F172" t="s">
        <v>2503</v>
      </c>
      <c r="G172" t="s">
        <v>2503</v>
      </c>
      <c r="H172" t="s">
        <v>2504</v>
      </c>
      <c r="J172" t="s">
        <v>80</v>
      </c>
      <c r="K172" t="s">
        <v>110</v>
      </c>
      <c r="L172" t="s">
        <v>111</v>
      </c>
      <c r="M172">
        <v>69287</v>
      </c>
      <c r="O172" t="s">
        <v>2455</v>
      </c>
      <c r="P172" t="s">
        <v>154</v>
      </c>
      <c r="Q172" t="s">
        <v>731</v>
      </c>
      <c r="R172" t="s">
        <v>732</v>
      </c>
      <c r="S172" t="s">
        <v>733</v>
      </c>
      <c r="T172" t="s">
        <v>824</v>
      </c>
      <c r="U172" t="s">
        <v>1833</v>
      </c>
      <c r="V172" t="s">
        <v>2456</v>
      </c>
      <c r="W172" t="s">
        <v>2505</v>
      </c>
      <c r="X172" t="s">
        <v>2494</v>
      </c>
      <c r="Y172" t="s">
        <v>93</v>
      </c>
      <c r="Z172" t="s">
        <v>119</v>
      </c>
      <c r="AA172" t="s">
        <v>2459</v>
      </c>
      <c r="AB172" t="s">
        <v>829</v>
      </c>
      <c r="AC172" t="s">
        <v>1118</v>
      </c>
      <c r="AD172" t="s">
        <v>119</v>
      </c>
      <c r="AE172" t="s">
        <v>2459</v>
      </c>
      <c r="AF172" t="s">
        <v>829</v>
      </c>
      <c r="AG172" t="s">
        <v>1118</v>
      </c>
      <c r="AI172" t="s">
        <v>2460</v>
      </c>
      <c r="AJ172" t="s">
        <v>119</v>
      </c>
      <c r="AK172" t="s">
        <v>99</v>
      </c>
      <c r="AL172" t="s">
        <v>2506</v>
      </c>
      <c r="AM172" t="s">
        <v>2507</v>
      </c>
      <c r="AQ172" t="s">
        <v>2508</v>
      </c>
      <c r="AR172" t="s">
        <v>125</v>
      </c>
      <c r="AT172" t="s">
        <v>2509</v>
      </c>
      <c r="AU172" t="s">
        <v>2465</v>
      </c>
      <c r="AV172" t="s">
        <v>128</v>
      </c>
      <c r="AZ172" t="s">
        <v>80</v>
      </c>
    </row>
    <row r="173" spans="1:52" hidden="1" x14ac:dyDescent="0.25">
      <c r="A173" t="s">
        <v>2510</v>
      </c>
      <c r="B173" t="s">
        <v>2511</v>
      </c>
      <c r="C173" t="s">
        <v>2512</v>
      </c>
      <c r="D173" t="s">
        <v>78</v>
      </c>
      <c r="E173" t="s">
        <v>2513</v>
      </c>
      <c r="F173" t="s">
        <v>2514</v>
      </c>
      <c r="G173" t="s">
        <v>2514</v>
      </c>
      <c r="H173" t="s">
        <v>2515</v>
      </c>
      <c r="J173" t="s">
        <v>80</v>
      </c>
      <c r="K173" t="s">
        <v>110</v>
      </c>
      <c r="L173" t="s">
        <v>111</v>
      </c>
      <c r="M173">
        <v>66820</v>
      </c>
      <c r="O173" t="s">
        <v>2516</v>
      </c>
      <c r="P173" t="s">
        <v>134</v>
      </c>
      <c r="Q173" t="s">
        <v>85</v>
      </c>
      <c r="R173" t="s">
        <v>86</v>
      </c>
      <c r="S173" t="s">
        <v>87</v>
      </c>
      <c r="T173" t="s">
        <v>2517</v>
      </c>
      <c r="U173" t="s">
        <v>2518</v>
      </c>
      <c r="V173" t="s">
        <v>2519</v>
      </c>
      <c r="W173" t="s">
        <v>2520</v>
      </c>
      <c r="X173" t="s">
        <v>2521</v>
      </c>
      <c r="Y173" t="s">
        <v>93</v>
      </c>
      <c r="Z173" t="s">
        <v>182</v>
      </c>
      <c r="AA173" t="s">
        <v>2522</v>
      </c>
      <c r="AB173" t="s">
        <v>2003</v>
      </c>
      <c r="AC173" t="s">
        <v>2523</v>
      </c>
      <c r="AD173" t="s">
        <v>182</v>
      </c>
      <c r="AE173" t="s">
        <v>2522</v>
      </c>
      <c r="AF173" t="s">
        <v>2003</v>
      </c>
      <c r="AG173" t="s">
        <v>2523</v>
      </c>
      <c r="AI173" t="s">
        <v>2524</v>
      </c>
      <c r="AJ173" t="s">
        <v>182</v>
      </c>
      <c r="AK173" t="s">
        <v>99</v>
      </c>
      <c r="AL173" t="s">
        <v>2525</v>
      </c>
      <c r="AM173" t="s">
        <v>2526</v>
      </c>
      <c r="AQ173" t="s">
        <v>2527</v>
      </c>
      <c r="AR173" t="s">
        <v>125</v>
      </c>
      <c r="AT173" t="s">
        <v>2528</v>
      </c>
      <c r="AU173" t="s">
        <v>2529</v>
      </c>
      <c r="AV173" t="s">
        <v>190</v>
      </c>
      <c r="AZ173" t="s">
        <v>80</v>
      </c>
    </row>
    <row r="174" spans="1:52" hidden="1" x14ac:dyDescent="0.25">
      <c r="A174" t="s">
        <v>2530</v>
      </c>
      <c r="B174" t="s">
        <v>2531</v>
      </c>
      <c r="C174" t="s">
        <v>2532</v>
      </c>
      <c r="D174" t="s">
        <v>78</v>
      </c>
      <c r="E174" t="s">
        <v>2533</v>
      </c>
      <c r="F174" t="s">
        <v>2514</v>
      </c>
      <c r="G174" t="s">
        <v>2514</v>
      </c>
      <c r="H174" t="s">
        <v>2534</v>
      </c>
      <c r="J174" t="s">
        <v>80</v>
      </c>
      <c r="K174" t="s">
        <v>110</v>
      </c>
      <c r="L174" t="s">
        <v>111</v>
      </c>
      <c r="M174">
        <v>66820</v>
      </c>
      <c r="O174" t="s">
        <v>2516</v>
      </c>
      <c r="P174" t="s">
        <v>134</v>
      </c>
      <c r="Q174" t="s">
        <v>85</v>
      </c>
      <c r="R174" t="s">
        <v>86</v>
      </c>
      <c r="S174" t="s">
        <v>87</v>
      </c>
      <c r="T174" t="s">
        <v>2517</v>
      </c>
      <c r="U174" t="s">
        <v>2518</v>
      </c>
      <c r="V174" t="s">
        <v>2519</v>
      </c>
      <c r="W174" t="s">
        <v>2535</v>
      </c>
      <c r="X174" t="s">
        <v>2536</v>
      </c>
      <c r="Y174" t="s">
        <v>93</v>
      </c>
      <c r="Z174" t="s">
        <v>182</v>
      </c>
      <c r="AA174" t="s">
        <v>2522</v>
      </c>
      <c r="AB174" t="s">
        <v>2003</v>
      </c>
      <c r="AC174" t="s">
        <v>2523</v>
      </c>
      <c r="AD174" t="s">
        <v>182</v>
      </c>
      <c r="AE174" t="s">
        <v>2522</v>
      </c>
      <c r="AF174" t="s">
        <v>2003</v>
      </c>
      <c r="AG174" t="s">
        <v>2523</v>
      </c>
      <c r="AI174" t="s">
        <v>2524</v>
      </c>
      <c r="AJ174" t="s">
        <v>182</v>
      </c>
      <c r="AK174" t="s">
        <v>99</v>
      </c>
      <c r="AL174" t="s">
        <v>2537</v>
      </c>
      <c r="AM174" t="s">
        <v>2538</v>
      </c>
      <c r="AQ174" t="s">
        <v>2539</v>
      </c>
      <c r="AR174" t="s">
        <v>125</v>
      </c>
      <c r="AT174" t="s">
        <v>2540</v>
      </c>
      <c r="AU174" t="s">
        <v>2529</v>
      </c>
      <c r="AV174" t="s">
        <v>190</v>
      </c>
      <c r="AZ174" t="s">
        <v>80</v>
      </c>
    </row>
    <row r="175" spans="1:52" hidden="1" x14ac:dyDescent="0.25">
      <c r="A175" t="s">
        <v>2541</v>
      </c>
      <c r="B175" t="s">
        <v>2542</v>
      </c>
      <c r="C175" t="s">
        <v>2543</v>
      </c>
      <c r="D175" t="s">
        <v>2544</v>
      </c>
      <c r="E175" t="s">
        <v>2545</v>
      </c>
      <c r="F175" t="s">
        <v>2546</v>
      </c>
      <c r="G175" t="s">
        <v>2546</v>
      </c>
      <c r="J175" t="s">
        <v>80</v>
      </c>
      <c r="K175" t="s">
        <v>110</v>
      </c>
      <c r="L175" t="s">
        <v>111</v>
      </c>
      <c r="M175" t="s">
        <v>2547</v>
      </c>
      <c r="P175" t="s">
        <v>1266</v>
      </c>
      <c r="Q175" t="s">
        <v>85</v>
      </c>
      <c r="R175" t="s">
        <v>86</v>
      </c>
      <c r="S175" t="s">
        <v>748</v>
      </c>
      <c r="T175" t="s">
        <v>1267</v>
      </c>
      <c r="U175" t="s">
        <v>2548</v>
      </c>
      <c r="V175" t="s">
        <v>115</v>
      </c>
      <c r="W175" t="s">
        <v>2549</v>
      </c>
      <c r="X175" t="s">
        <v>2550</v>
      </c>
      <c r="Y175" t="s">
        <v>93</v>
      </c>
      <c r="Z175" t="s">
        <v>119</v>
      </c>
      <c r="AA175" t="s">
        <v>2551</v>
      </c>
      <c r="AB175" t="s">
        <v>94</v>
      </c>
      <c r="AC175" t="s">
        <v>1836</v>
      </c>
      <c r="AD175" t="s">
        <v>119</v>
      </c>
      <c r="AE175" t="s">
        <v>2551</v>
      </c>
      <c r="AF175" t="s">
        <v>94</v>
      </c>
      <c r="AG175" t="s">
        <v>1836</v>
      </c>
      <c r="AI175" t="s">
        <v>2552</v>
      </c>
      <c r="AJ175" t="s">
        <v>119</v>
      </c>
      <c r="AK175" t="s">
        <v>99</v>
      </c>
      <c r="AL175" t="s">
        <v>2553</v>
      </c>
      <c r="AM175" t="s">
        <v>2554</v>
      </c>
      <c r="AN175" t="s">
        <v>2555</v>
      </c>
      <c r="AR175" t="s">
        <v>125</v>
      </c>
      <c r="AT175" t="s">
        <v>2556</v>
      </c>
      <c r="AV175" t="s">
        <v>128</v>
      </c>
      <c r="AZ175" t="s">
        <v>80</v>
      </c>
    </row>
    <row r="176" spans="1:52" hidden="1" x14ac:dyDescent="0.25">
      <c r="A176" t="s">
        <v>2557</v>
      </c>
      <c r="B176" t="s">
        <v>2558</v>
      </c>
      <c r="C176" t="s">
        <v>2559</v>
      </c>
      <c r="D176" t="s">
        <v>2544</v>
      </c>
      <c r="E176" t="s">
        <v>2560</v>
      </c>
      <c r="F176" t="s">
        <v>2561</v>
      </c>
      <c r="G176" t="s">
        <v>2561</v>
      </c>
      <c r="J176" t="s">
        <v>80</v>
      </c>
      <c r="K176" t="s">
        <v>81</v>
      </c>
      <c r="L176" t="s">
        <v>111</v>
      </c>
      <c r="M176" t="s">
        <v>2240</v>
      </c>
      <c r="P176" t="s">
        <v>154</v>
      </c>
      <c r="Q176" t="s">
        <v>155</v>
      </c>
      <c r="R176" t="s">
        <v>156</v>
      </c>
      <c r="S176" t="s">
        <v>157</v>
      </c>
      <c r="T176" t="s">
        <v>2163</v>
      </c>
      <c r="U176" t="s">
        <v>2241</v>
      </c>
      <c r="V176" t="s">
        <v>2242</v>
      </c>
      <c r="W176" t="s">
        <v>797</v>
      </c>
      <c r="X176" t="s">
        <v>2165</v>
      </c>
      <c r="Y176" t="s">
        <v>93</v>
      </c>
      <c r="Z176" t="s">
        <v>249</v>
      </c>
      <c r="AA176" t="s">
        <v>2244</v>
      </c>
      <c r="AB176" t="s">
        <v>119</v>
      </c>
      <c r="AC176" t="s">
        <v>2245</v>
      </c>
      <c r="AD176" t="s">
        <v>249</v>
      </c>
      <c r="AE176" t="s">
        <v>2244</v>
      </c>
      <c r="AF176" t="s">
        <v>119</v>
      </c>
      <c r="AG176" t="s">
        <v>2245</v>
      </c>
      <c r="AI176" t="s">
        <v>2246</v>
      </c>
      <c r="AJ176" t="s">
        <v>249</v>
      </c>
      <c r="AK176" t="s">
        <v>99</v>
      </c>
      <c r="AL176" t="s">
        <v>2562</v>
      </c>
      <c r="AM176" t="s">
        <v>2563</v>
      </c>
      <c r="AN176" t="s">
        <v>2564</v>
      </c>
      <c r="AP176" t="s">
        <v>1218</v>
      </c>
      <c r="AR176" t="s">
        <v>125</v>
      </c>
      <c r="AT176" t="s">
        <v>2565</v>
      </c>
      <c r="AV176" t="s">
        <v>128</v>
      </c>
      <c r="AZ176" t="s">
        <v>80</v>
      </c>
    </row>
    <row r="177" spans="1:52" hidden="1" x14ac:dyDescent="0.25">
      <c r="A177" t="s">
        <v>2566</v>
      </c>
      <c r="B177" t="s">
        <v>2567</v>
      </c>
      <c r="C177" t="s">
        <v>2568</v>
      </c>
      <c r="D177" t="s">
        <v>2544</v>
      </c>
      <c r="E177" t="s">
        <v>2569</v>
      </c>
      <c r="F177" t="s">
        <v>2570</v>
      </c>
      <c r="G177" t="s">
        <v>2570</v>
      </c>
      <c r="J177" t="s">
        <v>80</v>
      </c>
      <c r="K177" t="s">
        <v>110</v>
      </c>
      <c r="L177" t="s">
        <v>111</v>
      </c>
      <c r="M177">
        <v>69601</v>
      </c>
      <c r="P177" t="s">
        <v>154</v>
      </c>
      <c r="Q177" t="s">
        <v>731</v>
      </c>
      <c r="R177" t="s">
        <v>732</v>
      </c>
      <c r="S177" t="s">
        <v>733</v>
      </c>
      <c r="T177" t="s">
        <v>2571</v>
      </c>
      <c r="U177" t="s">
        <v>400</v>
      </c>
      <c r="V177" t="s">
        <v>90</v>
      </c>
      <c r="W177" t="s">
        <v>161</v>
      </c>
      <c r="X177" t="s">
        <v>2572</v>
      </c>
      <c r="Y177" t="s">
        <v>93</v>
      </c>
      <c r="Z177" t="s">
        <v>699</v>
      </c>
      <c r="AA177" t="s">
        <v>2573</v>
      </c>
      <c r="AB177" t="s">
        <v>2048</v>
      </c>
      <c r="AC177" t="s">
        <v>2574</v>
      </c>
      <c r="AD177" t="s">
        <v>699</v>
      </c>
      <c r="AE177" t="s">
        <v>2573</v>
      </c>
      <c r="AF177" t="s">
        <v>2048</v>
      </c>
      <c r="AG177" t="s">
        <v>2574</v>
      </c>
      <c r="AI177" t="s">
        <v>2575</v>
      </c>
      <c r="AJ177" t="s">
        <v>699</v>
      </c>
      <c r="AK177" t="s">
        <v>99</v>
      </c>
      <c r="AL177" t="s">
        <v>2576</v>
      </c>
      <c r="AM177" t="s">
        <v>2577</v>
      </c>
      <c r="AN177" t="s">
        <v>2578</v>
      </c>
      <c r="AR177" t="s">
        <v>125</v>
      </c>
      <c r="AT177" t="s">
        <v>2579</v>
      </c>
      <c r="AV177" t="s">
        <v>128</v>
      </c>
      <c r="AZ177" t="s">
        <v>80</v>
      </c>
    </row>
    <row r="178" spans="1:52" hidden="1" x14ac:dyDescent="0.25">
      <c r="A178" t="s">
        <v>2580</v>
      </c>
      <c r="B178" t="s">
        <v>2581</v>
      </c>
      <c r="C178" t="s">
        <v>2582</v>
      </c>
      <c r="D178" t="s">
        <v>2544</v>
      </c>
      <c r="E178" t="s">
        <v>2583</v>
      </c>
      <c r="F178" t="s">
        <v>2584</v>
      </c>
      <c r="G178" t="s">
        <v>2584</v>
      </c>
      <c r="J178" t="s">
        <v>80</v>
      </c>
      <c r="K178" t="s">
        <v>110</v>
      </c>
      <c r="L178" t="s">
        <v>111</v>
      </c>
      <c r="M178" t="s">
        <v>2585</v>
      </c>
      <c r="P178" t="s">
        <v>1266</v>
      </c>
      <c r="Q178" t="s">
        <v>85</v>
      </c>
      <c r="R178" t="s">
        <v>86</v>
      </c>
      <c r="S178" t="s">
        <v>87</v>
      </c>
      <c r="T178" t="s">
        <v>1267</v>
      </c>
      <c r="U178" t="s">
        <v>2586</v>
      </c>
      <c r="V178" t="s">
        <v>2587</v>
      </c>
      <c r="W178" t="s">
        <v>501</v>
      </c>
      <c r="X178" t="s">
        <v>2550</v>
      </c>
      <c r="Y178" t="s">
        <v>93</v>
      </c>
      <c r="Z178" t="s">
        <v>119</v>
      </c>
      <c r="AA178" t="s">
        <v>2588</v>
      </c>
      <c r="AB178" t="s">
        <v>94</v>
      </c>
      <c r="AC178" t="s">
        <v>2589</v>
      </c>
      <c r="AD178" t="s">
        <v>119</v>
      </c>
      <c r="AE178" t="s">
        <v>2588</v>
      </c>
      <c r="AF178" t="s">
        <v>94</v>
      </c>
      <c r="AG178" t="s">
        <v>2589</v>
      </c>
      <c r="AI178" t="s">
        <v>2590</v>
      </c>
      <c r="AJ178" t="s">
        <v>119</v>
      </c>
      <c r="AK178" t="s">
        <v>99</v>
      </c>
      <c r="AL178" t="s">
        <v>2591</v>
      </c>
      <c r="AM178" t="s">
        <v>2592</v>
      </c>
      <c r="AN178" t="s">
        <v>2555</v>
      </c>
      <c r="AR178" t="s">
        <v>125</v>
      </c>
      <c r="AT178" t="s">
        <v>2593</v>
      </c>
      <c r="AV178" t="s">
        <v>128</v>
      </c>
      <c r="AZ178" t="s">
        <v>80</v>
      </c>
    </row>
    <row r="179" spans="1:52" hidden="1" x14ac:dyDescent="0.25">
      <c r="A179" t="s">
        <v>1285</v>
      </c>
      <c r="B179" t="s">
        <v>2594</v>
      </c>
      <c r="C179" t="s">
        <v>2595</v>
      </c>
      <c r="D179" t="s">
        <v>2596</v>
      </c>
      <c r="E179" t="s">
        <v>2597</v>
      </c>
      <c r="F179" t="s">
        <v>2597</v>
      </c>
      <c r="G179" t="s">
        <v>2597</v>
      </c>
      <c r="J179" t="s">
        <v>80</v>
      </c>
      <c r="K179" t="s">
        <v>110</v>
      </c>
      <c r="L179" t="s">
        <v>111</v>
      </c>
      <c r="M179">
        <v>69285</v>
      </c>
      <c r="P179" t="s">
        <v>154</v>
      </c>
      <c r="Q179" t="s">
        <v>731</v>
      </c>
      <c r="R179" t="s">
        <v>732</v>
      </c>
      <c r="S179" t="s">
        <v>733</v>
      </c>
      <c r="T179" t="s">
        <v>542</v>
      </c>
      <c r="U179" t="s">
        <v>675</v>
      </c>
      <c r="V179" t="s">
        <v>2598</v>
      </c>
      <c r="W179" t="s">
        <v>2599</v>
      </c>
      <c r="X179" t="s">
        <v>2600</v>
      </c>
      <c r="Y179" t="s">
        <v>93</v>
      </c>
      <c r="Z179" t="s">
        <v>119</v>
      </c>
      <c r="AA179" t="s">
        <v>2459</v>
      </c>
      <c r="AB179" t="s">
        <v>548</v>
      </c>
      <c r="AC179" t="s">
        <v>2601</v>
      </c>
      <c r="AD179" t="s">
        <v>119</v>
      </c>
      <c r="AE179" t="s">
        <v>2459</v>
      </c>
      <c r="AF179" t="s">
        <v>548</v>
      </c>
      <c r="AG179" t="s">
        <v>2601</v>
      </c>
      <c r="AI179" t="s">
        <v>2460</v>
      </c>
      <c r="AJ179" t="s">
        <v>119</v>
      </c>
      <c r="AK179" t="s">
        <v>99</v>
      </c>
      <c r="AL179" t="s">
        <v>2602</v>
      </c>
      <c r="AM179" t="s">
        <v>2603</v>
      </c>
      <c r="AR179" t="s">
        <v>125</v>
      </c>
      <c r="AT179" t="s">
        <v>2604</v>
      </c>
      <c r="AV179" t="s">
        <v>128</v>
      </c>
      <c r="AZ179" t="s">
        <v>80</v>
      </c>
    </row>
    <row r="180" spans="1:52" hidden="1" x14ac:dyDescent="0.25">
      <c r="A180" t="s">
        <v>2605</v>
      </c>
      <c r="B180" t="s">
        <v>2606</v>
      </c>
      <c r="C180" t="s">
        <v>2607</v>
      </c>
      <c r="D180" t="s">
        <v>2608</v>
      </c>
      <c r="E180" t="s">
        <v>2609</v>
      </c>
      <c r="F180" t="s">
        <v>2609</v>
      </c>
      <c r="G180" t="s">
        <v>2609</v>
      </c>
      <c r="J180" t="s">
        <v>80</v>
      </c>
      <c r="K180" t="s">
        <v>538</v>
      </c>
      <c r="L180" t="s">
        <v>111</v>
      </c>
      <c r="M180">
        <v>66249</v>
      </c>
      <c r="P180" t="s">
        <v>134</v>
      </c>
      <c r="Q180" t="s">
        <v>1205</v>
      </c>
      <c r="R180" t="s">
        <v>914</v>
      </c>
      <c r="S180" t="s">
        <v>444</v>
      </c>
      <c r="T180" t="s">
        <v>2610</v>
      </c>
      <c r="U180" t="s">
        <v>2611</v>
      </c>
      <c r="V180" t="s">
        <v>1954</v>
      </c>
      <c r="W180" t="s">
        <v>139</v>
      </c>
      <c r="X180" t="s">
        <v>2612</v>
      </c>
      <c r="Y180" t="s">
        <v>93</v>
      </c>
      <c r="Z180" t="s">
        <v>2613</v>
      </c>
      <c r="AA180" t="s">
        <v>1593</v>
      </c>
      <c r="AB180" t="s">
        <v>699</v>
      </c>
      <c r="AC180" t="s">
        <v>2614</v>
      </c>
      <c r="AD180" t="s">
        <v>2613</v>
      </c>
      <c r="AE180" t="s">
        <v>1593</v>
      </c>
      <c r="AF180" t="s">
        <v>699</v>
      </c>
      <c r="AG180" t="s">
        <v>2614</v>
      </c>
      <c r="AI180" t="s">
        <v>2615</v>
      </c>
      <c r="AJ180" t="s">
        <v>2613</v>
      </c>
      <c r="AK180" t="s">
        <v>99</v>
      </c>
      <c r="AL180" t="s">
        <v>2616</v>
      </c>
      <c r="AM180" t="s">
        <v>2603</v>
      </c>
      <c r="AR180" t="s">
        <v>125</v>
      </c>
      <c r="AT180" t="s">
        <v>2617</v>
      </c>
      <c r="AZ180" t="s">
        <v>80</v>
      </c>
    </row>
    <row r="181" spans="1:52" hidden="1" x14ac:dyDescent="0.25">
      <c r="A181" t="s">
        <v>2618</v>
      </c>
      <c r="B181" t="s">
        <v>2619</v>
      </c>
      <c r="C181" t="s">
        <v>2620</v>
      </c>
      <c r="D181" t="s">
        <v>78</v>
      </c>
      <c r="E181" t="s">
        <v>2621</v>
      </c>
      <c r="F181" t="s">
        <v>2621</v>
      </c>
      <c r="G181" t="s">
        <v>2621</v>
      </c>
      <c r="J181" t="s">
        <v>80</v>
      </c>
      <c r="K181" t="s">
        <v>81</v>
      </c>
      <c r="L181" t="s">
        <v>80</v>
      </c>
      <c r="M181">
        <v>60431</v>
      </c>
      <c r="P181" t="s">
        <v>134</v>
      </c>
      <c r="Q181" t="s">
        <v>1205</v>
      </c>
      <c r="R181" t="s">
        <v>914</v>
      </c>
      <c r="S181" t="s">
        <v>444</v>
      </c>
      <c r="T181" t="s">
        <v>2622</v>
      </c>
      <c r="U181" t="s">
        <v>2623</v>
      </c>
      <c r="V181" t="s">
        <v>2624</v>
      </c>
      <c r="W181" t="s">
        <v>139</v>
      </c>
      <c r="X181" t="s">
        <v>2625</v>
      </c>
      <c r="Y181" t="s">
        <v>93</v>
      </c>
      <c r="Z181" t="s">
        <v>182</v>
      </c>
      <c r="AA181" t="s">
        <v>2626</v>
      </c>
      <c r="AB181" t="s">
        <v>2627</v>
      </c>
      <c r="AC181" t="s">
        <v>2628</v>
      </c>
      <c r="AD181" t="s">
        <v>182</v>
      </c>
      <c r="AE181" t="s">
        <v>2626</v>
      </c>
      <c r="AF181" t="s">
        <v>2627</v>
      </c>
      <c r="AG181" t="s">
        <v>2628</v>
      </c>
      <c r="AI181" t="s">
        <v>2629</v>
      </c>
      <c r="AJ181" t="s">
        <v>182</v>
      </c>
      <c r="AK181" t="s">
        <v>99</v>
      </c>
      <c r="AL181" t="s">
        <v>2630</v>
      </c>
      <c r="AM181" t="s">
        <v>2631</v>
      </c>
      <c r="AN181" t="s">
        <v>2632</v>
      </c>
      <c r="AP181" t="s">
        <v>1218</v>
      </c>
      <c r="AT181" t="s">
        <v>2633</v>
      </c>
      <c r="AV181" t="s">
        <v>128</v>
      </c>
      <c r="AZ181" t="s">
        <v>80</v>
      </c>
    </row>
    <row r="182" spans="1:52" hidden="1" x14ac:dyDescent="0.25">
      <c r="A182" t="s">
        <v>2634</v>
      </c>
      <c r="B182" t="s">
        <v>2635</v>
      </c>
      <c r="C182" t="s">
        <v>2636</v>
      </c>
      <c r="D182" t="s">
        <v>2544</v>
      </c>
      <c r="E182" t="s">
        <v>2637</v>
      </c>
      <c r="F182" t="s">
        <v>1893</v>
      </c>
      <c r="G182" t="s">
        <v>1893</v>
      </c>
      <c r="J182" t="s">
        <v>80</v>
      </c>
      <c r="K182" t="s">
        <v>110</v>
      </c>
      <c r="L182" t="s">
        <v>111</v>
      </c>
      <c r="M182">
        <v>67329</v>
      </c>
      <c r="P182" t="s">
        <v>134</v>
      </c>
      <c r="Q182" t="s">
        <v>1744</v>
      </c>
      <c r="R182" t="s">
        <v>1550</v>
      </c>
      <c r="S182" t="s">
        <v>774</v>
      </c>
      <c r="T182" t="s">
        <v>1800</v>
      </c>
      <c r="U182" t="s">
        <v>2638</v>
      </c>
      <c r="V182" t="s">
        <v>1833</v>
      </c>
      <c r="W182" t="s">
        <v>2639</v>
      </c>
      <c r="X182" t="s">
        <v>2640</v>
      </c>
      <c r="Y182" t="s">
        <v>93</v>
      </c>
      <c r="Z182" t="s">
        <v>182</v>
      </c>
      <c r="AA182" t="s">
        <v>1898</v>
      </c>
      <c r="AB182" t="s">
        <v>1804</v>
      </c>
      <c r="AC182" t="s">
        <v>2641</v>
      </c>
      <c r="AD182" t="s">
        <v>182</v>
      </c>
      <c r="AE182" t="s">
        <v>1898</v>
      </c>
      <c r="AF182" t="s">
        <v>1804</v>
      </c>
      <c r="AG182" t="s">
        <v>2641</v>
      </c>
      <c r="AI182" t="s">
        <v>2642</v>
      </c>
      <c r="AJ182" t="s">
        <v>182</v>
      </c>
      <c r="AK182" t="s">
        <v>99</v>
      </c>
      <c r="AL182" t="s">
        <v>2643</v>
      </c>
      <c r="AM182" t="s">
        <v>2644</v>
      </c>
      <c r="AN182" t="s">
        <v>2578</v>
      </c>
      <c r="AR182" t="s">
        <v>125</v>
      </c>
      <c r="AT182" t="s">
        <v>2645</v>
      </c>
      <c r="AV182" t="s">
        <v>128</v>
      </c>
      <c r="AZ182" t="s">
        <v>80</v>
      </c>
    </row>
    <row r="183" spans="1:52" hidden="1" x14ac:dyDescent="0.25">
      <c r="A183" t="s">
        <v>2646</v>
      </c>
      <c r="B183" t="s">
        <v>2647</v>
      </c>
      <c r="C183" t="s">
        <v>2648</v>
      </c>
      <c r="D183" t="s">
        <v>78</v>
      </c>
      <c r="E183" t="s">
        <v>2649</v>
      </c>
      <c r="F183" t="s">
        <v>2649</v>
      </c>
      <c r="G183" t="s">
        <v>2649</v>
      </c>
      <c r="J183" t="s">
        <v>80</v>
      </c>
      <c r="K183" t="s">
        <v>81</v>
      </c>
      <c r="L183" t="s">
        <v>80</v>
      </c>
      <c r="M183">
        <v>60470</v>
      </c>
      <c r="P183" t="s">
        <v>134</v>
      </c>
      <c r="Q183" t="s">
        <v>1205</v>
      </c>
      <c r="R183" t="s">
        <v>914</v>
      </c>
      <c r="S183" t="s">
        <v>444</v>
      </c>
      <c r="T183" t="s">
        <v>2622</v>
      </c>
      <c r="U183" t="s">
        <v>2650</v>
      </c>
      <c r="V183" t="s">
        <v>2651</v>
      </c>
      <c r="W183" t="s">
        <v>139</v>
      </c>
      <c r="X183" t="s">
        <v>2625</v>
      </c>
      <c r="Y183" t="s">
        <v>93</v>
      </c>
      <c r="Z183" t="s">
        <v>2627</v>
      </c>
      <c r="AA183" t="s">
        <v>2652</v>
      </c>
      <c r="AB183" t="s">
        <v>182</v>
      </c>
      <c r="AC183" t="s">
        <v>2653</v>
      </c>
      <c r="AD183" t="s">
        <v>2627</v>
      </c>
      <c r="AE183" t="s">
        <v>2652</v>
      </c>
      <c r="AF183" t="s">
        <v>182</v>
      </c>
      <c r="AG183" t="s">
        <v>2653</v>
      </c>
      <c r="AI183" t="s">
        <v>2654</v>
      </c>
      <c r="AJ183" t="s">
        <v>2627</v>
      </c>
      <c r="AK183" t="s">
        <v>99</v>
      </c>
      <c r="AL183" t="s">
        <v>2655</v>
      </c>
      <c r="AM183" t="s">
        <v>2656</v>
      </c>
      <c r="AN183" t="s">
        <v>2632</v>
      </c>
      <c r="AP183" t="s">
        <v>1218</v>
      </c>
      <c r="AT183" t="s">
        <v>2657</v>
      </c>
      <c r="AV183" t="s">
        <v>128</v>
      </c>
      <c r="AZ183" t="s">
        <v>80</v>
      </c>
    </row>
    <row r="184" spans="1:52" hidden="1" x14ac:dyDescent="0.25">
      <c r="A184" t="s">
        <v>2658</v>
      </c>
      <c r="B184" t="s">
        <v>2659</v>
      </c>
      <c r="C184" t="s">
        <v>2660</v>
      </c>
      <c r="D184" t="s">
        <v>78</v>
      </c>
      <c r="E184" t="s">
        <v>2661</v>
      </c>
      <c r="F184" t="s">
        <v>2661</v>
      </c>
      <c r="G184" t="s">
        <v>2661</v>
      </c>
      <c r="J184" t="s">
        <v>80</v>
      </c>
      <c r="K184" t="s">
        <v>81</v>
      </c>
      <c r="L184" t="s">
        <v>80</v>
      </c>
      <c r="M184">
        <v>60468</v>
      </c>
      <c r="P184" t="s">
        <v>134</v>
      </c>
      <c r="Q184" t="s">
        <v>1205</v>
      </c>
      <c r="R184" t="s">
        <v>914</v>
      </c>
      <c r="S184" t="s">
        <v>444</v>
      </c>
      <c r="T184" t="s">
        <v>2622</v>
      </c>
      <c r="U184" t="s">
        <v>2650</v>
      </c>
      <c r="V184" t="s">
        <v>2651</v>
      </c>
      <c r="W184" t="s">
        <v>2662</v>
      </c>
      <c r="X184" t="s">
        <v>2663</v>
      </c>
      <c r="Y184" t="s">
        <v>507</v>
      </c>
      <c r="Z184" t="s">
        <v>2627</v>
      </c>
      <c r="AA184" t="s">
        <v>2664</v>
      </c>
      <c r="AB184" t="s">
        <v>182</v>
      </c>
      <c r="AC184" t="s">
        <v>2665</v>
      </c>
      <c r="AD184" t="s">
        <v>2627</v>
      </c>
      <c r="AE184" t="s">
        <v>2664</v>
      </c>
      <c r="AF184" t="s">
        <v>182</v>
      </c>
      <c r="AG184" t="s">
        <v>2665</v>
      </c>
      <c r="AI184" t="s">
        <v>2666</v>
      </c>
      <c r="AJ184" t="s">
        <v>2627</v>
      </c>
      <c r="AK184" t="s">
        <v>99</v>
      </c>
      <c r="AL184" t="s">
        <v>2667</v>
      </c>
      <c r="AM184" t="s">
        <v>2656</v>
      </c>
      <c r="AN184" t="s">
        <v>2632</v>
      </c>
      <c r="AP184" t="s">
        <v>1218</v>
      </c>
      <c r="AT184" t="s">
        <v>2668</v>
      </c>
      <c r="AV184" t="s">
        <v>128</v>
      </c>
      <c r="AZ184" t="s">
        <v>80</v>
      </c>
    </row>
    <row r="185" spans="1:52" hidden="1" x14ac:dyDescent="0.25">
      <c r="A185" t="s">
        <v>2669</v>
      </c>
      <c r="B185" t="s">
        <v>2670</v>
      </c>
      <c r="C185" t="s">
        <v>2671</v>
      </c>
      <c r="D185" t="s">
        <v>78</v>
      </c>
      <c r="E185" t="s">
        <v>2672</v>
      </c>
      <c r="F185" t="s">
        <v>2672</v>
      </c>
      <c r="G185" t="s">
        <v>2672</v>
      </c>
      <c r="J185" t="s">
        <v>80</v>
      </c>
      <c r="K185" t="s">
        <v>81</v>
      </c>
      <c r="L185" t="s">
        <v>80</v>
      </c>
      <c r="M185">
        <v>76310</v>
      </c>
      <c r="P185" t="s">
        <v>134</v>
      </c>
      <c r="Q185" t="s">
        <v>1205</v>
      </c>
      <c r="R185" t="s">
        <v>914</v>
      </c>
      <c r="S185" t="s">
        <v>444</v>
      </c>
      <c r="T185" t="s">
        <v>1849</v>
      </c>
      <c r="U185" t="s">
        <v>2673</v>
      </c>
      <c r="V185" t="s">
        <v>2674</v>
      </c>
      <c r="W185" t="s">
        <v>2675</v>
      </c>
      <c r="X185" t="s">
        <v>2676</v>
      </c>
      <c r="Y185" t="s">
        <v>93</v>
      </c>
      <c r="Z185" t="s">
        <v>1764</v>
      </c>
      <c r="AA185" t="s">
        <v>2677</v>
      </c>
      <c r="AB185" t="s">
        <v>182</v>
      </c>
      <c r="AC185" t="s">
        <v>2678</v>
      </c>
      <c r="AD185" t="s">
        <v>1764</v>
      </c>
      <c r="AE185" t="s">
        <v>2677</v>
      </c>
      <c r="AF185" t="s">
        <v>182</v>
      </c>
      <c r="AG185" t="s">
        <v>2678</v>
      </c>
      <c r="AI185" t="s">
        <v>2679</v>
      </c>
      <c r="AJ185" t="s">
        <v>182</v>
      </c>
      <c r="AK185" t="s">
        <v>99</v>
      </c>
      <c r="AL185" t="s">
        <v>2680</v>
      </c>
      <c r="AM185" t="s">
        <v>2681</v>
      </c>
      <c r="AN185" t="s">
        <v>2632</v>
      </c>
      <c r="AP185" t="s">
        <v>1218</v>
      </c>
      <c r="AT185" t="s">
        <v>2682</v>
      </c>
      <c r="AV185" t="s">
        <v>128</v>
      </c>
      <c r="AZ185" t="s">
        <v>80</v>
      </c>
    </row>
    <row r="186" spans="1:52" hidden="1" x14ac:dyDescent="0.25">
      <c r="A186" t="s">
        <v>2683</v>
      </c>
      <c r="B186" t="s">
        <v>2684</v>
      </c>
      <c r="C186" t="s">
        <v>2685</v>
      </c>
      <c r="D186" t="s">
        <v>78</v>
      </c>
      <c r="E186" t="s">
        <v>2686</v>
      </c>
      <c r="F186" t="s">
        <v>2686</v>
      </c>
      <c r="G186" t="s">
        <v>2686</v>
      </c>
      <c r="J186" t="s">
        <v>80</v>
      </c>
      <c r="K186" t="s">
        <v>81</v>
      </c>
      <c r="L186" t="s">
        <v>80</v>
      </c>
      <c r="M186">
        <v>60286</v>
      </c>
      <c r="P186" t="s">
        <v>134</v>
      </c>
      <c r="Q186" t="s">
        <v>2687</v>
      </c>
      <c r="R186" t="s">
        <v>1441</v>
      </c>
      <c r="S186" t="s">
        <v>748</v>
      </c>
      <c r="T186" t="s">
        <v>2688</v>
      </c>
      <c r="U186" t="s">
        <v>2689</v>
      </c>
      <c r="V186" t="s">
        <v>1483</v>
      </c>
      <c r="W186" t="s">
        <v>2690</v>
      </c>
      <c r="X186" t="s">
        <v>2691</v>
      </c>
      <c r="Y186" t="s">
        <v>93</v>
      </c>
      <c r="Z186" t="s">
        <v>2692</v>
      </c>
      <c r="AA186" t="s">
        <v>2665</v>
      </c>
      <c r="AB186" t="s">
        <v>119</v>
      </c>
      <c r="AC186" t="s">
        <v>2276</v>
      </c>
      <c r="AD186" t="s">
        <v>2692</v>
      </c>
      <c r="AE186" t="s">
        <v>2665</v>
      </c>
      <c r="AF186" t="s">
        <v>119</v>
      </c>
      <c r="AG186" t="s">
        <v>2276</v>
      </c>
      <c r="AI186" t="s">
        <v>2693</v>
      </c>
      <c r="AJ186" t="s">
        <v>2692</v>
      </c>
      <c r="AK186" t="s">
        <v>99</v>
      </c>
      <c r="AL186" t="s">
        <v>2694</v>
      </c>
      <c r="AM186" t="s">
        <v>2695</v>
      </c>
      <c r="AN186" t="s">
        <v>2632</v>
      </c>
      <c r="AP186" t="s">
        <v>1218</v>
      </c>
      <c r="AT186" t="s">
        <v>2696</v>
      </c>
      <c r="AV186" t="s">
        <v>128</v>
      </c>
      <c r="AZ186" t="s">
        <v>80</v>
      </c>
    </row>
    <row r="187" spans="1:52" hidden="1" x14ac:dyDescent="0.25">
      <c r="A187" t="s">
        <v>2697</v>
      </c>
      <c r="B187" t="s">
        <v>2698</v>
      </c>
      <c r="C187" t="s">
        <v>2699</v>
      </c>
      <c r="D187" t="s">
        <v>78</v>
      </c>
      <c r="E187" t="s">
        <v>2700</v>
      </c>
      <c r="F187" t="s">
        <v>2700</v>
      </c>
      <c r="G187" t="s">
        <v>2700</v>
      </c>
      <c r="J187" t="s">
        <v>80</v>
      </c>
      <c r="K187" t="s">
        <v>81</v>
      </c>
      <c r="L187" t="s">
        <v>80</v>
      </c>
      <c r="M187">
        <v>60268</v>
      </c>
      <c r="P187" t="s">
        <v>134</v>
      </c>
      <c r="Q187" t="s">
        <v>1744</v>
      </c>
      <c r="R187" t="s">
        <v>1550</v>
      </c>
      <c r="S187" t="s">
        <v>774</v>
      </c>
      <c r="T187" t="s">
        <v>2701</v>
      </c>
      <c r="U187" t="s">
        <v>1288</v>
      </c>
      <c r="V187" t="s">
        <v>2702</v>
      </c>
      <c r="W187" t="s">
        <v>2690</v>
      </c>
      <c r="X187" t="s">
        <v>2703</v>
      </c>
      <c r="Y187" t="s">
        <v>93</v>
      </c>
      <c r="Z187" t="s">
        <v>2704</v>
      </c>
      <c r="AA187" t="s">
        <v>2705</v>
      </c>
      <c r="AB187" t="s">
        <v>119</v>
      </c>
      <c r="AC187" t="s">
        <v>2706</v>
      </c>
      <c r="AD187" t="s">
        <v>2704</v>
      </c>
      <c r="AE187" t="s">
        <v>2705</v>
      </c>
      <c r="AF187" t="s">
        <v>119</v>
      </c>
      <c r="AG187" t="s">
        <v>2706</v>
      </c>
      <c r="AI187" t="s">
        <v>2707</v>
      </c>
      <c r="AJ187" t="s">
        <v>119</v>
      </c>
      <c r="AK187" t="s">
        <v>99</v>
      </c>
      <c r="AL187" t="s">
        <v>2708</v>
      </c>
      <c r="AM187" t="s">
        <v>2695</v>
      </c>
      <c r="AN187" t="s">
        <v>2632</v>
      </c>
      <c r="AT187" t="s">
        <v>2709</v>
      </c>
      <c r="AV187" t="s">
        <v>128</v>
      </c>
      <c r="AZ187" t="s">
        <v>80</v>
      </c>
    </row>
    <row r="188" spans="1:52" hidden="1" x14ac:dyDescent="0.25">
      <c r="A188" t="s">
        <v>2710</v>
      </c>
      <c r="B188" t="s">
        <v>2711</v>
      </c>
      <c r="C188" t="s">
        <v>2712</v>
      </c>
      <c r="D188" t="s">
        <v>78</v>
      </c>
      <c r="E188" t="s">
        <v>2713</v>
      </c>
      <c r="F188" t="s">
        <v>2713</v>
      </c>
      <c r="G188" t="s">
        <v>2713</v>
      </c>
      <c r="J188" t="s">
        <v>80</v>
      </c>
      <c r="K188" t="s">
        <v>81</v>
      </c>
      <c r="L188" t="s">
        <v>80</v>
      </c>
      <c r="M188">
        <v>60266</v>
      </c>
      <c r="P188" t="s">
        <v>134</v>
      </c>
      <c r="Q188" t="s">
        <v>1744</v>
      </c>
      <c r="R188" t="s">
        <v>1550</v>
      </c>
      <c r="S188" t="s">
        <v>774</v>
      </c>
      <c r="T188" t="s">
        <v>2701</v>
      </c>
      <c r="U188" t="s">
        <v>2714</v>
      </c>
      <c r="V188" t="s">
        <v>583</v>
      </c>
      <c r="W188" t="s">
        <v>2690</v>
      </c>
      <c r="X188" t="s">
        <v>2703</v>
      </c>
      <c r="Y188" t="s">
        <v>93</v>
      </c>
      <c r="Z188" t="s">
        <v>2704</v>
      </c>
      <c r="AA188" t="s">
        <v>2715</v>
      </c>
      <c r="AB188" t="s">
        <v>119</v>
      </c>
      <c r="AC188" t="s">
        <v>2716</v>
      </c>
      <c r="AD188" t="s">
        <v>2704</v>
      </c>
      <c r="AE188" t="s">
        <v>2715</v>
      </c>
      <c r="AF188" t="s">
        <v>119</v>
      </c>
      <c r="AG188" t="s">
        <v>2716</v>
      </c>
      <c r="AI188" t="s">
        <v>2717</v>
      </c>
      <c r="AJ188" t="s">
        <v>119</v>
      </c>
      <c r="AK188" t="s">
        <v>99</v>
      </c>
      <c r="AL188" t="s">
        <v>2718</v>
      </c>
      <c r="AM188" t="s">
        <v>2719</v>
      </c>
      <c r="AN188" t="s">
        <v>2632</v>
      </c>
      <c r="AT188" t="s">
        <v>2720</v>
      </c>
      <c r="AV188" t="s">
        <v>128</v>
      </c>
      <c r="AZ188" t="s">
        <v>80</v>
      </c>
    </row>
    <row r="189" spans="1:52" hidden="1" x14ac:dyDescent="0.25">
      <c r="A189" t="s">
        <v>2721</v>
      </c>
      <c r="B189" t="s">
        <v>2722</v>
      </c>
      <c r="C189" t="s">
        <v>2723</v>
      </c>
      <c r="D189" t="s">
        <v>78</v>
      </c>
      <c r="E189" t="s">
        <v>2724</v>
      </c>
      <c r="F189" t="s">
        <v>2724</v>
      </c>
      <c r="G189" t="s">
        <v>2724</v>
      </c>
      <c r="J189" t="s">
        <v>80</v>
      </c>
      <c r="K189" t="s">
        <v>81</v>
      </c>
      <c r="L189" t="s">
        <v>80</v>
      </c>
      <c r="M189">
        <v>60264</v>
      </c>
      <c r="P189" t="s">
        <v>134</v>
      </c>
      <c r="Q189" t="s">
        <v>2687</v>
      </c>
      <c r="R189" t="s">
        <v>1441</v>
      </c>
      <c r="S189" t="s">
        <v>748</v>
      </c>
      <c r="T189" t="s">
        <v>2701</v>
      </c>
      <c r="U189" t="s">
        <v>2725</v>
      </c>
      <c r="V189" t="s">
        <v>653</v>
      </c>
      <c r="W189" t="s">
        <v>2690</v>
      </c>
      <c r="X189" t="s">
        <v>2703</v>
      </c>
      <c r="Y189" t="s">
        <v>93</v>
      </c>
      <c r="Z189" t="s">
        <v>2704</v>
      </c>
      <c r="AA189" t="s">
        <v>2726</v>
      </c>
      <c r="AB189" t="s">
        <v>119</v>
      </c>
      <c r="AC189" t="s">
        <v>2727</v>
      </c>
      <c r="AD189" t="s">
        <v>2704</v>
      </c>
      <c r="AE189" t="s">
        <v>2726</v>
      </c>
      <c r="AF189" t="s">
        <v>119</v>
      </c>
      <c r="AG189" t="s">
        <v>2727</v>
      </c>
      <c r="AI189" t="s">
        <v>2728</v>
      </c>
      <c r="AJ189" t="s">
        <v>119</v>
      </c>
      <c r="AK189" t="s">
        <v>99</v>
      </c>
      <c r="AL189" t="s">
        <v>2729</v>
      </c>
      <c r="AM189" t="s">
        <v>2719</v>
      </c>
      <c r="AN189" t="s">
        <v>2632</v>
      </c>
      <c r="AT189" t="s">
        <v>2730</v>
      </c>
      <c r="AV189" t="s">
        <v>128</v>
      </c>
      <c r="AZ189" t="s">
        <v>80</v>
      </c>
    </row>
    <row r="190" spans="1:52" hidden="1" x14ac:dyDescent="0.25">
      <c r="A190" t="s">
        <v>2731</v>
      </c>
      <c r="B190" t="s">
        <v>2732</v>
      </c>
      <c r="C190" t="s">
        <v>2733</v>
      </c>
      <c r="D190" t="s">
        <v>78</v>
      </c>
      <c r="E190" t="s">
        <v>2734</v>
      </c>
      <c r="F190" t="s">
        <v>2734</v>
      </c>
      <c r="G190" t="s">
        <v>2734</v>
      </c>
      <c r="J190" t="s">
        <v>80</v>
      </c>
      <c r="K190" t="s">
        <v>81</v>
      </c>
      <c r="L190" t="s">
        <v>80</v>
      </c>
      <c r="M190">
        <v>60237</v>
      </c>
      <c r="P190" t="s">
        <v>134</v>
      </c>
      <c r="Q190" t="s">
        <v>2687</v>
      </c>
      <c r="R190" t="s">
        <v>1441</v>
      </c>
      <c r="S190" t="s">
        <v>748</v>
      </c>
      <c r="T190" t="s">
        <v>2688</v>
      </c>
      <c r="U190" t="s">
        <v>2689</v>
      </c>
      <c r="V190" t="s">
        <v>2241</v>
      </c>
      <c r="W190" t="s">
        <v>2690</v>
      </c>
      <c r="X190" t="s">
        <v>2691</v>
      </c>
      <c r="Y190" t="s">
        <v>93</v>
      </c>
      <c r="Z190" t="s">
        <v>119</v>
      </c>
      <c r="AA190" t="s">
        <v>2735</v>
      </c>
      <c r="AB190" t="s">
        <v>2692</v>
      </c>
      <c r="AC190" t="s">
        <v>2736</v>
      </c>
      <c r="AD190" t="s">
        <v>119</v>
      </c>
      <c r="AE190" t="s">
        <v>2735</v>
      </c>
      <c r="AF190" t="s">
        <v>2692</v>
      </c>
      <c r="AG190" t="s">
        <v>2736</v>
      </c>
      <c r="AI190" t="s">
        <v>2737</v>
      </c>
      <c r="AJ190" t="s">
        <v>119</v>
      </c>
      <c r="AK190" t="s">
        <v>99</v>
      </c>
      <c r="AL190" t="s">
        <v>2738</v>
      </c>
      <c r="AM190" t="s">
        <v>2719</v>
      </c>
      <c r="AN190" t="s">
        <v>2632</v>
      </c>
      <c r="AP190" t="s">
        <v>1218</v>
      </c>
      <c r="AT190" t="s">
        <v>2739</v>
      </c>
      <c r="AV190" t="s">
        <v>128</v>
      </c>
      <c r="AZ190" t="s">
        <v>80</v>
      </c>
    </row>
    <row r="191" spans="1:52" hidden="1" x14ac:dyDescent="0.25">
      <c r="A191" t="s">
        <v>2740</v>
      </c>
      <c r="B191" t="s">
        <v>2741</v>
      </c>
      <c r="C191" t="s">
        <v>2742</v>
      </c>
      <c r="D191" t="s">
        <v>78</v>
      </c>
      <c r="E191" t="s">
        <v>2743</v>
      </c>
      <c r="F191" t="s">
        <v>2743</v>
      </c>
      <c r="G191" t="s">
        <v>2743</v>
      </c>
      <c r="J191" t="s">
        <v>80</v>
      </c>
      <c r="K191" t="s">
        <v>81</v>
      </c>
      <c r="L191" t="s">
        <v>80</v>
      </c>
      <c r="M191">
        <v>60235</v>
      </c>
      <c r="P191" t="s">
        <v>134</v>
      </c>
      <c r="Q191" t="s">
        <v>1744</v>
      </c>
      <c r="R191" t="s">
        <v>1550</v>
      </c>
      <c r="S191" t="s">
        <v>774</v>
      </c>
      <c r="T191" t="s">
        <v>2701</v>
      </c>
      <c r="U191" t="s">
        <v>2725</v>
      </c>
      <c r="V191" t="s">
        <v>653</v>
      </c>
      <c r="W191" t="s">
        <v>2690</v>
      </c>
      <c r="X191" t="s">
        <v>2703</v>
      </c>
      <c r="Y191" t="s">
        <v>93</v>
      </c>
      <c r="Z191" t="s">
        <v>119</v>
      </c>
      <c r="AA191" t="s">
        <v>623</v>
      </c>
      <c r="AB191" t="s">
        <v>2704</v>
      </c>
      <c r="AC191" t="s">
        <v>2744</v>
      </c>
      <c r="AD191" t="s">
        <v>119</v>
      </c>
      <c r="AE191" t="s">
        <v>623</v>
      </c>
      <c r="AF191" t="s">
        <v>2704</v>
      </c>
      <c r="AG191" t="s">
        <v>2744</v>
      </c>
      <c r="AI191" t="s">
        <v>784</v>
      </c>
      <c r="AJ191" t="s">
        <v>119</v>
      </c>
      <c r="AK191" t="s">
        <v>99</v>
      </c>
      <c r="AL191" t="s">
        <v>2745</v>
      </c>
      <c r="AM191" t="s">
        <v>2719</v>
      </c>
      <c r="AN191" t="s">
        <v>2632</v>
      </c>
      <c r="AT191" t="s">
        <v>2746</v>
      </c>
      <c r="AV191" t="s">
        <v>128</v>
      </c>
      <c r="AZ191" t="s">
        <v>80</v>
      </c>
    </row>
    <row r="192" spans="1:52" hidden="1" x14ac:dyDescent="0.25">
      <c r="A192" t="s">
        <v>2747</v>
      </c>
      <c r="B192" t="s">
        <v>2748</v>
      </c>
      <c r="C192" t="s">
        <v>2749</v>
      </c>
      <c r="D192" t="s">
        <v>78</v>
      </c>
      <c r="E192" t="s">
        <v>2750</v>
      </c>
      <c r="F192" t="s">
        <v>2750</v>
      </c>
      <c r="G192" t="s">
        <v>2750</v>
      </c>
      <c r="J192" t="s">
        <v>80</v>
      </c>
      <c r="K192" t="s">
        <v>81</v>
      </c>
      <c r="L192" t="s">
        <v>80</v>
      </c>
      <c r="M192">
        <v>60233</v>
      </c>
      <c r="P192" t="s">
        <v>134</v>
      </c>
      <c r="Q192" t="s">
        <v>1744</v>
      </c>
      <c r="R192" t="s">
        <v>1550</v>
      </c>
      <c r="S192" t="s">
        <v>774</v>
      </c>
      <c r="T192" t="s">
        <v>2701</v>
      </c>
      <c r="U192" t="s">
        <v>2725</v>
      </c>
      <c r="V192" t="s">
        <v>653</v>
      </c>
      <c r="W192" t="s">
        <v>2690</v>
      </c>
      <c r="X192" t="s">
        <v>2703</v>
      </c>
      <c r="Y192" t="s">
        <v>93</v>
      </c>
      <c r="Z192" t="s">
        <v>119</v>
      </c>
      <c r="AA192" t="s">
        <v>2751</v>
      </c>
      <c r="AB192" t="s">
        <v>2704</v>
      </c>
      <c r="AC192" t="s">
        <v>2752</v>
      </c>
      <c r="AD192" t="s">
        <v>119</v>
      </c>
      <c r="AE192" t="s">
        <v>2751</v>
      </c>
      <c r="AF192" t="s">
        <v>2704</v>
      </c>
      <c r="AG192" t="s">
        <v>2752</v>
      </c>
      <c r="AI192" t="s">
        <v>1489</v>
      </c>
      <c r="AJ192" t="s">
        <v>119</v>
      </c>
      <c r="AK192" t="s">
        <v>99</v>
      </c>
      <c r="AL192" t="s">
        <v>2753</v>
      </c>
      <c r="AM192" t="s">
        <v>2719</v>
      </c>
      <c r="AN192" t="s">
        <v>2632</v>
      </c>
      <c r="AT192" t="s">
        <v>2754</v>
      </c>
      <c r="AV192" t="s">
        <v>128</v>
      </c>
      <c r="AZ192" t="s">
        <v>80</v>
      </c>
    </row>
    <row r="193" spans="1:52" hidden="1" x14ac:dyDescent="0.25">
      <c r="A193" t="s">
        <v>2755</v>
      </c>
      <c r="B193" t="s">
        <v>2756</v>
      </c>
      <c r="C193" t="s">
        <v>2757</v>
      </c>
      <c r="D193" t="s">
        <v>78</v>
      </c>
      <c r="E193" t="s">
        <v>2758</v>
      </c>
      <c r="F193" t="s">
        <v>2758</v>
      </c>
      <c r="G193" t="s">
        <v>2758</v>
      </c>
      <c r="J193" t="s">
        <v>80</v>
      </c>
      <c r="K193" t="s">
        <v>81</v>
      </c>
      <c r="L193" t="s">
        <v>80</v>
      </c>
      <c r="M193">
        <v>60231</v>
      </c>
      <c r="P193" t="s">
        <v>134</v>
      </c>
      <c r="Q193" t="s">
        <v>2687</v>
      </c>
      <c r="R193" t="s">
        <v>1441</v>
      </c>
      <c r="S193" t="s">
        <v>748</v>
      </c>
      <c r="T193" t="s">
        <v>2701</v>
      </c>
      <c r="U193" t="s">
        <v>2714</v>
      </c>
      <c r="V193" t="s">
        <v>583</v>
      </c>
      <c r="W193" t="s">
        <v>2690</v>
      </c>
      <c r="X193" t="s">
        <v>2703</v>
      </c>
      <c r="Y193" t="s">
        <v>93</v>
      </c>
      <c r="Z193" t="s">
        <v>119</v>
      </c>
      <c r="AA193" t="s">
        <v>2759</v>
      </c>
      <c r="AB193" t="s">
        <v>2704</v>
      </c>
      <c r="AC193" t="s">
        <v>2760</v>
      </c>
      <c r="AD193" t="s">
        <v>119</v>
      </c>
      <c r="AE193" t="s">
        <v>2759</v>
      </c>
      <c r="AF193" t="s">
        <v>2704</v>
      </c>
      <c r="AG193" t="s">
        <v>2760</v>
      </c>
      <c r="AI193" t="s">
        <v>2761</v>
      </c>
      <c r="AJ193" t="s">
        <v>119</v>
      </c>
      <c r="AK193" t="s">
        <v>99</v>
      </c>
      <c r="AL193" t="s">
        <v>2762</v>
      </c>
      <c r="AM193" t="s">
        <v>2763</v>
      </c>
      <c r="AN193" t="s">
        <v>2632</v>
      </c>
      <c r="AT193" t="s">
        <v>2764</v>
      </c>
      <c r="AV193" t="s">
        <v>128</v>
      </c>
      <c r="AZ193" t="s">
        <v>80</v>
      </c>
    </row>
    <row r="194" spans="1:52" hidden="1" x14ac:dyDescent="0.25">
      <c r="A194" t="s">
        <v>2765</v>
      </c>
      <c r="B194" t="s">
        <v>2766</v>
      </c>
      <c r="C194" t="s">
        <v>2767</v>
      </c>
      <c r="D194" t="s">
        <v>78</v>
      </c>
      <c r="E194" t="s">
        <v>2768</v>
      </c>
      <c r="F194" t="s">
        <v>2768</v>
      </c>
      <c r="G194" t="s">
        <v>2768</v>
      </c>
      <c r="J194" t="s">
        <v>80</v>
      </c>
      <c r="K194" t="s">
        <v>81</v>
      </c>
      <c r="L194" t="s">
        <v>80</v>
      </c>
      <c r="M194">
        <v>60460</v>
      </c>
      <c r="P194" t="s">
        <v>134</v>
      </c>
      <c r="Q194" t="s">
        <v>1205</v>
      </c>
      <c r="R194" t="s">
        <v>914</v>
      </c>
      <c r="S194" t="s">
        <v>444</v>
      </c>
      <c r="T194" t="s">
        <v>2622</v>
      </c>
      <c r="U194" t="s">
        <v>2650</v>
      </c>
      <c r="V194" t="s">
        <v>2651</v>
      </c>
      <c r="W194" t="s">
        <v>139</v>
      </c>
      <c r="X194" t="s">
        <v>2625</v>
      </c>
      <c r="Y194" t="s">
        <v>93</v>
      </c>
      <c r="Z194" t="s">
        <v>2627</v>
      </c>
      <c r="AA194" t="s">
        <v>2769</v>
      </c>
      <c r="AB194" t="s">
        <v>182</v>
      </c>
      <c r="AC194" t="s">
        <v>2770</v>
      </c>
      <c r="AD194" t="s">
        <v>2627</v>
      </c>
      <c r="AE194" t="s">
        <v>2769</v>
      </c>
      <c r="AF194" t="s">
        <v>182</v>
      </c>
      <c r="AG194" t="s">
        <v>2770</v>
      </c>
      <c r="AI194" t="s">
        <v>2771</v>
      </c>
      <c r="AJ194" t="s">
        <v>2627</v>
      </c>
      <c r="AK194" t="s">
        <v>99</v>
      </c>
      <c r="AL194" t="s">
        <v>2772</v>
      </c>
      <c r="AM194" t="s">
        <v>2631</v>
      </c>
      <c r="AN194" t="s">
        <v>2632</v>
      </c>
      <c r="AP194" t="s">
        <v>1218</v>
      </c>
      <c r="AT194" t="s">
        <v>2773</v>
      </c>
      <c r="AV194" t="s">
        <v>128</v>
      </c>
      <c r="AZ194" t="s">
        <v>80</v>
      </c>
    </row>
    <row r="195" spans="1:52" hidden="1" x14ac:dyDescent="0.25">
      <c r="A195" t="s">
        <v>2774</v>
      </c>
      <c r="B195" t="s">
        <v>2775</v>
      </c>
      <c r="C195" t="s">
        <v>2776</v>
      </c>
      <c r="D195" t="s">
        <v>78</v>
      </c>
      <c r="E195" t="s">
        <v>2777</v>
      </c>
      <c r="F195" t="s">
        <v>2777</v>
      </c>
      <c r="G195" t="s">
        <v>2777</v>
      </c>
      <c r="J195" t="s">
        <v>80</v>
      </c>
      <c r="K195" t="s">
        <v>81</v>
      </c>
      <c r="L195" t="s">
        <v>80</v>
      </c>
      <c r="M195">
        <v>60474</v>
      </c>
      <c r="P195" t="s">
        <v>134</v>
      </c>
      <c r="Q195" t="s">
        <v>1205</v>
      </c>
      <c r="R195" t="s">
        <v>914</v>
      </c>
      <c r="S195" t="s">
        <v>444</v>
      </c>
      <c r="T195" t="s">
        <v>2622</v>
      </c>
      <c r="U195" t="s">
        <v>2778</v>
      </c>
      <c r="V195" t="s">
        <v>2779</v>
      </c>
      <c r="W195" t="s">
        <v>139</v>
      </c>
      <c r="X195" t="s">
        <v>2625</v>
      </c>
      <c r="Y195" t="s">
        <v>93</v>
      </c>
      <c r="Z195" t="s">
        <v>2627</v>
      </c>
      <c r="AA195" t="s">
        <v>1045</v>
      </c>
      <c r="AB195" t="s">
        <v>182</v>
      </c>
      <c r="AC195" t="s">
        <v>2780</v>
      </c>
      <c r="AD195" t="s">
        <v>2627</v>
      </c>
      <c r="AE195" t="s">
        <v>1045</v>
      </c>
      <c r="AF195" t="s">
        <v>182</v>
      </c>
      <c r="AG195" t="s">
        <v>2780</v>
      </c>
      <c r="AI195" t="s">
        <v>2781</v>
      </c>
      <c r="AJ195" t="s">
        <v>182</v>
      </c>
      <c r="AK195" t="s">
        <v>99</v>
      </c>
      <c r="AL195" t="s">
        <v>2782</v>
      </c>
      <c r="AM195" t="s">
        <v>2631</v>
      </c>
      <c r="AN195" t="s">
        <v>2632</v>
      </c>
      <c r="AP195" t="s">
        <v>1218</v>
      </c>
      <c r="AT195" t="s">
        <v>2783</v>
      </c>
      <c r="AV195" t="s">
        <v>128</v>
      </c>
      <c r="AZ195" t="s">
        <v>80</v>
      </c>
    </row>
    <row r="196" spans="1:52" hidden="1" x14ac:dyDescent="0.25">
      <c r="A196" t="s">
        <v>2784</v>
      </c>
      <c r="B196" t="s">
        <v>2785</v>
      </c>
      <c r="C196" t="s">
        <v>2786</v>
      </c>
      <c r="D196" t="s">
        <v>150</v>
      </c>
      <c r="E196" t="s">
        <v>2787</v>
      </c>
      <c r="F196" t="s">
        <v>2787</v>
      </c>
      <c r="G196" t="s">
        <v>2787</v>
      </c>
      <c r="J196" t="s">
        <v>80</v>
      </c>
      <c r="K196" t="s">
        <v>81</v>
      </c>
      <c r="L196" t="s">
        <v>80</v>
      </c>
      <c r="M196">
        <v>60472</v>
      </c>
      <c r="P196" t="s">
        <v>134</v>
      </c>
      <c r="Q196" t="s">
        <v>1205</v>
      </c>
      <c r="R196" t="s">
        <v>914</v>
      </c>
      <c r="S196" t="s">
        <v>444</v>
      </c>
      <c r="T196" t="s">
        <v>2622</v>
      </c>
      <c r="U196" t="s">
        <v>2702</v>
      </c>
      <c r="V196" t="s">
        <v>2779</v>
      </c>
      <c r="W196" t="s">
        <v>2788</v>
      </c>
      <c r="X196" t="s">
        <v>2789</v>
      </c>
      <c r="Y196" t="s">
        <v>93</v>
      </c>
      <c r="Z196" t="s">
        <v>2627</v>
      </c>
      <c r="AA196" t="s">
        <v>2790</v>
      </c>
      <c r="AB196" t="s">
        <v>182</v>
      </c>
      <c r="AC196" t="s">
        <v>2791</v>
      </c>
      <c r="AD196" t="s">
        <v>2627</v>
      </c>
      <c r="AE196" t="s">
        <v>2790</v>
      </c>
      <c r="AF196" t="s">
        <v>182</v>
      </c>
      <c r="AG196" t="s">
        <v>2791</v>
      </c>
      <c r="AI196" t="s">
        <v>2792</v>
      </c>
      <c r="AJ196" t="s">
        <v>182</v>
      </c>
      <c r="AK196" t="s">
        <v>99</v>
      </c>
      <c r="AL196" t="s">
        <v>2793</v>
      </c>
      <c r="AM196" t="s">
        <v>2794</v>
      </c>
      <c r="AN196" t="s">
        <v>2632</v>
      </c>
      <c r="AP196" t="s">
        <v>1218</v>
      </c>
      <c r="AT196" t="s">
        <v>2795</v>
      </c>
      <c r="AV196" t="s">
        <v>128</v>
      </c>
      <c r="AZ196" t="s">
        <v>80</v>
      </c>
    </row>
    <row r="197" spans="1:52" hidden="1" x14ac:dyDescent="0.25">
      <c r="A197" t="s">
        <v>2796</v>
      </c>
      <c r="B197" t="s">
        <v>2797</v>
      </c>
      <c r="C197" t="s">
        <v>2798</v>
      </c>
      <c r="D197" t="s">
        <v>78</v>
      </c>
      <c r="E197" t="s">
        <v>2799</v>
      </c>
      <c r="F197" t="s">
        <v>2799</v>
      </c>
      <c r="G197" t="s">
        <v>2799</v>
      </c>
      <c r="J197" t="s">
        <v>80</v>
      </c>
      <c r="K197" t="s">
        <v>81</v>
      </c>
      <c r="L197" t="s">
        <v>80</v>
      </c>
      <c r="M197">
        <v>60466</v>
      </c>
      <c r="P197" t="s">
        <v>134</v>
      </c>
      <c r="Q197" t="s">
        <v>1205</v>
      </c>
      <c r="R197" t="s">
        <v>914</v>
      </c>
      <c r="S197" t="s">
        <v>444</v>
      </c>
      <c r="T197" t="s">
        <v>2622</v>
      </c>
      <c r="U197" t="s">
        <v>2650</v>
      </c>
      <c r="V197" t="s">
        <v>2651</v>
      </c>
      <c r="W197" t="s">
        <v>2788</v>
      </c>
      <c r="X197" t="s">
        <v>2789</v>
      </c>
      <c r="Y197" t="s">
        <v>93</v>
      </c>
      <c r="Z197" t="s">
        <v>2627</v>
      </c>
      <c r="AA197" t="s">
        <v>1434</v>
      </c>
      <c r="AB197" t="s">
        <v>182</v>
      </c>
      <c r="AC197" t="s">
        <v>2800</v>
      </c>
      <c r="AD197" t="s">
        <v>2627</v>
      </c>
      <c r="AE197" t="s">
        <v>1434</v>
      </c>
      <c r="AF197" t="s">
        <v>182</v>
      </c>
      <c r="AG197" t="s">
        <v>2800</v>
      </c>
      <c r="AI197" t="s">
        <v>1215</v>
      </c>
      <c r="AJ197" t="s">
        <v>2627</v>
      </c>
      <c r="AK197" t="s">
        <v>99</v>
      </c>
      <c r="AL197" t="s">
        <v>2801</v>
      </c>
      <c r="AM197" t="s">
        <v>2802</v>
      </c>
      <c r="AN197" t="s">
        <v>2632</v>
      </c>
      <c r="AP197" t="s">
        <v>1218</v>
      </c>
      <c r="AT197" t="s">
        <v>2803</v>
      </c>
      <c r="AV197" t="s">
        <v>128</v>
      </c>
      <c r="AZ197" t="s">
        <v>80</v>
      </c>
    </row>
    <row r="198" spans="1:52" hidden="1" x14ac:dyDescent="0.25">
      <c r="A198" t="s">
        <v>2804</v>
      </c>
      <c r="B198" t="s">
        <v>2805</v>
      </c>
      <c r="C198" t="s">
        <v>2806</v>
      </c>
      <c r="D198" t="s">
        <v>78</v>
      </c>
      <c r="E198" t="s">
        <v>2807</v>
      </c>
      <c r="F198" t="s">
        <v>2807</v>
      </c>
      <c r="G198" t="s">
        <v>2807</v>
      </c>
      <c r="J198" t="s">
        <v>80</v>
      </c>
      <c r="K198" t="s">
        <v>81</v>
      </c>
      <c r="L198" t="s">
        <v>80</v>
      </c>
      <c r="M198">
        <v>60445</v>
      </c>
      <c r="P198" t="s">
        <v>134</v>
      </c>
      <c r="Q198" t="s">
        <v>1205</v>
      </c>
      <c r="R198" t="s">
        <v>914</v>
      </c>
      <c r="S198" t="s">
        <v>444</v>
      </c>
      <c r="T198" t="s">
        <v>2622</v>
      </c>
      <c r="U198" t="s">
        <v>2808</v>
      </c>
      <c r="V198" t="s">
        <v>2624</v>
      </c>
      <c r="W198" t="s">
        <v>139</v>
      </c>
      <c r="X198" t="s">
        <v>2625</v>
      </c>
      <c r="Y198" t="s">
        <v>93</v>
      </c>
      <c r="Z198" t="s">
        <v>182</v>
      </c>
      <c r="AA198" t="s">
        <v>1399</v>
      </c>
      <c r="AB198" t="s">
        <v>2627</v>
      </c>
      <c r="AC198" t="s">
        <v>2809</v>
      </c>
      <c r="AD198" t="s">
        <v>182</v>
      </c>
      <c r="AE198" t="s">
        <v>1399</v>
      </c>
      <c r="AF198" t="s">
        <v>2627</v>
      </c>
      <c r="AG198" t="s">
        <v>2809</v>
      </c>
      <c r="AI198" t="s">
        <v>2810</v>
      </c>
      <c r="AJ198" t="s">
        <v>182</v>
      </c>
      <c r="AK198" t="s">
        <v>99</v>
      </c>
      <c r="AL198" t="s">
        <v>2811</v>
      </c>
      <c r="AM198" t="s">
        <v>2802</v>
      </c>
      <c r="AN198" t="s">
        <v>2632</v>
      </c>
      <c r="AP198" t="s">
        <v>1218</v>
      </c>
      <c r="AT198" t="s">
        <v>2812</v>
      </c>
      <c r="AV198" t="s">
        <v>128</v>
      </c>
      <c r="AZ198" t="s">
        <v>80</v>
      </c>
    </row>
    <row r="199" spans="1:52" hidden="1" x14ac:dyDescent="0.25">
      <c r="A199" t="s">
        <v>2813</v>
      </c>
      <c r="B199" t="s">
        <v>2814</v>
      </c>
      <c r="C199" t="s">
        <v>2815</v>
      </c>
      <c r="D199" t="s">
        <v>150</v>
      </c>
      <c r="E199" t="s">
        <v>2816</v>
      </c>
      <c r="F199" t="s">
        <v>2816</v>
      </c>
      <c r="G199" t="s">
        <v>2816</v>
      </c>
      <c r="J199" t="s">
        <v>80</v>
      </c>
      <c r="K199" t="s">
        <v>81</v>
      </c>
      <c r="L199" t="s">
        <v>80</v>
      </c>
      <c r="M199">
        <v>60443</v>
      </c>
      <c r="P199" t="s">
        <v>134</v>
      </c>
      <c r="Q199" t="s">
        <v>1205</v>
      </c>
      <c r="R199" t="s">
        <v>914</v>
      </c>
      <c r="S199" t="s">
        <v>444</v>
      </c>
      <c r="T199" t="s">
        <v>2622</v>
      </c>
      <c r="U199" t="s">
        <v>2808</v>
      </c>
      <c r="V199" t="s">
        <v>2624</v>
      </c>
      <c r="W199" t="s">
        <v>2788</v>
      </c>
      <c r="X199" t="s">
        <v>2789</v>
      </c>
      <c r="Y199" t="s">
        <v>93</v>
      </c>
      <c r="Z199" t="s">
        <v>182</v>
      </c>
      <c r="AA199" t="s">
        <v>2817</v>
      </c>
      <c r="AB199" t="s">
        <v>2627</v>
      </c>
      <c r="AC199" t="s">
        <v>2818</v>
      </c>
      <c r="AD199" t="s">
        <v>182</v>
      </c>
      <c r="AE199" t="s">
        <v>2817</v>
      </c>
      <c r="AF199" t="s">
        <v>2627</v>
      </c>
      <c r="AG199" t="s">
        <v>2818</v>
      </c>
      <c r="AI199" t="s">
        <v>2819</v>
      </c>
      <c r="AJ199" t="s">
        <v>182</v>
      </c>
      <c r="AK199" t="s">
        <v>99</v>
      </c>
      <c r="AL199" t="s">
        <v>2820</v>
      </c>
      <c r="AM199" t="s">
        <v>2794</v>
      </c>
      <c r="AN199" t="s">
        <v>2632</v>
      </c>
      <c r="AP199" t="s">
        <v>1218</v>
      </c>
      <c r="AT199" t="s">
        <v>2821</v>
      </c>
      <c r="AV199" t="s">
        <v>128</v>
      </c>
      <c r="AZ199" t="s">
        <v>80</v>
      </c>
    </row>
    <row r="200" spans="1:52" hidden="1" x14ac:dyDescent="0.25">
      <c r="A200" t="s">
        <v>2822</v>
      </c>
      <c r="B200" t="s">
        <v>2823</v>
      </c>
      <c r="C200" t="s">
        <v>2824</v>
      </c>
      <c r="D200" t="s">
        <v>78</v>
      </c>
      <c r="E200" t="s">
        <v>2825</v>
      </c>
      <c r="F200" t="s">
        <v>2825</v>
      </c>
      <c r="G200" t="s">
        <v>2825</v>
      </c>
      <c r="J200" t="s">
        <v>80</v>
      </c>
      <c r="K200" t="s">
        <v>81</v>
      </c>
      <c r="L200" t="s">
        <v>80</v>
      </c>
      <c r="M200">
        <v>60441</v>
      </c>
      <c r="P200" t="s">
        <v>134</v>
      </c>
      <c r="Q200" t="s">
        <v>1205</v>
      </c>
      <c r="R200" t="s">
        <v>914</v>
      </c>
      <c r="S200" t="s">
        <v>444</v>
      </c>
      <c r="T200" t="s">
        <v>2622</v>
      </c>
      <c r="U200" t="s">
        <v>2623</v>
      </c>
      <c r="V200" t="s">
        <v>2624</v>
      </c>
      <c r="W200" t="s">
        <v>2788</v>
      </c>
      <c r="X200" t="s">
        <v>2789</v>
      </c>
      <c r="Y200" t="s">
        <v>93</v>
      </c>
      <c r="Z200" t="s">
        <v>182</v>
      </c>
      <c r="AA200" t="s">
        <v>2826</v>
      </c>
      <c r="AB200" t="s">
        <v>2627</v>
      </c>
      <c r="AC200" t="s">
        <v>2827</v>
      </c>
      <c r="AD200" t="s">
        <v>182</v>
      </c>
      <c r="AE200" t="s">
        <v>2826</v>
      </c>
      <c r="AF200" t="s">
        <v>2627</v>
      </c>
      <c r="AG200" t="s">
        <v>2827</v>
      </c>
      <c r="AI200" t="s">
        <v>2828</v>
      </c>
      <c r="AJ200" t="s">
        <v>182</v>
      </c>
      <c r="AK200" t="s">
        <v>99</v>
      </c>
      <c r="AL200" t="s">
        <v>2829</v>
      </c>
      <c r="AM200" t="s">
        <v>2830</v>
      </c>
      <c r="AN200" t="s">
        <v>2632</v>
      </c>
      <c r="AP200" t="s">
        <v>1218</v>
      </c>
      <c r="AT200" t="s">
        <v>2831</v>
      </c>
      <c r="AV200" t="s">
        <v>128</v>
      </c>
      <c r="AZ200" t="s">
        <v>80</v>
      </c>
    </row>
    <row r="201" spans="1:52" hidden="1" x14ac:dyDescent="0.25">
      <c r="A201" t="s">
        <v>156</v>
      </c>
      <c r="B201" t="s">
        <v>2832</v>
      </c>
      <c r="C201" t="s">
        <v>2833</v>
      </c>
      <c r="D201" t="s">
        <v>78</v>
      </c>
      <c r="E201" t="s">
        <v>2834</v>
      </c>
      <c r="F201" t="s">
        <v>2834</v>
      </c>
      <c r="G201" t="s">
        <v>2834</v>
      </c>
      <c r="J201" t="s">
        <v>80</v>
      </c>
      <c r="K201" t="s">
        <v>81</v>
      </c>
      <c r="L201" t="s">
        <v>80</v>
      </c>
      <c r="M201">
        <v>60439</v>
      </c>
      <c r="P201" t="s">
        <v>134</v>
      </c>
      <c r="Q201" t="s">
        <v>1205</v>
      </c>
      <c r="R201" t="s">
        <v>914</v>
      </c>
      <c r="S201" t="s">
        <v>444</v>
      </c>
      <c r="T201" t="s">
        <v>2622</v>
      </c>
      <c r="U201" t="s">
        <v>2623</v>
      </c>
      <c r="V201" t="s">
        <v>2624</v>
      </c>
      <c r="W201" t="s">
        <v>2835</v>
      </c>
      <c r="X201" t="s">
        <v>2836</v>
      </c>
      <c r="Y201" t="s">
        <v>1663</v>
      </c>
      <c r="Z201" t="s">
        <v>182</v>
      </c>
      <c r="AA201" t="s">
        <v>2837</v>
      </c>
      <c r="AB201" t="s">
        <v>2627</v>
      </c>
      <c r="AC201" t="s">
        <v>2838</v>
      </c>
      <c r="AD201" t="s">
        <v>182</v>
      </c>
      <c r="AE201" t="s">
        <v>2837</v>
      </c>
      <c r="AF201" t="s">
        <v>2627</v>
      </c>
      <c r="AG201" t="s">
        <v>2838</v>
      </c>
      <c r="AI201" t="s">
        <v>2839</v>
      </c>
      <c r="AJ201" t="s">
        <v>182</v>
      </c>
      <c r="AK201" t="s">
        <v>99</v>
      </c>
      <c r="AL201" t="s">
        <v>2840</v>
      </c>
      <c r="AM201" t="s">
        <v>2830</v>
      </c>
      <c r="AN201" t="s">
        <v>2632</v>
      </c>
      <c r="AP201" t="s">
        <v>1218</v>
      </c>
      <c r="AT201" t="s">
        <v>2841</v>
      </c>
      <c r="AV201" t="s">
        <v>128</v>
      </c>
      <c r="AZ201" t="s">
        <v>80</v>
      </c>
    </row>
    <row r="202" spans="1:52" hidden="1" x14ac:dyDescent="0.25">
      <c r="A202" t="s">
        <v>2842</v>
      </c>
      <c r="B202" t="s">
        <v>2843</v>
      </c>
      <c r="C202" t="s">
        <v>2844</v>
      </c>
      <c r="D202" t="s">
        <v>78</v>
      </c>
      <c r="E202" t="s">
        <v>2845</v>
      </c>
      <c r="F202" t="s">
        <v>2845</v>
      </c>
      <c r="G202" t="s">
        <v>2845</v>
      </c>
      <c r="J202" t="s">
        <v>80</v>
      </c>
      <c r="K202" t="s">
        <v>81</v>
      </c>
      <c r="L202" t="s">
        <v>80</v>
      </c>
      <c r="M202">
        <v>60437</v>
      </c>
      <c r="P202" t="s">
        <v>134</v>
      </c>
      <c r="Q202" t="s">
        <v>1205</v>
      </c>
      <c r="R202" t="s">
        <v>914</v>
      </c>
      <c r="S202" t="s">
        <v>444</v>
      </c>
      <c r="T202" t="s">
        <v>2622</v>
      </c>
      <c r="U202" t="s">
        <v>2623</v>
      </c>
      <c r="V202" t="s">
        <v>2624</v>
      </c>
      <c r="W202" t="s">
        <v>2788</v>
      </c>
      <c r="X202" t="s">
        <v>2789</v>
      </c>
      <c r="Y202" t="s">
        <v>93</v>
      </c>
      <c r="Z202" t="s">
        <v>182</v>
      </c>
      <c r="AA202" t="s">
        <v>2229</v>
      </c>
      <c r="AB202" t="s">
        <v>2627</v>
      </c>
      <c r="AC202" t="s">
        <v>2846</v>
      </c>
      <c r="AD202" t="s">
        <v>182</v>
      </c>
      <c r="AE202" t="s">
        <v>2229</v>
      </c>
      <c r="AF202" t="s">
        <v>2627</v>
      </c>
      <c r="AG202" t="s">
        <v>2846</v>
      </c>
      <c r="AI202" t="s">
        <v>2847</v>
      </c>
      <c r="AJ202" t="s">
        <v>182</v>
      </c>
      <c r="AK202" t="s">
        <v>99</v>
      </c>
      <c r="AL202" t="s">
        <v>2848</v>
      </c>
      <c r="AM202" t="s">
        <v>2830</v>
      </c>
      <c r="AN202" t="s">
        <v>2632</v>
      </c>
      <c r="AP202" t="s">
        <v>1218</v>
      </c>
      <c r="AT202" t="s">
        <v>2849</v>
      </c>
      <c r="AV202" t="s">
        <v>128</v>
      </c>
      <c r="AZ202" t="s">
        <v>80</v>
      </c>
    </row>
    <row r="203" spans="1:52" hidden="1" x14ac:dyDescent="0.25">
      <c r="A203" t="s">
        <v>2850</v>
      </c>
      <c r="B203" t="s">
        <v>2851</v>
      </c>
      <c r="C203" t="s">
        <v>2852</v>
      </c>
      <c r="D203" t="s">
        <v>78</v>
      </c>
      <c r="E203" t="s">
        <v>2853</v>
      </c>
      <c r="F203" t="s">
        <v>2853</v>
      </c>
      <c r="G203" t="s">
        <v>2853</v>
      </c>
      <c r="J203" t="s">
        <v>80</v>
      </c>
      <c r="K203" t="s">
        <v>81</v>
      </c>
      <c r="L203" t="s">
        <v>80</v>
      </c>
      <c r="M203">
        <v>60464</v>
      </c>
      <c r="P203" t="s">
        <v>134</v>
      </c>
      <c r="Q203" t="s">
        <v>1205</v>
      </c>
      <c r="R203" t="s">
        <v>914</v>
      </c>
      <c r="S203" t="s">
        <v>444</v>
      </c>
      <c r="T203" t="s">
        <v>2622</v>
      </c>
      <c r="U203" t="s">
        <v>2650</v>
      </c>
      <c r="V203" t="s">
        <v>2651</v>
      </c>
      <c r="W203" t="s">
        <v>2788</v>
      </c>
      <c r="X203" t="s">
        <v>2789</v>
      </c>
      <c r="Y203" t="s">
        <v>93</v>
      </c>
      <c r="Z203" t="s">
        <v>2627</v>
      </c>
      <c r="AA203" t="s">
        <v>2854</v>
      </c>
      <c r="AB203" t="s">
        <v>182</v>
      </c>
      <c r="AC203" t="s">
        <v>2855</v>
      </c>
      <c r="AD203" t="s">
        <v>2627</v>
      </c>
      <c r="AE203" t="s">
        <v>2854</v>
      </c>
      <c r="AF203" t="s">
        <v>182</v>
      </c>
      <c r="AG203" t="s">
        <v>2855</v>
      </c>
      <c r="AI203" t="s">
        <v>2856</v>
      </c>
      <c r="AJ203" t="s">
        <v>2627</v>
      </c>
      <c r="AK203" t="s">
        <v>99</v>
      </c>
      <c r="AL203" t="s">
        <v>2857</v>
      </c>
      <c r="AM203" t="s">
        <v>2858</v>
      </c>
      <c r="AN203" t="s">
        <v>2632</v>
      </c>
      <c r="AP203" t="s">
        <v>1218</v>
      </c>
      <c r="AT203" t="s">
        <v>2859</v>
      </c>
      <c r="AV203" t="s">
        <v>128</v>
      </c>
      <c r="AZ203" t="s">
        <v>80</v>
      </c>
    </row>
    <row r="204" spans="1:52" hidden="1" x14ac:dyDescent="0.25">
      <c r="A204" t="s">
        <v>2860</v>
      </c>
      <c r="B204" t="s">
        <v>2861</v>
      </c>
      <c r="C204" t="s">
        <v>2862</v>
      </c>
      <c r="D204" t="s">
        <v>78</v>
      </c>
      <c r="E204" t="s">
        <v>2863</v>
      </c>
      <c r="F204" t="s">
        <v>2863</v>
      </c>
      <c r="G204" t="s">
        <v>2863</v>
      </c>
      <c r="J204" t="s">
        <v>80</v>
      </c>
      <c r="K204" t="s">
        <v>81</v>
      </c>
      <c r="L204" t="s">
        <v>80</v>
      </c>
      <c r="M204">
        <v>60462</v>
      </c>
      <c r="P204" t="s">
        <v>134</v>
      </c>
      <c r="Q204" t="s">
        <v>1205</v>
      </c>
      <c r="R204" t="s">
        <v>914</v>
      </c>
      <c r="S204" t="s">
        <v>444</v>
      </c>
      <c r="T204" t="s">
        <v>2622</v>
      </c>
      <c r="U204" t="s">
        <v>2650</v>
      </c>
      <c r="V204" t="s">
        <v>2651</v>
      </c>
      <c r="W204" t="s">
        <v>2788</v>
      </c>
      <c r="X204" t="s">
        <v>2789</v>
      </c>
      <c r="Y204" t="s">
        <v>93</v>
      </c>
      <c r="Z204" t="s">
        <v>2627</v>
      </c>
      <c r="AA204" t="s">
        <v>2752</v>
      </c>
      <c r="AB204" t="s">
        <v>182</v>
      </c>
      <c r="AC204" t="s">
        <v>2864</v>
      </c>
      <c r="AD204" t="s">
        <v>2627</v>
      </c>
      <c r="AE204" t="s">
        <v>2752</v>
      </c>
      <c r="AF204" t="s">
        <v>182</v>
      </c>
      <c r="AG204" t="s">
        <v>2864</v>
      </c>
      <c r="AI204" t="s">
        <v>2856</v>
      </c>
      <c r="AJ204" t="s">
        <v>2627</v>
      </c>
      <c r="AK204" t="s">
        <v>99</v>
      </c>
      <c r="AL204" t="s">
        <v>2865</v>
      </c>
      <c r="AM204" t="s">
        <v>2858</v>
      </c>
      <c r="AN204" t="s">
        <v>2632</v>
      </c>
      <c r="AP204" t="s">
        <v>1218</v>
      </c>
      <c r="AT204" t="s">
        <v>2866</v>
      </c>
      <c r="AV204" t="s">
        <v>128</v>
      </c>
      <c r="AZ204" t="s">
        <v>80</v>
      </c>
    </row>
    <row r="205" spans="1:52" hidden="1" x14ac:dyDescent="0.25">
      <c r="A205" t="s">
        <v>2867</v>
      </c>
      <c r="B205" t="s">
        <v>2868</v>
      </c>
      <c r="C205" t="s">
        <v>2869</v>
      </c>
      <c r="D205" t="s">
        <v>78</v>
      </c>
      <c r="E205" t="s">
        <v>2870</v>
      </c>
      <c r="F205" t="s">
        <v>2870</v>
      </c>
      <c r="G205" t="s">
        <v>2870</v>
      </c>
      <c r="J205" t="s">
        <v>80</v>
      </c>
      <c r="K205" t="s">
        <v>81</v>
      </c>
      <c r="L205" t="s">
        <v>80</v>
      </c>
      <c r="M205">
        <v>60435</v>
      </c>
      <c r="P205" t="s">
        <v>134</v>
      </c>
      <c r="Q205" t="s">
        <v>1205</v>
      </c>
      <c r="R205" t="s">
        <v>914</v>
      </c>
      <c r="S205" t="s">
        <v>444</v>
      </c>
      <c r="T205" t="s">
        <v>2622</v>
      </c>
      <c r="U205" t="s">
        <v>2623</v>
      </c>
      <c r="V205" t="s">
        <v>2624</v>
      </c>
      <c r="W205" t="s">
        <v>2788</v>
      </c>
      <c r="X205" t="s">
        <v>2789</v>
      </c>
      <c r="Y205" t="s">
        <v>93</v>
      </c>
      <c r="Z205" t="s">
        <v>182</v>
      </c>
      <c r="AA205" t="s">
        <v>2871</v>
      </c>
      <c r="AB205" t="s">
        <v>2627</v>
      </c>
      <c r="AC205" t="s">
        <v>2872</v>
      </c>
      <c r="AD205" t="s">
        <v>182</v>
      </c>
      <c r="AE205" t="s">
        <v>2871</v>
      </c>
      <c r="AF205" t="s">
        <v>2627</v>
      </c>
      <c r="AG205" t="s">
        <v>2872</v>
      </c>
      <c r="AI205" t="s">
        <v>2873</v>
      </c>
      <c r="AJ205" t="s">
        <v>182</v>
      </c>
      <c r="AK205" t="s">
        <v>99</v>
      </c>
      <c r="AL205" t="s">
        <v>2874</v>
      </c>
      <c r="AM205" t="s">
        <v>2875</v>
      </c>
      <c r="AN205" t="s">
        <v>2632</v>
      </c>
      <c r="AP205" t="s">
        <v>1218</v>
      </c>
      <c r="AT205" t="s">
        <v>2876</v>
      </c>
      <c r="AV205" t="s">
        <v>128</v>
      </c>
      <c r="AZ205" t="s">
        <v>80</v>
      </c>
    </row>
    <row r="206" spans="1:52" hidden="1" x14ac:dyDescent="0.25">
      <c r="A206" t="s">
        <v>2877</v>
      </c>
      <c r="B206" t="s">
        <v>2878</v>
      </c>
      <c r="C206" t="s">
        <v>2879</v>
      </c>
      <c r="D206" t="s">
        <v>78</v>
      </c>
      <c r="E206" t="s">
        <v>2880</v>
      </c>
      <c r="F206" t="s">
        <v>2880</v>
      </c>
      <c r="G206" t="s">
        <v>2880</v>
      </c>
      <c r="J206" t="s">
        <v>80</v>
      </c>
      <c r="K206" t="s">
        <v>81</v>
      </c>
      <c r="L206" t="s">
        <v>80</v>
      </c>
      <c r="M206">
        <v>60433</v>
      </c>
      <c r="P206" t="s">
        <v>134</v>
      </c>
      <c r="Q206" t="s">
        <v>1205</v>
      </c>
      <c r="R206" t="s">
        <v>914</v>
      </c>
      <c r="S206" t="s">
        <v>444</v>
      </c>
      <c r="T206" t="s">
        <v>2622</v>
      </c>
      <c r="U206" t="s">
        <v>2623</v>
      </c>
      <c r="V206" t="s">
        <v>2624</v>
      </c>
      <c r="W206" t="s">
        <v>2788</v>
      </c>
      <c r="X206" t="s">
        <v>2789</v>
      </c>
      <c r="Y206" t="s">
        <v>93</v>
      </c>
      <c r="Z206" t="s">
        <v>182</v>
      </c>
      <c r="AA206" t="s">
        <v>2881</v>
      </c>
      <c r="AB206" t="s">
        <v>2627</v>
      </c>
      <c r="AC206" t="s">
        <v>2882</v>
      </c>
      <c r="AD206" t="s">
        <v>182</v>
      </c>
      <c r="AE206" t="s">
        <v>2881</v>
      </c>
      <c r="AF206" t="s">
        <v>2627</v>
      </c>
      <c r="AG206" t="s">
        <v>2882</v>
      </c>
      <c r="AI206" t="s">
        <v>2883</v>
      </c>
      <c r="AJ206" t="s">
        <v>182</v>
      </c>
      <c r="AK206" t="s">
        <v>99</v>
      </c>
      <c r="AL206" t="s">
        <v>2884</v>
      </c>
      <c r="AM206" t="s">
        <v>2875</v>
      </c>
      <c r="AN206" t="s">
        <v>2632</v>
      </c>
      <c r="AP206" t="s">
        <v>1218</v>
      </c>
      <c r="AT206" t="s">
        <v>2885</v>
      </c>
      <c r="AV206" t="s">
        <v>128</v>
      </c>
      <c r="AZ206" t="s">
        <v>80</v>
      </c>
    </row>
    <row r="207" spans="1:52" hidden="1" x14ac:dyDescent="0.25">
      <c r="A207" t="s">
        <v>2886</v>
      </c>
      <c r="B207" t="s">
        <v>2887</v>
      </c>
      <c r="C207" t="s">
        <v>2888</v>
      </c>
      <c r="D207" t="s">
        <v>2544</v>
      </c>
      <c r="E207" t="s">
        <v>2889</v>
      </c>
      <c r="F207" t="s">
        <v>2890</v>
      </c>
      <c r="G207" t="s">
        <v>2890</v>
      </c>
      <c r="J207" t="s">
        <v>80</v>
      </c>
      <c r="K207" t="s">
        <v>110</v>
      </c>
      <c r="L207" t="s">
        <v>111</v>
      </c>
      <c r="M207">
        <v>69228</v>
      </c>
      <c r="P207" t="s">
        <v>154</v>
      </c>
      <c r="Q207" t="s">
        <v>1284</v>
      </c>
      <c r="R207" t="s">
        <v>1285</v>
      </c>
      <c r="S207" t="s">
        <v>1124</v>
      </c>
      <c r="T207" t="s">
        <v>2891</v>
      </c>
      <c r="U207" t="s">
        <v>2892</v>
      </c>
      <c r="V207" t="s">
        <v>736</v>
      </c>
      <c r="W207" t="s">
        <v>2893</v>
      </c>
      <c r="X207" t="s">
        <v>2894</v>
      </c>
      <c r="Y207" t="s">
        <v>93</v>
      </c>
      <c r="Z207" t="s">
        <v>1486</v>
      </c>
      <c r="AA207" t="s">
        <v>1515</v>
      </c>
      <c r="AB207" t="s">
        <v>119</v>
      </c>
      <c r="AC207" t="s">
        <v>2895</v>
      </c>
      <c r="AD207" t="s">
        <v>1486</v>
      </c>
      <c r="AE207" t="s">
        <v>1515</v>
      </c>
      <c r="AF207" t="s">
        <v>119</v>
      </c>
      <c r="AG207" t="s">
        <v>2895</v>
      </c>
      <c r="AI207" t="s">
        <v>166</v>
      </c>
      <c r="AJ207" t="s">
        <v>1486</v>
      </c>
      <c r="AK207" t="s">
        <v>99</v>
      </c>
      <c r="AL207" t="s">
        <v>2896</v>
      </c>
      <c r="AM207" t="s">
        <v>2897</v>
      </c>
      <c r="AR207" t="s">
        <v>125</v>
      </c>
      <c r="AT207" t="s">
        <v>2898</v>
      </c>
      <c r="AV207" t="s">
        <v>128</v>
      </c>
      <c r="AZ207" t="s">
        <v>80</v>
      </c>
    </row>
    <row r="208" spans="1:52" hidden="1" x14ac:dyDescent="0.25">
      <c r="A208" t="s">
        <v>2899</v>
      </c>
      <c r="B208" t="s">
        <v>2900</v>
      </c>
      <c r="C208" t="s">
        <v>2901</v>
      </c>
      <c r="D208" t="s">
        <v>2544</v>
      </c>
      <c r="E208" t="s">
        <v>2902</v>
      </c>
      <c r="F208" t="s">
        <v>2903</v>
      </c>
      <c r="G208" t="s">
        <v>2903</v>
      </c>
      <c r="J208" t="s">
        <v>80</v>
      </c>
      <c r="K208" t="s">
        <v>110</v>
      </c>
      <c r="L208" t="s">
        <v>111</v>
      </c>
      <c r="M208">
        <v>69851</v>
      </c>
      <c r="N208" t="s">
        <v>2904</v>
      </c>
      <c r="P208" t="s">
        <v>2905</v>
      </c>
      <c r="Q208" t="s">
        <v>1205</v>
      </c>
      <c r="R208" t="s">
        <v>914</v>
      </c>
      <c r="S208" t="s">
        <v>444</v>
      </c>
      <c r="T208" t="s">
        <v>2906</v>
      </c>
      <c r="U208" t="s">
        <v>2907</v>
      </c>
      <c r="V208" t="s">
        <v>2908</v>
      </c>
      <c r="W208" t="s">
        <v>886</v>
      </c>
      <c r="X208" t="s">
        <v>2909</v>
      </c>
      <c r="Y208" t="s">
        <v>93</v>
      </c>
      <c r="Z208" t="s">
        <v>548</v>
      </c>
      <c r="AA208" t="s">
        <v>2910</v>
      </c>
      <c r="AB208" t="s">
        <v>2911</v>
      </c>
      <c r="AC208" t="s">
        <v>2912</v>
      </c>
      <c r="AD208" t="s">
        <v>548</v>
      </c>
      <c r="AE208" t="s">
        <v>2910</v>
      </c>
      <c r="AF208" t="s">
        <v>2911</v>
      </c>
      <c r="AG208" t="s">
        <v>2912</v>
      </c>
      <c r="AH208" t="s">
        <v>2913</v>
      </c>
      <c r="AI208" t="s">
        <v>2914</v>
      </c>
      <c r="AJ208" t="s">
        <v>548</v>
      </c>
      <c r="AK208" t="s">
        <v>99</v>
      </c>
      <c r="AL208" t="s">
        <v>2915</v>
      </c>
      <c r="AM208" t="s">
        <v>2916</v>
      </c>
      <c r="AN208" t="s">
        <v>2555</v>
      </c>
      <c r="AR208" t="s">
        <v>125</v>
      </c>
      <c r="AT208" t="s">
        <v>2917</v>
      </c>
      <c r="AV208" t="s">
        <v>128</v>
      </c>
      <c r="AZ208" t="s">
        <v>80</v>
      </c>
    </row>
    <row r="209" spans="1:52" hidden="1" x14ac:dyDescent="0.25">
      <c r="A209" t="s">
        <v>2918</v>
      </c>
      <c r="B209" t="s">
        <v>2919</v>
      </c>
      <c r="C209" t="s">
        <v>2920</v>
      </c>
      <c r="D209" t="s">
        <v>2544</v>
      </c>
      <c r="E209" t="s">
        <v>2921</v>
      </c>
      <c r="F209" t="s">
        <v>2922</v>
      </c>
      <c r="G209" t="s">
        <v>2922</v>
      </c>
      <c r="J209" t="s">
        <v>80</v>
      </c>
      <c r="K209" t="s">
        <v>110</v>
      </c>
      <c r="L209" t="s">
        <v>111</v>
      </c>
      <c r="M209" t="s">
        <v>2923</v>
      </c>
      <c r="P209" t="s">
        <v>134</v>
      </c>
      <c r="Q209" t="s">
        <v>1205</v>
      </c>
      <c r="R209" t="s">
        <v>914</v>
      </c>
      <c r="S209" t="s">
        <v>748</v>
      </c>
      <c r="T209" t="s">
        <v>2924</v>
      </c>
      <c r="U209" t="s">
        <v>2925</v>
      </c>
      <c r="V209" t="s">
        <v>2926</v>
      </c>
      <c r="W209" t="s">
        <v>886</v>
      </c>
      <c r="X209" t="s">
        <v>2927</v>
      </c>
      <c r="Y209" t="s">
        <v>93</v>
      </c>
      <c r="Z209" t="s">
        <v>829</v>
      </c>
      <c r="AA209" t="s">
        <v>2759</v>
      </c>
      <c r="AB209" t="s">
        <v>678</v>
      </c>
      <c r="AC209" t="s">
        <v>1723</v>
      </c>
      <c r="AD209" t="s">
        <v>829</v>
      </c>
      <c r="AE209" t="s">
        <v>2759</v>
      </c>
      <c r="AF209" t="s">
        <v>678</v>
      </c>
      <c r="AG209" t="s">
        <v>1723</v>
      </c>
      <c r="AI209" t="s">
        <v>2928</v>
      </c>
      <c r="AJ209" t="s">
        <v>829</v>
      </c>
      <c r="AK209" t="s">
        <v>99</v>
      </c>
      <c r="AL209" t="s">
        <v>2929</v>
      </c>
      <c r="AM209" t="s">
        <v>2644</v>
      </c>
      <c r="AN209" t="s">
        <v>2578</v>
      </c>
      <c r="AR209" t="s">
        <v>125</v>
      </c>
      <c r="AT209" t="s">
        <v>2930</v>
      </c>
      <c r="AV209" t="s">
        <v>128</v>
      </c>
      <c r="AZ209" t="s">
        <v>80</v>
      </c>
    </row>
    <row r="210" spans="1:52" hidden="1" x14ac:dyDescent="0.25">
      <c r="A210" t="s">
        <v>2931</v>
      </c>
      <c r="B210" t="s">
        <v>2932</v>
      </c>
      <c r="C210" t="s">
        <v>2933</v>
      </c>
      <c r="D210" t="s">
        <v>2544</v>
      </c>
      <c r="E210" t="s">
        <v>2934</v>
      </c>
      <c r="F210" t="s">
        <v>2935</v>
      </c>
      <c r="G210" t="s">
        <v>2935</v>
      </c>
      <c r="J210" t="s">
        <v>80</v>
      </c>
      <c r="K210" t="s">
        <v>110</v>
      </c>
      <c r="L210" t="s">
        <v>111</v>
      </c>
      <c r="M210">
        <v>69224</v>
      </c>
      <c r="P210" t="s">
        <v>154</v>
      </c>
      <c r="Q210" t="s">
        <v>731</v>
      </c>
      <c r="R210" t="s">
        <v>732</v>
      </c>
      <c r="S210" t="s">
        <v>733</v>
      </c>
      <c r="T210" t="s">
        <v>824</v>
      </c>
      <c r="U210" t="s">
        <v>1955</v>
      </c>
      <c r="V210" t="s">
        <v>2936</v>
      </c>
      <c r="W210" t="s">
        <v>886</v>
      </c>
      <c r="X210" t="s">
        <v>2494</v>
      </c>
      <c r="Y210" t="s">
        <v>93</v>
      </c>
      <c r="Z210" t="s">
        <v>829</v>
      </c>
      <c r="AA210" t="s">
        <v>2937</v>
      </c>
      <c r="AB210" t="s">
        <v>119</v>
      </c>
      <c r="AC210" t="s">
        <v>2938</v>
      </c>
      <c r="AD210" t="s">
        <v>829</v>
      </c>
      <c r="AE210" t="s">
        <v>2937</v>
      </c>
      <c r="AF210" t="s">
        <v>119</v>
      </c>
      <c r="AG210" t="s">
        <v>2938</v>
      </c>
      <c r="AI210" t="s">
        <v>2939</v>
      </c>
      <c r="AJ210" t="s">
        <v>829</v>
      </c>
      <c r="AK210" t="s">
        <v>99</v>
      </c>
      <c r="AL210" t="s">
        <v>2940</v>
      </c>
      <c r="AM210" t="s">
        <v>2941</v>
      </c>
      <c r="AN210" t="s">
        <v>2578</v>
      </c>
      <c r="AR210" t="s">
        <v>125</v>
      </c>
      <c r="AT210" t="s">
        <v>2942</v>
      </c>
      <c r="AV210" t="s">
        <v>128</v>
      </c>
      <c r="AZ210" t="s">
        <v>80</v>
      </c>
    </row>
    <row r="211" spans="1:52" hidden="1" x14ac:dyDescent="0.25">
      <c r="A211" t="s">
        <v>2943</v>
      </c>
      <c r="B211" t="s">
        <v>819</v>
      </c>
      <c r="C211" t="s">
        <v>2944</v>
      </c>
      <c r="D211" t="s">
        <v>2544</v>
      </c>
      <c r="E211" t="s">
        <v>2945</v>
      </c>
      <c r="F211" t="s">
        <v>822</v>
      </c>
      <c r="G211" t="s">
        <v>822</v>
      </c>
      <c r="J211" t="s">
        <v>80</v>
      </c>
      <c r="K211" t="s">
        <v>110</v>
      </c>
      <c r="L211" t="s">
        <v>111</v>
      </c>
      <c r="M211">
        <v>69222</v>
      </c>
      <c r="P211" t="s">
        <v>154</v>
      </c>
      <c r="Q211" t="s">
        <v>539</v>
      </c>
      <c r="R211" t="s">
        <v>540</v>
      </c>
      <c r="S211" t="s">
        <v>541</v>
      </c>
      <c r="T211" t="s">
        <v>824</v>
      </c>
      <c r="U211" t="s">
        <v>825</v>
      </c>
      <c r="V211" t="s">
        <v>826</v>
      </c>
      <c r="W211" t="s">
        <v>886</v>
      </c>
      <c r="X211" t="s">
        <v>2494</v>
      </c>
      <c r="Y211" t="s">
        <v>93</v>
      </c>
      <c r="Z211" t="s">
        <v>829</v>
      </c>
      <c r="AA211" t="s">
        <v>830</v>
      </c>
      <c r="AB211" t="s">
        <v>119</v>
      </c>
      <c r="AC211" t="s">
        <v>164</v>
      </c>
      <c r="AD211" t="s">
        <v>829</v>
      </c>
      <c r="AE211" t="s">
        <v>830</v>
      </c>
      <c r="AF211" t="s">
        <v>119</v>
      </c>
      <c r="AG211" t="s">
        <v>164</v>
      </c>
      <c r="AI211" t="s">
        <v>2946</v>
      </c>
      <c r="AJ211" t="s">
        <v>829</v>
      </c>
      <c r="AK211" t="s">
        <v>99</v>
      </c>
      <c r="AL211" t="s">
        <v>2947</v>
      </c>
      <c r="AM211" t="s">
        <v>2948</v>
      </c>
      <c r="AN211" t="s">
        <v>2578</v>
      </c>
      <c r="AR211" t="s">
        <v>125</v>
      </c>
      <c r="AT211" t="s">
        <v>2949</v>
      </c>
      <c r="AV211" t="s">
        <v>128</v>
      </c>
      <c r="AZ211" t="s">
        <v>80</v>
      </c>
    </row>
    <row r="212" spans="1:52" hidden="1" x14ac:dyDescent="0.25">
      <c r="A212" t="s">
        <v>2950</v>
      </c>
      <c r="B212" t="s">
        <v>2951</v>
      </c>
      <c r="C212" t="s">
        <v>2952</v>
      </c>
      <c r="D212" t="s">
        <v>2544</v>
      </c>
      <c r="E212" t="s">
        <v>2953</v>
      </c>
      <c r="F212" t="s">
        <v>2954</v>
      </c>
      <c r="G212" t="s">
        <v>2954</v>
      </c>
      <c r="J212" t="s">
        <v>80</v>
      </c>
      <c r="K212" t="s">
        <v>110</v>
      </c>
      <c r="L212" t="s">
        <v>111</v>
      </c>
      <c r="M212">
        <v>69692</v>
      </c>
      <c r="N212" t="s">
        <v>2955</v>
      </c>
      <c r="P212" t="s">
        <v>1306</v>
      </c>
      <c r="Q212" t="s">
        <v>539</v>
      </c>
      <c r="R212" t="s">
        <v>540</v>
      </c>
      <c r="S212" t="s">
        <v>541</v>
      </c>
      <c r="T212" t="s">
        <v>1307</v>
      </c>
      <c r="U212" t="s">
        <v>160</v>
      </c>
      <c r="V212" t="s">
        <v>2956</v>
      </c>
      <c r="W212" t="s">
        <v>161</v>
      </c>
      <c r="X212" t="s">
        <v>1640</v>
      </c>
      <c r="Y212" t="s">
        <v>93</v>
      </c>
      <c r="Z212" t="s">
        <v>1312</v>
      </c>
      <c r="AA212" t="s">
        <v>2957</v>
      </c>
      <c r="AB212" t="s">
        <v>119</v>
      </c>
      <c r="AC212" t="s">
        <v>1898</v>
      </c>
      <c r="AD212" t="s">
        <v>1312</v>
      </c>
      <c r="AE212" t="s">
        <v>2957</v>
      </c>
      <c r="AF212" t="s">
        <v>119</v>
      </c>
      <c r="AG212" t="s">
        <v>1898</v>
      </c>
      <c r="AH212" t="s">
        <v>2958</v>
      </c>
      <c r="AI212" t="s">
        <v>2959</v>
      </c>
      <c r="AJ212" t="s">
        <v>1312</v>
      </c>
      <c r="AK212" t="s">
        <v>99</v>
      </c>
      <c r="AL212" t="s">
        <v>2960</v>
      </c>
      <c r="AM212" t="s">
        <v>2961</v>
      </c>
      <c r="AN212" t="s">
        <v>2555</v>
      </c>
      <c r="AR212" t="s">
        <v>125</v>
      </c>
      <c r="AT212" t="s">
        <v>2962</v>
      </c>
      <c r="AV212" t="s">
        <v>128</v>
      </c>
      <c r="AZ212" t="s">
        <v>80</v>
      </c>
    </row>
    <row r="213" spans="1:52" hidden="1" x14ac:dyDescent="0.25">
      <c r="A213" t="s">
        <v>732</v>
      </c>
      <c r="B213" t="s">
        <v>2963</v>
      </c>
      <c r="C213" t="s">
        <v>2964</v>
      </c>
      <c r="D213" t="s">
        <v>2544</v>
      </c>
      <c r="E213" t="s">
        <v>2965</v>
      </c>
      <c r="F213" t="s">
        <v>2966</v>
      </c>
      <c r="G213" t="s">
        <v>2966</v>
      </c>
      <c r="J213" t="s">
        <v>80</v>
      </c>
      <c r="K213" t="s">
        <v>110</v>
      </c>
      <c r="L213" t="s">
        <v>111</v>
      </c>
      <c r="M213" t="s">
        <v>2967</v>
      </c>
      <c r="P213" t="s">
        <v>154</v>
      </c>
      <c r="Q213" t="s">
        <v>539</v>
      </c>
      <c r="R213" t="s">
        <v>540</v>
      </c>
      <c r="S213" t="s">
        <v>541</v>
      </c>
      <c r="T213" t="s">
        <v>2968</v>
      </c>
      <c r="U213" t="s">
        <v>947</v>
      </c>
      <c r="V213" t="s">
        <v>2956</v>
      </c>
      <c r="W213" t="s">
        <v>2969</v>
      </c>
      <c r="X213" t="s">
        <v>2970</v>
      </c>
      <c r="Y213" t="s">
        <v>93</v>
      </c>
      <c r="Z213" t="s">
        <v>119</v>
      </c>
      <c r="AA213" t="s">
        <v>2971</v>
      </c>
      <c r="AB213" t="s">
        <v>304</v>
      </c>
      <c r="AC213" t="s">
        <v>2972</v>
      </c>
      <c r="AD213" t="s">
        <v>119</v>
      </c>
      <c r="AE213" t="s">
        <v>2971</v>
      </c>
      <c r="AF213" t="s">
        <v>304</v>
      </c>
      <c r="AG213" t="s">
        <v>2972</v>
      </c>
      <c r="AI213" t="s">
        <v>2973</v>
      </c>
      <c r="AJ213" t="s">
        <v>119</v>
      </c>
      <c r="AK213" t="s">
        <v>99</v>
      </c>
      <c r="AL213" t="s">
        <v>2974</v>
      </c>
      <c r="AM213" t="s">
        <v>2975</v>
      </c>
      <c r="AN213" t="s">
        <v>2555</v>
      </c>
      <c r="AR213" t="s">
        <v>125</v>
      </c>
      <c r="AT213" t="s">
        <v>2976</v>
      </c>
      <c r="AV213" t="s">
        <v>128</v>
      </c>
      <c r="AZ213" t="s">
        <v>80</v>
      </c>
    </row>
    <row r="214" spans="1:52" hidden="1" x14ac:dyDescent="0.25">
      <c r="A214" t="s">
        <v>2977</v>
      </c>
      <c r="B214" t="s">
        <v>2978</v>
      </c>
      <c r="C214" t="s">
        <v>2979</v>
      </c>
      <c r="D214" t="s">
        <v>2544</v>
      </c>
      <c r="E214" t="s">
        <v>2980</v>
      </c>
      <c r="F214" t="s">
        <v>2981</v>
      </c>
      <c r="G214" t="s">
        <v>2981</v>
      </c>
      <c r="J214" t="s">
        <v>80</v>
      </c>
      <c r="K214" t="s">
        <v>110</v>
      </c>
      <c r="L214" t="s">
        <v>111</v>
      </c>
      <c r="M214">
        <v>69422</v>
      </c>
      <c r="P214" t="s">
        <v>134</v>
      </c>
      <c r="Q214" t="s">
        <v>1205</v>
      </c>
      <c r="R214" t="s">
        <v>914</v>
      </c>
      <c r="S214" t="s">
        <v>444</v>
      </c>
      <c r="T214" t="s">
        <v>2982</v>
      </c>
      <c r="U214" t="s">
        <v>2983</v>
      </c>
      <c r="V214" t="s">
        <v>2984</v>
      </c>
      <c r="W214" t="s">
        <v>161</v>
      </c>
      <c r="X214" t="s">
        <v>2985</v>
      </c>
      <c r="Y214" t="s">
        <v>93</v>
      </c>
      <c r="Z214" t="s">
        <v>2986</v>
      </c>
      <c r="AA214" t="s">
        <v>2987</v>
      </c>
      <c r="AB214" t="s">
        <v>678</v>
      </c>
      <c r="AC214" t="s">
        <v>2988</v>
      </c>
      <c r="AD214" t="s">
        <v>2986</v>
      </c>
      <c r="AE214" t="s">
        <v>2987</v>
      </c>
      <c r="AF214" t="s">
        <v>678</v>
      </c>
      <c r="AG214" t="s">
        <v>2988</v>
      </c>
      <c r="AI214" t="s">
        <v>2989</v>
      </c>
      <c r="AJ214" t="s">
        <v>2986</v>
      </c>
      <c r="AK214" t="s">
        <v>99</v>
      </c>
      <c r="AL214" t="s">
        <v>2990</v>
      </c>
      <c r="AM214" t="s">
        <v>2991</v>
      </c>
      <c r="AN214" t="s">
        <v>2578</v>
      </c>
      <c r="AR214" t="s">
        <v>125</v>
      </c>
      <c r="AT214" t="s">
        <v>2992</v>
      </c>
      <c r="AV214" t="s">
        <v>128</v>
      </c>
      <c r="AZ214" t="s">
        <v>80</v>
      </c>
    </row>
    <row r="215" spans="1:52" hidden="1" x14ac:dyDescent="0.25">
      <c r="A215" t="s">
        <v>2993</v>
      </c>
      <c r="B215" t="s">
        <v>2994</v>
      </c>
      <c r="C215" t="s">
        <v>2995</v>
      </c>
      <c r="D215" t="s">
        <v>2544</v>
      </c>
      <c r="E215" t="s">
        <v>2996</v>
      </c>
      <c r="F215" t="s">
        <v>2997</v>
      </c>
      <c r="G215" t="s">
        <v>2998</v>
      </c>
      <c r="J215" t="s">
        <v>80</v>
      </c>
      <c r="K215" t="s">
        <v>538</v>
      </c>
      <c r="L215" t="s">
        <v>111</v>
      </c>
      <c r="M215">
        <v>69118</v>
      </c>
      <c r="O215" t="s">
        <v>2027</v>
      </c>
      <c r="P215" t="s">
        <v>212</v>
      </c>
      <c r="Q215" t="s">
        <v>1284</v>
      </c>
      <c r="R215" t="s">
        <v>1285</v>
      </c>
      <c r="S215" t="s">
        <v>1124</v>
      </c>
      <c r="T215" t="s">
        <v>2030</v>
      </c>
      <c r="U215" t="s">
        <v>1465</v>
      </c>
      <c r="V215" t="s">
        <v>2999</v>
      </c>
      <c r="W215" t="s">
        <v>2116</v>
      </c>
      <c r="X215" t="s">
        <v>3000</v>
      </c>
      <c r="Y215" t="s">
        <v>93</v>
      </c>
      <c r="Z215" t="s">
        <v>1213</v>
      </c>
      <c r="AA215" t="s">
        <v>3001</v>
      </c>
      <c r="AB215" t="s">
        <v>119</v>
      </c>
      <c r="AC215" t="s">
        <v>3002</v>
      </c>
      <c r="AD215" t="s">
        <v>1213</v>
      </c>
      <c r="AE215" t="s">
        <v>3001</v>
      </c>
      <c r="AF215" t="s">
        <v>119</v>
      </c>
      <c r="AG215" t="s">
        <v>3002</v>
      </c>
      <c r="AI215" t="s">
        <v>3003</v>
      </c>
      <c r="AJ215" t="s">
        <v>1213</v>
      </c>
      <c r="AK215" t="s">
        <v>99</v>
      </c>
      <c r="AL215" t="s">
        <v>3004</v>
      </c>
      <c r="AM215" t="s">
        <v>3005</v>
      </c>
      <c r="AR215" t="s">
        <v>125</v>
      </c>
      <c r="AT215" t="s">
        <v>3006</v>
      </c>
      <c r="AV215" t="s">
        <v>190</v>
      </c>
      <c r="AZ215" t="s">
        <v>80</v>
      </c>
    </row>
    <row r="216" spans="1:52" hidden="1" x14ac:dyDescent="0.25">
      <c r="A216" t="s">
        <v>3007</v>
      </c>
      <c r="B216" t="s">
        <v>3008</v>
      </c>
      <c r="C216" t="s">
        <v>3009</v>
      </c>
      <c r="D216" t="s">
        <v>2544</v>
      </c>
      <c r="E216" t="s">
        <v>3010</v>
      </c>
      <c r="F216" t="s">
        <v>3011</v>
      </c>
      <c r="G216" t="s">
        <v>3012</v>
      </c>
      <c r="J216" t="s">
        <v>80</v>
      </c>
      <c r="K216" t="s">
        <v>538</v>
      </c>
      <c r="L216" t="s">
        <v>111</v>
      </c>
      <c r="M216" t="s">
        <v>3013</v>
      </c>
      <c r="P216" t="s">
        <v>134</v>
      </c>
      <c r="Q216" t="s">
        <v>1744</v>
      </c>
      <c r="R216" t="s">
        <v>1550</v>
      </c>
      <c r="S216" t="s">
        <v>774</v>
      </c>
      <c r="T216" t="s">
        <v>3014</v>
      </c>
      <c r="U216" t="s">
        <v>3015</v>
      </c>
      <c r="V216" t="s">
        <v>3016</v>
      </c>
      <c r="W216" t="s">
        <v>752</v>
      </c>
      <c r="X216" t="s">
        <v>3017</v>
      </c>
      <c r="Y216" t="s">
        <v>93</v>
      </c>
      <c r="Z216" t="s">
        <v>119</v>
      </c>
      <c r="AA216" t="s">
        <v>3018</v>
      </c>
      <c r="AB216" t="s">
        <v>1748</v>
      </c>
      <c r="AC216" t="s">
        <v>3019</v>
      </c>
      <c r="AD216" t="s">
        <v>119</v>
      </c>
      <c r="AE216" t="s">
        <v>3018</v>
      </c>
      <c r="AF216" t="s">
        <v>1748</v>
      </c>
      <c r="AG216" t="s">
        <v>3019</v>
      </c>
      <c r="AI216" t="s">
        <v>3020</v>
      </c>
      <c r="AJ216" t="s">
        <v>119</v>
      </c>
      <c r="AK216" t="s">
        <v>99</v>
      </c>
      <c r="AL216" t="s">
        <v>3021</v>
      </c>
      <c r="AM216" t="s">
        <v>3022</v>
      </c>
      <c r="AR216" t="s">
        <v>125</v>
      </c>
      <c r="AT216" t="s">
        <v>3023</v>
      </c>
      <c r="AV216" t="s">
        <v>128</v>
      </c>
      <c r="AZ216" t="s">
        <v>80</v>
      </c>
    </row>
    <row r="217" spans="1:52" hidden="1" x14ac:dyDescent="0.25">
      <c r="A217" t="s">
        <v>3024</v>
      </c>
      <c r="B217" t="s">
        <v>3025</v>
      </c>
      <c r="C217" t="s">
        <v>3026</v>
      </c>
      <c r="D217" t="s">
        <v>2544</v>
      </c>
      <c r="E217" t="s">
        <v>3027</v>
      </c>
      <c r="F217" t="s">
        <v>3028</v>
      </c>
      <c r="G217" t="s">
        <v>3028</v>
      </c>
      <c r="J217" t="s">
        <v>80</v>
      </c>
      <c r="K217" t="s">
        <v>110</v>
      </c>
      <c r="L217" t="s">
        <v>111</v>
      </c>
      <c r="M217">
        <v>69680</v>
      </c>
      <c r="P217" t="s">
        <v>154</v>
      </c>
      <c r="Q217" t="s">
        <v>539</v>
      </c>
      <c r="R217" t="s">
        <v>540</v>
      </c>
      <c r="S217" t="s">
        <v>541</v>
      </c>
      <c r="T217" t="s">
        <v>3029</v>
      </c>
      <c r="U217" t="s">
        <v>3030</v>
      </c>
      <c r="V217" t="s">
        <v>675</v>
      </c>
      <c r="W217" t="s">
        <v>797</v>
      </c>
      <c r="X217" t="s">
        <v>3031</v>
      </c>
      <c r="Y217" t="s">
        <v>93</v>
      </c>
      <c r="Z217" t="s">
        <v>3032</v>
      </c>
      <c r="AA217" t="s">
        <v>3033</v>
      </c>
      <c r="AB217" t="s">
        <v>119</v>
      </c>
      <c r="AC217" t="s">
        <v>3034</v>
      </c>
      <c r="AD217" t="s">
        <v>3032</v>
      </c>
      <c r="AE217" t="s">
        <v>3033</v>
      </c>
      <c r="AF217" t="s">
        <v>119</v>
      </c>
      <c r="AG217" t="s">
        <v>3034</v>
      </c>
      <c r="AI217" t="s">
        <v>3035</v>
      </c>
      <c r="AJ217" t="s">
        <v>3032</v>
      </c>
      <c r="AK217" t="s">
        <v>99</v>
      </c>
      <c r="AL217" t="s">
        <v>3036</v>
      </c>
      <c r="AM217" t="s">
        <v>2961</v>
      </c>
      <c r="AN217" t="s">
        <v>2555</v>
      </c>
      <c r="AR217" t="s">
        <v>125</v>
      </c>
      <c r="AT217" t="s">
        <v>3037</v>
      </c>
      <c r="AV217" t="s">
        <v>128</v>
      </c>
      <c r="AZ217" t="s">
        <v>80</v>
      </c>
    </row>
    <row r="218" spans="1:52" hidden="1" x14ac:dyDescent="0.25">
      <c r="A218" t="s">
        <v>3038</v>
      </c>
      <c r="B218" t="s">
        <v>3039</v>
      </c>
      <c r="C218" t="s">
        <v>3040</v>
      </c>
      <c r="D218" t="s">
        <v>2544</v>
      </c>
      <c r="E218" t="s">
        <v>3041</v>
      </c>
      <c r="F218" t="s">
        <v>3042</v>
      </c>
      <c r="G218" t="s">
        <v>3042</v>
      </c>
      <c r="J218" t="s">
        <v>80</v>
      </c>
      <c r="K218" t="s">
        <v>110</v>
      </c>
      <c r="L218" t="s">
        <v>111</v>
      </c>
      <c r="M218">
        <v>69484</v>
      </c>
      <c r="N218" t="s">
        <v>3043</v>
      </c>
      <c r="P218" t="s">
        <v>2905</v>
      </c>
      <c r="Q218" t="s">
        <v>3044</v>
      </c>
      <c r="R218" t="s">
        <v>444</v>
      </c>
      <c r="S218" t="s">
        <v>313</v>
      </c>
      <c r="T218" t="s">
        <v>3045</v>
      </c>
      <c r="U218" t="s">
        <v>3046</v>
      </c>
      <c r="V218" t="s">
        <v>3047</v>
      </c>
      <c r="W218" t="s">
        <v>3048</v>
      </c>
      <c r="X218" t="s">
        <v>3049</v>
      </c>
      <c r="Y218" t="s">
        <v>93</v>
      </c>
      <c r="Z218" t="s">
        <v>3050</v>
      </c>
      <c r="AA218" t="s">
        <v>3051</v>
      </c>
      <c r="AB218" t="s">
        <v>3052</v>
      </c>
      <c r="AC218" t="s">
        <v>3053</v>
      </c>
      <c r="AD218" t="s">
        <v>3050</v>
      </c>
      <c r="AE218" t="s">
        <v>3051</v>
      </c>
      <c r="AF218" t="s">
        <v>3052</v>
      </c>
      <c r="AG218" t="s">
        <v>3053</v>
      </c>
      <c r="AH218" t="s">
        <v>3054</v>
      </c>
      <c r="AI218" t="s">
        <v>3055</v>
      </c>
      <c r="AJ218" t="s">
        <v>3050</v>
      </c>
      <c r="AK218" t="s">
        <v>99</v>
      </c>
      <c r="AL218" t="s">
        <v>3056</v>
      </c>
      <c r="AM218" t="s">
        <v>3057</v>
      </c>
      <c r="AN218" t="s">
        <v>2555</v>
      </c>
      <c r="AR218" t="s">
        <v>125</v>
      </c>
      <c r="AT218" t="s">
        <v>3058</v>
      </c>
      <c r="AV218" t="s">
        <v>128</v>
      </c>
      <c r="AZ218" t="s">
        <v>80</v>
      </c>
    </row>
    <row r="219" spans="1:52" hidden="1" x14ac:dyDescent="0.25">
      <c r="A219" t="s">
        <v>3059</v>
      </c>
      <c r="B219" t="s">
        <v>3060</v>
      </c>
      <c r="C219" t="s">
        <v>3061</v>
      </c>
      <c r="D219" t="s">
        <v>78</v>
      </c>
      <c r="E219" t="s">
        <v>3062</v>
      </c>
      <c r="F219" t="s">
        <v>3062</v>
      </c>
      <c r="G219" t="s">
        <v>3062</v>
      </c>
      <c r="J219" t="s">
        <v>80</v>
      </c>
      <c r="K219" t="s">
        <v>81</v>
      </c>
      <c r="L219" t="s">
        <v>80</v>
      </c>
      <c r="M219">
        <v>60334</v>
      </c>
      <c r="P219" t="s">
        <v>134</v>
      </c>
      <c r="Q219" t="s">
        <v>3063</v>
      </c>
      <c r="R219" t="s">
        <v>914</v>
      </c>
      <c r="S219" t="s">
        <v>444</v>
      </c>
      <c r="T219" t="s">
        <v>3064</v>
      </c>
      <c r="U219" t="s">
        <v>3065</v>
      </c>
      <c r="W219" t="s">
        <v>2788</v>
      </c>
      <c r="X219" t="s">
        <v>3066</v>
      </c>
      <c r="Y219" t="s">
        <v>93</v>
      </c>
      <c r="Z219" t="s">
        <v>3067</v>
      </c>
      <c r="AA219" t="s">
        <v>3068</v>
      </c>
      <c r="AB219" t="s">
        <v>678</v>
      </c>
      <c r="AC219" t="s">
        <v>3069</v>
      </c>
      <c r="AD219" t="s">
        <v>3067</v>
      </c>
      <c r="AE219" t="s">
        <v>3068</v>
      </c>
      <c r="AF219" t="s">
        <v>678</v>
      </c>
      <c r="AG219" t="s">
        <v>3069</v>
      </c>
      <c r="AI219" t="s">
        <v>3070</v>
      </c>
      <c r="AJ219" t="s">
        <v>678</v>
      </c>
      <c r="AK219" t="s">
        <v>99</v>
      </c>
      <c r="AL219" t="s">
        <v>3071</v>
      </c>
      <c r="AM219" t="s">
        <v>3072</v>
      </c>
      <c r="AN219" t="s">
        <v>3073</v>
      </c>
      <c r="AT219" t="s">
        <v>3074</v>
      </c>
      <c r="AV219" t="s">
        <v>128</v>
      </c>
      <c r="AW219" t="s">
        <v>3075</v>
      </c>
      <c r="AZ219" t="s">
        <v>80</v>
      </c>
    </row>
    <row r="220" spans="1:52" hidden="1" x14ac:dyDescent="0.25">
      <c r="A220" t="s">
        <v>3076</v>
      </c>
      <c r="B220" t="s">
        <v>3077</v>
      </c>
      <c r="C220" t="s">
        <v>3078</v>
      </c>
      <c r="D220" t="s">
        <v>78</v>
      </c>
      <c r="E220" t="s">
        <v>3079</v>
      </c>
      <c r="F220" t="s">
        <v>3079</v>
      </c>
      <c r="G220" t="s">
        <v>3079</v>
      </c>
      <c r="J220" t="s">
        <v>80</v>
      </c>
      <c r="K220" t="s">
        <v>81</v>
      </c>
      <c r="L220" t="s">
        <v>80</v>
      </c>
      <c r="M220">
        <v>60332</v>
      </c>
      <c r="P220" t="s">
        <v>134</v>
      </c>
      <c r="Q220" t="s">
        <v>3063</v>
      </c>
      <c r="R220" t="s">
        <v>914</v>
      </c>
      <c r="S220" t="s">
        <v>444</v>
      </c>
      <c r="T220" t="s">
        <v>3064</v>
      </c>
      <c r="U220" t="s">
        <v>3065</v>
      </c>
      <c r="W220" t="s">
        <v>3080</v>
      </c>
      <c r="X220" t="s">
        <v>3081</v>
      </c>
      <c r="Y220" t="s">
        <v>93</v>
      </c>
      <c r="Z220" t="s">
        <v>3067</v>
      </c>
      <c r="AA220" t="s">
        <v>3082</v>
      </c>
      <c r="AB220" t="s">
        <v>678</v>
      </c>
      <c r="AC220" t="s">
        <v>3083</v>
      </c>
      <c r="AD220" t="s">
        <v>3067</v>
      </c>
      <c r="AE220" t="s">
        <v>3082</v>
      </c>
      <c r="AF220" t="s">
        <v>678</v>
      </c>
      <c r="AG220" t="s">
        <v>3083</v>
      </c>
      <c r="AI220" t="s">
        <v>3084</v>
      </c>
      <c r="AJ220" t="s">
        <v>678</v>
      </c>
      <c r="AK220" t="s">
        <v>99</v>
      </c>
      <c r="AL220" t="s">
        <v>3085</v>
      </c>
      <c r="AM220" t="s">
        <v>3072</v>
      </c>
      <c r="AN220" t="s">
        <v>3073</v>
      </c>
      <c r="AT220" t="s">
        <v>3086</v>
      </c>
      <c r="AV220" t="s">
        <v>128</v>
      </c>
      <c r="AW220" t="s">
        <v>3075</v>
      </c>
      <c r="AZ220" t="s">
        <v>80</v>
      </c>
    </row>
    <row r="221" spans="1:52" hidden="1" x14ac:dyDescent="0.25">
      <c r="A221" t="s">
        <v>3087</v>
      </c>
      <c r="B221" t="s">
        <v>3088</v>
      </c>
      <c r="C221" t="s">
        <v>3089</v>
      </c>
      <c r="D221" t="s">
        <v>78</v>
      </c>
      <c r="E221" t="s">
        <v>3090</v>
      </c>
      <c r="F221" t="s">
        <v>3090</v>
      </c>
      <c r="G221" t="s">
        <v>3090</v>
      </c>
      <c r="J221" t="s">
        <v>80</v>
      </c>
      <c r="K221" t="s">
        <v>81</v>
      </c>
      <c r="L221" t="s">
        <v>80</v>
      </c>
      <c r="M221">
        <v>60330</v>
      </c>
      <c r="P221" t="s">
        <v>134</v>
      </c>
      <c r="Q221" t="s">
        <v>3063</v>
      </c>
      <c r="R221" t="s">
        <v>914</v>
      </c>
      <c r="S221" t="s">
        <v>444</v>
      </c>
      <c r="T221" t="s">
        <v>3064</v>
      </c>
      <c r="U221" t="s">
        <v>3065</v>
      </c>
      <c r="W221" t="s">
        <v>2675</v>
      </c>
      <c r="X221" t="s">
        <v>3091</v>
      </c>
      <c r="Y221" t="s">
        <v>93</v>
      </c>
      <c r="Z221" t="s">
        <v>3067</v>
      </c>
      <c r="AA221" t="s">
        <v>3092</v>
      </c>
      <c r="AB221" t="s">
        <v>678</v>
      </c>
      <c r="AC221" t="s">
        <v>3093</v>
      </c>
      <c r="AD221" t="s">
        <v>3067</v>
      </c>
      <c r="AE221" t="s">
        <v>3092</v>
      </c>
      <c r="AF221" t="s">
        <v>678</v>
      </c>
      <c r="AG221" t="s">
        <v>3093</v>
      </c>
      <c r="AI221" t="s">
        <v>3094</v>
      </c>
      <c r="AJ221" t="s">
        <v>678</v>
      </c>
      <c r="AK221" t="s">
        <v>99</v>
      </c>
      <c r="AL221" t="s">
        <v>3095</v>
      </c>
      <c r="AM221" t="s">
        <v>3096</v>
      </c>
      <c r="AN221" t="s">
        <v>3073</v>
      </c>
      <c r="AT221" t="s">
        <v>3097</v>
      </c>
      <c r="AV221" t="s">
        <v>128</v>
      </c>
      <c r="AW221" t="s">
        <v>3075</v>
      </c>
      <c r="AZ221" t="s">
        <v>80</v>
      </c>
    </row>
    <row r="222" spans="1:52" hidden="1" x14ac:dyDescent="0.25">
      <c r="A222" t="s">
        <v>3098</v>
      </c>
      <c r="B222" t="s">
        <v>3099</v>
      </c>
      <c r="C222" t="s">
        <v>3100</v>
      </c>
      <c r="D222" t="s">
        <v>78</v>
      </c>
      <c r="E222" t="s">
        <v>3101</v>
      </c>
      <c r="F222" t="s">
        <v>3101</v>
      </c>
      <c r="G222" t="s">
        <v>3101</v>
      </c>
      <c r="J222" t="s">
        <v>80</v>
      </c>
      <c r="K222" t="s">
        <v>81</v>
      </c>
      <c r="L222" t="s">
        <v>80</v>
      </c>
      <c r="M222">
        <v>60328</v>
      </c>
      <c r="P222" t="s">
        <v>134</v>
      </c>
      <c r="Q222" t="s">
        <v>3063</v>
      </c>
      <c r="R222" t="s">
        <v>914</v>
      </c>
      <c r="S222" t="s">
        <v>444</v>
      </c>
      <c r="T222" t="s">
        <v>3064</v>
      </c>
      <c r="U222" t="s">
        <v>3065</v>
      </c>
      <c r="W222" t="s">
        <v>2788</v>
      </c>
      <c r="X222" t="s">
        <v>3066</v>
      </c>
      <c r="Y222" t="s">
        <v>93</v>
      </c>
      <c r="Z222" t="s">
        <v>3067</v>
      </c>
      <c r="AA222" t="s">
        <v>1164</v>
      </c>
      <c r="AB222" t="s">
        <v>678</v>
      </c>
      <c r="AC222" t="s">
        <v>2826</v>
      </c>
      <c r="AD222" t="s">
        <v>3067</v>
      </c>
      <c r="AE222" t="s">
        <v>1164</v>
      </c>
      <c r="AF222" t="s">
        <v>678</v>
      </c>
      <c r="AG222" t="s">
        <v>2826</v>
      </c>
      <c r="AI222" t="s">
        <v>3102</v>
      </c>
      <c r="AJ222" t="s">
        <v>678</v>
      </c>
      <c r="AK222" t="s">
        <v>99</v>
      </c>
      <c r="AL222" t="s">
        <v>3103</v>
      </c>
      <c r="AM222" t="s">
        <v>3096</v>
      </c>
      <c r="AN222" t="s">
        <v>3073</v>
      </c>
      <c r="AT222" t="s">
        <v>3104</v>
      </c>
      <c r="AV222" t="s">
        <v>128</v>
      </c>
      <c r="AW222" t="s">
        <v>3075</v>
      </c>
      <c r="AZ222" t="s">
        <v>80</v>
      </c>
    </row>
    <row r="223" spans="1:52" hidden="1" x14ac:dyDescent="0.25">
      <c r="A223" t="s">
        <v>3105</v>
      </c>
      <c r="B223" t="s">
        <v>3106</v>
      </c>
      <c r="C223" t="s">
        <v>3107</v>
      </c>
      <c r="D223" t="s">
        <v>78</v>
      </c>
      <c r="E223" t="s">
        <v>3108</v>
      </c>
      <c r="F223" t="s">
        <v>3108</v>
      </c>
      <c r="G223" t="s">
        <v>3108</v>
      </c>
      <c r="J223" t="s">
        <v>80</v>
      </c>
      <c r="K223" t="s">
        <v>81</v>
      </c>
      <c r="L223" t="s">
        <v>80</v>
      </c>
      <c r="M223">
        <v>60326</v>
      </c>
      <c r="P223" t="s">
        <v>134</v>
      </c>
      <c r="Q223" t="s">
        <v>3063</v>
      </c>
      <c r="R223" t="s">
        <v>914</v>
      </c>
      <c r="S223" t="s">
        <v>444</v>
      </c>
      <c r="T223" t="s">
        <v>3064</v>
      </c>
      <c r="U223" t="s">
        <v>3065</v>
      </c>
      <c r="W223" t="s">
        <v>2788</v>
      </c>
      <c r="X223" t="s">
        <v>3066</v>
      </c>
      <c r="Y223" t="s">
        <v>93</v>
      </c>
      <c r="Z223" t="s">
        <v>3067</v>
      </c>
      <c r="AA223" t="s">
        <v>3109</v>
      </c>
      <c r="AB223" t="s">
        <v>678</v>
      </c>
      <c r="AC223" t="s">
        <v>1256</v>
      </c>
      <c r="AD223" t="s">
        <v>3067</v>
      </c>
      <c r="AE223" t="s">
        <v>3109</v>
      </c>
      <c r="AF223" t="s">
        <v>678</v>
      </c>
      <c r="AG223" t="s">
        <v>1256</v>
      </c>
      <c r="AI223" t="s">
        <v>3110</v>
      </c>
      <c r="AJ223" t="s">
        <v>678</v>
      </c>
      <c r="AK223" t="s">
        <v>99</v>
      </c>
      <c r="AL223" t="s">
        <v>3111</v>
      </c>
      <c r="AM223" t="s">
        <v>3096</v>
      </c>
      <c r="AN223" t="s">
        <v>3073</v>
      </c>
      <c r="AT223" t="s">
        <v>3112</v>
      </c>
      <c r="AV223" t="s">
        <v>128</v>
      </c>
      <c r="AW223" t="s">
        <v>3113</v>
      </c>
      <c r="AZ223" t="s">
        <v>80</v>
      </c>
    </row>
    <row r="224" spans="1:52" hidden="1" x14ac:dyDescent="0.25">
      <c r="A224" t="s">
        <v>3114</v>
      </c>
      <c r="B224" t="s">
        <v>3115</v>
      </c>
      <c r="C224" t="s">
        <v>3116</v>
      </c>
      <c r="D224" t="s">
        <v>78</v>
      </c>
      <c r="E224" t="s">
        <v>3117</v>
      </c>
      <c r="F224" t="s">
        <v>3117</v>
      </c>
      <c r="G224" t="s">
        <v>3117</v>
      </c>
      <c r="J224" t="s">
        <v>80</v>
      </c>
      <c r="K224" t="s">
        <v>81</v>
      </c>
      <c r="L224" t="s">
        <v>80</v>
      </c>
      <c r="M224">
        <v>60324</v>
      </c>
      <c r="P224" t="s">
        <v>134</v>
      </c>
      <c r="Q224" t="s">
        <v>3063</v>
      </c>
      <c r="R224" t="s">
        <v>914</v>
      </c>
      <c r="S224" t="s">
        <v>444</v>
      </c>
      <c r="T224" t="s">
        <v>3064</v>
      </c>
      <c r="U224" t="s">
        <v>3065</v>
      </c>
      <c r="W224" t="s">
        <v>2788</v>
      </c>
      <c r="X224" t="s">
        <v>3066</v>
      </c>
      <c r="Y224" t="s">
        <v>93</v>
      </c>
      <c r="Z224" t="s">
        <v>3067</v>
      </c>
      <c r="AA224" t="s">
        <v>3118</v>
      </c>
      <c r="AB224" t="s">
        <v>678</v>
      </c>
      <c r="AC224" t="s">
        <v>3119</v>
      </c>
      <c r="AD224" t="s">
        <v>3067</v>
      </c>
      <c r="AE224" t="s">
        <v>3118</v>
      </c>
      <c r="AF224" t="s">
        <v>678</v>
      </c>
      <c r="AG224" t="s">
        <v>3119</v>
      </c>
      <c r="AI224" t="s">
        <v>3120</v>
      </c>
      <c r="AJ224" t="s">
        <v>678</v>
      </c>
      <c r="AK224" t="s">
        <v>99</v>
      </c>
      <c r="AL224" t="s">
        <v>3121</v>
      </c>
      <c r="AM224" t="s">
        <v>3122</v>
      </c>
      <c r="AN224" t="s">
        <v>3073</v>
      </c>
      <c r="AT224" t="s">
        <v>3123</v>
      </c>
      <c r="AV224" t="s">
        <v>128</v>
      </c>
      <c r="AW224" t="s">
        <v>3113</v>
      </c>
      <c r="AZ224" t="s">
        <v>80</v>
      </c>
    </row>
    <row r="225" spans="1:52" hidden="1" x14ac:dyDescent="0.25">
      <c r="A225" t="s">
        <v>3124</v>
      </c>
      <c r="B225" t="s">
        <v>3125</v>
      </c>
      <c r="C225" t="s">
        <v>3126</v>
      </c>
      <c r="D225" t="s">
        <v>78</v>
      </c>
      <c r="E225" t="s">
        <v>3127</v>
      </c>
      <c r="F225" t="s">
        <v>3127</v>
      </c>
      <c r="G225" t="s">
        <v>3127</v>
      </c>
      <c r="J225" t="s">
        <v>80</v>
      </c>
      <c r="K225" t="s">
        <v>81</v>
      </c>
      <c r="L225" t="s">
        <v>80</v>
      </c>
      <c r="M225">
        <v>60322</v>
      </c>
      <c r="P225" t="s">
        <v>134</v>
      </c>
      <c r="Q225" t="s">
        <v>3063</v>
      </c>
      <c r="R225" t="s">
        <v>914</v>
      </c>
      <c r="S225" t="s">
        <v>444</v>
      </c>
      <c r="T225" t="s">
        <v>3064</v>
      </c>
      <c r="U225" t="s">
        <v>3065</v>
      </c>
      <c r="W225" t="s">
        <v>2788</v>
      </c>
      <c r="X225" t="s">
        <v>3066</v>
      </c>
      <c r="Y225" t="s">
        <v>93</v>
      </c>
      <c r="Z225" t="s">
        <v>3067</v>
      </c>
      <c r="AA225" t="s">
        <v>3128</v>
      </c>
      <c r="AB225" t="s">
        <v>678</v>
      </c>
      <c r="AC225" t="s">
        <v>3129</v>
      </c>
      <c r="AD225" t="s">
        <v>3067</v>
      </c>
      <c r="AE225" t="s">
        <v>3128</v>
      </c>
      <c r="AF225" t="s">
        <v>678</v>
      </c>
      <c r="AG225" t="s">
        <v>3129</v>
      </c>
      <c r="AI225" t="s">
        <v>3130</v>
      </c>
      <c r="AJ225" t="s">
        <v>678</v>
      </c>
      <c r="AK225" t="s">
        <v>99</v>
      </c>
      <c r="AL225" t="s">
        <v>3131</v>
      </c>
      <c r="AM225" t="s">
        <v>3122</v>
      </c>
      <c r="AN225" t="s">
        <v>3073</v>
      </c>
      <c r="AT225" t="s">
        <v>3132</v>
      </c>
      <c r="AV225" t="s">
        <v>128</v>
      </c>
      <c r="AW225" t="s">
        <v>3113</v>
      </c>
      <c r="AZ225" t="s">
        <v>80</v>
      </c>
    </row>
    <row r="226" spans="1:52" hidden="1" x14ac:dyDescent="0.25">
      <c r="A226" t="s">
        <v>3133</v>
      </c>
      <c r="B226" t="s">
        <v>3134</v>
      </c>
      <c r="C226" t="s">
        <v>3135</v>
      </c>
      <c r="D226" t="s">
        <v>78</v>
      </c>
      <c r="E226" t="s">
        <v>3136</v>
      </c>
      <c r="F226" t="s">
        <v>3136</v>
      </c>
      <c r="G226" t="s">
        <v>3136</v>
      </c>
      <c r="J226" t="s">
        <v>80</v>
      </c>
      <c r="K226" t="s">
        <v>81</v>
      </c>
      <c r="L226" t="s">
        <v>80</v>
      </c>
      <c r="M226">
        <v>60320</v>
      </c>
      <c r="P226" t="s">
        <v>134</v>
      </c>
      <c r="Q226" t="s">
        <v>3063</v>
      </c>
      <c r="R226" t="s">
        <v>914</v>
      </c>
      <c r="S226" t="s">
        <v>444</v>
      </c>
      <c r="T226" t="s">
        <v>3064</v>
      </c>
      <c r="U226" t="s">
        <v>3137</v>
      </c>
      <c r="W226" t="s">
        <v>2788</v>
      </c>
      <c r="X226" t="s">
        <v>3066</v>
      </c>
      <c r="Y226" t="s">
        <v>93</v>
      </c>
      <c r="Z226" t="s">
        <v>3067</v>
      </c>
      <c r="AA226" t="s">
        <v>2064</v>
      </c>
      <c r="AB226" t="s">
        <v>678</v>
      </c>
      <c r="AC226" t="s">
        <v>2912</v>
      </c>
      <c r="AD226" t="s">
        <v>3067</v>
      </c>
      <c r="AE226" t="s">
        <v>2064</v>
      </c>
      <c r="AF226" t="s">
        <v>678</v>
      </c>
      <c r="AG226" t="s">
        <v>2912</v>
      </c>
      <c r="AI226" t="s">
        <v>3138</v>
      </c>
      <c r="AJ226" t="s">
        <v>678</v>
      </c>
      <c r="AK226" t="s">
        <v>99</v>
      </c>
      <c r="AL226" t="s">
        <v>3139</v>
      </c>
      <c r="AM226" t="s">
        <v>3122</v>
      </c>
      <c r="AN226" t="s">
        <v>3073</v>
      </c>
      <c r="AT226" t="s">
        <v>3140</v>
      </c>
      <c r="AV226" t="s">
        <v>128</v>
      </c>
      <c r="AW226" t="s">
        <v>3141</v>
      </c>
      <c r="AZ226" t="s">
        <v>80</v>
      </c>
    </row>
    <row r="227" spans="1:52" hidden="1" x14ac:dyDescent="0.25">
      <c r="A227" t="s">
        <v>3142</v>
      </c>
      <c r="B227" t="s">
        <v>3143</v>
      </c>
      <c r="C227" t="s">
        <v>3144</v>
      </c>
      <c r="D227" t="s">
        <v>2544</v>
      </c>
      <c r="E227" t="s">
        <v>3145</v>
      </c>
      <c r="F227" t="s">
        <v>3146</v>
      </c>
      <c r="G227" t="s">
        <v>3146</v>
      </c>
      <c r="J227" t="s">
        <v>80</v>
      </c>
      <c r="K227" t="s">
        <v>110</v>
      </c>
      <c r="L227" t="s">
        <v>111</v>
      </c>
      <c r="M227">
        <v>69482</v>
      </c>
      <c r="N227" t="s">
        <v>3147</v>
      </c>
      <c r="P227" t="s">
        <v>2905</v>
      </c>
      <c r="Q227" t="s">
        <v>3044</v>
      </c>
      <c r="R227" t="s">
        <v>444</v>
      </c>
      <c r="S227" t="s">
        <v>313</v>
      </c>
      <c r="T227" t="s">
        <v>3045</v>
      </c>
      <c r="U227" t="s">
        <v>3046</v>
      </c>
      <c r="V227" t="s">
        <v>3047</v>
      </c>
      <c r="W227" t="s">
        <v>752</v>
      </c>
      <c r="X227" t="s">
        <v>3049</v>
      </c>
      <c r="Y227" t="s">
        <v>93</v>
      </c>
      <c r="Z227" t="s">
        <v>3050</v>
      </c>
      <c r="AA227" t="s">
        <v>3148</v>
      </c>
      <c r="AB227" t="s">
        <v>3052</v>
      </c>
      <c r="AC227" t="s">
        <v>3149</v>
      </c>
      <c r="AD227" t="s">
        <v>3050</v>
      </c>
      <c r="AE227" t="s">
        <v>3148</v>
      </c>
      <c r="AF227" t="s">
        <v>3052</v>
      </c>
      <c r="AG227" t="s">
        <v>3149</v>
      </c>
      <c r="AH227" t="s">
        <v>3054</v>
      </c>
      <c r="AI227" t="s">
        <v>3150</v>
      </c>
      <c r="AJ227" t="s">
        <v>3050</v>
      </c>
      <c r="AK227" t="s">
        <v>99</v>
      </c>
      <c r="AL227" t="s">
        <v>3151</v>
      </c>
      <c r="AM227" t="s">
        <v>3057</v>
      </c>
      <c r="AN227" t="s">
        <v>2555</v>
      </c>
      <c r="AR227" t="s">
        <v>125</v>
      </c>
      <c r="AT227" t="s">
        <v>3152</v>
      </c>
      <c r="AV227" t="s">
        <v>128</v>
      </c>
      <c r="AZ227" t="s">
        <v>80</v>
      </c>
    </row>
    <row r="228" spans="1:52" hidden="1" x14ac:dyDescent="0.25">
      <c r="A228" t="s">
        <v>3153</v>
      </c>
      <c r="B228" t="s">
        <v>3154</v>
      </c>
      <c r="C228" t="s">
        <v>3155</v>
      </c>
      <c r="D228" t="s">
        <v>78</v>
      </c>
      <c r="E228" t="s">
        <v>3156</v>
      </c>
      <c r="F228" t="s">
        <v>3156</v>
      </c>
      <c r="G228" t="s">
        <v>3156</v>
      </c>
      <c r="J228" t="s">
        <v>80</v>
      </c>
      <c r="K228" t="s">
        <v>81</v>
      </c>
      <c r="L228" t="s">
        <v>80</v>
      </c>
      <c r="M228">
        <v>66317</v>
      </c>
      <c r="P228" t="s">
        <v>134</v>
      </c>
      <c r="Q228" t="s">
        <v>3063</v>
      </c>
      <c r="R228" t="s">
        <v>914</v>
      </c>
      <c r="S228" t="s">
        <v>444</v>
      </c>
      <c r="T228" t="s">
        <v>3064</v>
      </c>
      <c r="U228" t="s">
        <v>3157</v>
      </c>
      <c r="W228" t="s">
        <v>3080</v>
      </c>
      <c r="X228" t="s">
        <v>3081</v>
      </c>
      <c r="Y228" t="s">
        <v>93</v>
      </c>
      <c r="Z228" t="s">
        <v>678</v>
      </c>
      <c r="AA228" t="s">
        <v>3158</v>
      </c>
      <c r="AB228" t="s">
        <v>3067</v>
      </c>
      <c r="AC228" t="s">
        <v>3159</v>
      </c>
      <c r="AD228" t="s">
        <v>678</v>
      </c>
      <c r="AE228" t="s">
        <v>3158</v>
      </c>
      <c r="AF228" t="s">
        <v>3067</v>
      </c>
      <c r="AG228" t="s">
        <v>3159</v>
      </c>
      <c r="AI228" t="s">
        <v>3160</v>
      </c>
      <c r="AJ228" t="s">
        <v>678</v>
      </c>
      <c r="AK228" t="s">
        <v>99</v>
      </c>
      <c r="AL228" t="s">
        <v>3161</v>
      </c>
      <c r="AM228" t="s">
        <v>3122</v>
      </c>
      <c r="AN228" t="s">
        <v>3073</v>
      </c>
      <c r="AT228" t="s">
        <v>3162</v>
      </c>
      <c r="AV228" t="s">
        <v>128</v>
      </c>
      <c r="AW228" t="s">
        <v>3163</v>
      </c>
      <c r="AZ228" t="s">
        <v>80</v>
      </c>
    </row>
    <row r="229" spans="1:52" hidden="1" x14ac:dyDescent="0.25">
      <c r="A229" t="s">
        <v>3164</v>
      </c>
      <c r="B229" t="s">
        <v>3165</v>
      </c>
      <c r="C229" t="s">
        <v>3166</v>
      </c>
      <c r="D229" t="s">
        <v>78</v>
      </c>
      <c r="E229" t="s">
        <v>3167</v>
      </c>
      <c r="F229" t="s">
        <v>3167</v>
      </c>
      <c r="G229" t="s">
        <v>3167</v>
      </c>
      <c r="J229" t="s">
        <v>80</v>
      </c>
      <c r="K229" t="s">
        <v>81</v>
      </c>
      <c r="L229" t="s">
        <v>80</v>
      </c>
      <c r="M229">
        <v>66315</v>
      </c>
      <c r="P229" t="s">
        <v>134</v>
      </c>
      <c r="Q229" t="s">
        <v>3063</v>
      </c>
      <c r="R229" t="s">
        <v>914</v>
      </c>
      <c r="S229" t="s">
        <v>444</v>
      </c>
      <c r="T229" t="s">
        <v>3064</v>
      </c>
      <c r="U229" t="s">
        <v>3157</v>
      </c>
      <c r="W229" t="s">
        <v>2675</v>
      </c>
      <c r="X229" t="s">
        <v>3091</v>
      </c>
      <c r="Y229" t="s">
        <v>93</v>
      </c>
      <c r="Z229" t="s">
        <v>678</v>
      </c>
      <c r="AA229" t="s">
        <v>3168</v>
      </c>
      <c r="AB229" t="s">
        <v>3067</v>
      </c>
      <c r="AC229" t="s">
        <v>3169</v>
      </c>
      <c r="AD229" t="s">
        <v>678</v>
      </c>
      <c r="AE229" t="s">
        <v>3168</v>
      </c>
      <c r="AF229" t="s">
        <v>3067</v>
      </c>
      <c r="AG229" t="s">
        <v>3169</v>
      </c>
      <c r="AI229" t="s">
        <v>3170</v>
      </c>
      <c r="AJ229" t="s">
        <v>678</v>
      </c>
      <c r="AK229" t="s">
        <v>99</v>
      </c>
      <c r="AL229" t="s">
        <v>3171</v>
      </c>
      <c r="AM229" t="s">
        <v>3172</v>
      </c>
      <c r="AN229" t="s">
        <v>3073</v>
      </c>
      <c r="AT229" t="s">
        <v>3173</v>
      </c>
      <c r="AV229" t="s">
        <v>128</v>
      </c>
      <c r="AW229" t="s">
        <v>3163</v>
      </c>
      <c r="AZ229" t="s">
        <v>80</v>
      </c>
    </row>
    <row r="230" spans="1:52" hidden="1" x14ac:dyDescent="0.25">
      <c r="A230" t="s">
        <v>3174</v>
      </c>
      <c r="B230" t="s">
        <v>3175</v>
      </c>
      <c r="C230" t="s">
        <v>3176</v>
      </c>
      <c r="D230" t="s">
        <v>78</v>
      </c>
      <c r="E230" t="s">
        <v>3177</v>
      </c>
      <c r="F230" t="s">
        <v>3177</v>
      </c>
      <c r="G230" t="s">
        <v>3177</v>
      </c>
      <c r="J230" t="s">
        <v>80</v>
      </c>
      <c r="K230" t="s">
        <v>81</v>
      </c>
      <c r="L230" t="s">
        <v>80</v>
      </c>
      <c r="M230">
        <v>66313</v>
      </c>
      <c r="P230" t="s">
        <v>134</v>
      </c>
      <c r="Q230" t="s">
        <v>3063</v>
      </c>
      <c r="R230" t="s">
        <v>914</v>
      </c>
      <c r="S230" t="s">
        <v>444</v>
      </c>
      <c r="T230" t="s">
        <v>3064</v>
      </c>
      <c r="U230" t="s">
        <v>3157</v>
      </c>
      <c r="W230" t="s">
        <v>3080</v>
      </c>
      <c r="X230" t="s">
        <v>3081</v>
      </c>
      <c r="Y230" t="s">
        <v>93</v>
      </c>
      <c r="Z230" t="s">
        <v>678</v>
      </c>
      <c r="AA230" t="s">
        <v>3178</v>
      </c>
      <c r="AB230" t="s">
        <v>3067</v>
      </c>
      <c r="AC230" t="s">
        <v>3179</v>
      </c>
      <c r="AD230" t="s">
        <v>678</v>
      </c>
      <c r="AE230" t="s">
        <v>3178</v>
      </c>
      <c r="AF230" t="s">
        <v>3067</v>
      </c>
      <c r="AG230" t="s">
        <v>3179</v>
      </c>
      <c r="AI230" t="s">
        <v>3180</v>
      </c>
      <c r="AJ230" t="s">
        <v>678</v>
      </c>
      <c r="AK230" t="s">
        <v>99</v>
      </c>
      <c r="AL230" t="s">
        <v>3181</v>
      </c>
      <c r="AM230" t="s">
        <v>3172</v>
      </c>
      <c r="AN230" t="s">
        <v>3073</v>
      </c>
      <c r="AT230" t="s">
        <v>3182</v>
      </c>
      <c r="AV230" t="s">
        <v>128</v>
      </c>
      <c r="AW230" t="s">
        <v>3163</v>
      </c>
      <c r="AZ230" t="s">
        <v>80</v>
      </c>
    </row>
    <row r="231" spans="1:52" hidden="1" x14ac:dyDescent="0.25">
      <c r="A231" t="s">
        <v>3183</v>
      </c>
      <c r="B231" t="s">
        <v>3184</v>
      </c>
      <c r="C231" t="s">
        <v>3185</v>
      </c>
      <c r="D231" t="s">
        <v>78</v>
      </c>
      <c r="E231" t="s">
        <v>3186</v>
      </c>
      <c r="F231" t="s">
        <v>3186</v>
      </c>
      <c r="G231" t="s">
        <v>3186</v>
      </c>
      <c r="J231" t="s">
        <v>80</v>
      </c>
      <c r="K231" t="s">
        <v>81</v>
      </c>
      <c r="L231" t="s">
        <v>80</v>
      </c>
      <c r="M231">
        <v>66311</v>
      </c>
      <c r="P231" t="s">
        <v>134</v>
      </c>
      <c r="Q231" t="s">
        <v>3063</v>
      </c>
      <c r="R231" t="s">
        <v>914</v>
      </c>
      <c r="S231" t="s">
        <v>444</v>
      </c>
      <c r="T231" t="s">
        <v>3064</v>
      </c>
      <c r="U231" t="s">
        <v>3157</v>
      </c>
      <c r="W231" t="s">
        <v>2675</v>
      </c>
      <c r="X231" t="s">
        <v>3091</v>
      </c>
      <c r="Y231" t="s">
        <v>93</v>
      </c>
      <c r="Z231" t="s">
        <v>678</v>
      </c>
      <c r="AA231" t="s">
        <v>3187</v>
      </c>
      <c r="AB231" t="s">
        <v>3067</v>
      </c>
      <c r="AC231" t="s">
        <v>3188</v>
      </c>
      <c r="AD231" t="s">
        <v>678</v>
      </c>
      <c r="AE231" t="s">
        <v>3187</v>
      </c>
      <c r="AF231" t="s">
        <v>3067</v>
      </c>
      <c r="AG231" t="s">
        <v>3188</v>
      </c>
      <c r="AI231" t="s">
        <v>3189</v>
      </c>
      <c r="AJ231" t="s">
        <v>678</v>
      </c>
      <c r="AK231" t="s">
        <v>99</v>
      </c>
      <c r="AL231" t="s">
        <v>3190</v>
      </c>
      <c r="AM231" t="s">
        <v>3172</v>
      </c>
      <c r="AN231" t="s">
        <v>3073</v>
      </c>
      <c r="AT231" t="s">
        <v>3191</v>
      </c>
      <c r="AV231" t="s">
        <v>128</v>
      </c>
      <c r="AW231" t="s">
        <v>3163</v>
      </c>
      <c r="AZ231" t="s">
        <v>80</v>
      </c>
    </row>
    <row r="232" spans="1:52" hidden="1" x14ac:dyDescent="0.25">
      <c r="A232" t="s">
        <v>3192</v>
      </c>
      <c r="B232" t="s">
        <v>3193</v>
      </c>
      <c r="C232" t="s">
        <v>3194</v>
      </c>
      <c r="D232" t="s">
        <v>78</v>
      </c>
      <c r="E232" t="s">
        <v>3195</v>
      </c>
      <c r="F232" t="s">
        <v>3195</v>
      </c>
      <c r="G232" t="s">
        <v>3195</v>
      </c>
      <c r="J232" t="s">
        <v>80</v>
      </c>
      <c r="K232" t="s">
        <v>81</v>
      </c>
      <c r="L232" t="s">
        <v>80</v>
      </c>
      <c r="M232">
        <v>66309</v>
      </c>
      <c r="P232" t="s">
        <v>134</v>
      </c>
      <c r="Q232" t="s">
        <v>3063</v>
      </c>
      <c r="R232" t="s">
        <v>914</v>
      </c>
      <c r="S232" t="s">
        <v>444</v>
      </c>
      <c r="T232" t="s">
        <v>3064</v>
      </c>
      <c r="U232" t="s">
        <v>3157</v>
      </c>
      <c r="W232" t="s">
        <v>2788</v>
      </c>
      <c r="X232" t="s">
        <v>3066</v>
      </c>
      <c r="Y232" t="s">
        <v>93</v>
      </c>
      <c r="Z232" t="s">
        <v>678</v>
      </c>
      <c r="AA232" t="s">
        <v>2032</v>
      </c>
      <c r="AB232" t="s">
        <v>3067</v>
      </c>
      <c r="AC232" t="s">
        <v>3196</v>
      </c>
      <c r="AD232" t="s">
        <v>678</v>
      </c>
      <c r="AE232" t="s">
        <v>2032</v>
      </c>
      <c r="AF232" t="s">
        <v>3067</v>
      </c>
      <c r="AG232" t="s">
        <v>3196</v>
      </c>
      <c r="AI232" t="s">
        <v>3197</v>
      </c>
      <c r="AJ232" t="s">
        <v>678</v>
      </c>
      <c r="AK232" t="s">
        <v>99</v>
      </c>
      <c r="AL232" t="s">
        <v>3198</v>
      </c>
      <c r="AM232" t="s">
        <v>3199</v>
      </c>
      <c r="AN232" t="s">
        <v>3073</v>
      </c>
      <c r="AT232" t="s">
        <v>3200</v>
      </c>
      <c r="AV232" t="s">
        <v>128</v>
      </c>
      <c r="AW232" t="s">
        <v>3163</v>
      </c>
      <c r="AZ232" t="s">
        <v>80</v>
      </c>
    </row>
    <row r="233" spans="1:52" hidden="1" x14ac:dyDescent="0.25">
      <c r="A233" t="s">
        <v>3201</v>
      </c>
      <c r="B233" t="s">
        <v>3202</v>
      </c>
      <c r="C233" t="s">
        <v>3203</v>
      </c>
      <c r="D233" t="s">
        <v>78</v>
      </c>
      <c r="E233" t="s">
        <v>3204</v>
      </c>
      <c r="F233" t="s">
        <v>3204</v>
      </c>
      <c r="G233" t="s">
        <v>3204</v>
      </c>
      <c r="J233" t="s">
        <v>80</v>
      </c>
      <c r="K233" t="s">
        <v>81</v>
      </c>
      <c r="L233" t="s">
        <v>80</v>
      </c>
      <c r="M233">
        <v>66307</v>
      </c>
      <c r="P233" t="s">
        <v>134</v>
      </c>
      <c r="Q233" t="s">
        <v>3063</v>
      </c>
      <c r="R233" t="s">
        <v>914</v>
      </c>
      <c r="S233" t="s">
        <v>444</v>
      </c>
      <c r="T233" t="s">
        <v>3064</v>
      </c>
      <c r="U233" t="s">
        <v>3157</v>
      </c>
      <c r="W233" t="s">
        <v>2788</v>
      </c>
      <c r="X233" t="s">
        <v>3066</v>
      </c>
      <c r="Y233" t="s">
        <v>93</v>
      </c>
      <c r="Z233" t="s">
        <v>678</v>
      </c>
      <c r="AA233" t="s">
        <v>3205</v>
      </c>
      <c r="AB233" t="s">
        <v>3067</v>
      </c>
      <c r="AC233" t="s">
        <v>3206</v>
      </c>
      <c r="AD233" t="s">
        <v>678</v>
      </c>
      <c r="AE233" t="s">
        <v>3205</v>
      </c>
      <c r="AF233" t="s">
        <v>3067</v>
      </c>
      <c r="AG233" t="s">
        <v>3206</v>
      </c>
      <c r="AI233" t="s">
        <v>3207</v>
      </c>
      <c r="AJ233" t="s">
        <v>678</v>
      </c>
      <c r="AK233" t="s">
        <v>99</v>
      </c>
      <c r="AL233" t="s">
        <v>3208</v>
      </c>
      <c r="AM233" t="s">
        <v>3199</v>
      </c>
      <c r="AN233" t="s">
        <v>3073</v>
      </c>
      <c r="AT233" t="s">
        <v>3209</v>
      </c>
      <c r="AV233" t="s">
        <v>128</v>
      </c>
      <c r="AW233" t="s">
        <v>3210</v>
      </c>
      <c r="AZ233" t="s">
        <v>80</v>
      </c>
    </row>
    <row r="234" spans="1:52" hidden="1" x14ac:dyDescent="0.25">
      <c r="A234" t="s">
        <v>3211</v>
      </c>
      <c r="B234" t="s">
        <v>3212</v>
      </c>
      <c r="C234" t="s">
        <v>3213</v>
      </c>
      <c r="D234" t="s">
        <v>78</v>
      </c>
      <c r="E234" t="s">
        <v>3214</v>
      </c>
      <c r="F234" t="s">
        <v>3214</v>
      </c>
      <c r="G234" t="s">
        <v>3214</v>
      </c>
      <c r="J234" t="s">
        <v>80</v>
      </c>
      <c r="K234" t="s">
        <v>81</v>
      </c>
      <c r="L234" t="s">
        <v>80</v>
      </c>
      <c r="M234">
        <v>66305</v>
      </c>
      <c r="P234" t="s">
        <v>134</v>
      </c>
      <c r="Q234" t="s">
        <v>3063</v>
      </c>
      <c r="R234" t="s">
        <v>914</v>
      </c>
      <c r="S234" t="s">
        <v>444</v>
      </c>
      <c r="T234" t="s">
        <v>3064</v>
      </c>
      <c r="U234" t="s">
        <v>3157</v>
      </c>
      <c r="W234" t="s">
        <v>2788</v>
      </c>
      <c r="X234" t="s">
        <v>3066</v>
      </c>
      <c r="Y234" t="s">
        <v>93</v>
      </c>
      <c r="Z234" t="s">
        <v>678</v>
      </c>
      <c r="AA234" t="s">
        <v>3215</v>
      </c>
      <c r="AB234" t="s">
        <v>3067</v>
      </c>
      <c r="AC234" t="s">
        <v>640</v>
      </c>
      <c r="AD234" t="s">
        <v>678</v>
      </c>
      <c r="AE234" t="s">
        <v>3215</v>
      </c>
      <c r="AF234" t="s">
        <v>3067</v>
      </c>
      <c r="AG234" t="s">
        <v>640</v>
      </c>
      <c r="AI234" t="s">
        <v>3216</v>
      </c>
      <c r="AJ234" t="s">
        <v>678</v>
      </c>
      <c r="AK234" t="s">
        <v>99</v>
      </c>
      <c r="AL234" t="s">
        <v>3217</v>
      </c>
      <c r="AM234" t="s">
        <v>3218</v>
      </c>
      <c r="AN234" t="s">
        <v>3073</v>
      </c>
      <c r="AT234" t="s">
        <v>3219</v>
      </c>
      <c r="AV234" t="s">
        <v>128</v>
      </c>
      <c r="AW234" t="s">
        <v>3220</v>
      </c>
      <c r="AZ234" t="s">
        <v>80</v>
      </c>
    </row>
    <row r="235" spans="1:52" hidden="1" x14ac:dyDescent="0.25">
      <c r="A235" t="s">
        <v>3221</v>
      </c>
      <c r="B235" t="s">
        <v>3222</v>
      </c>
      <c r="C235" t="s">
        <v>3223</v>
      </c>
      <c r="D235" t="s">
        <v>78</v>
      </c>
      <c r="E235" t="s">
        <v>3224</v>
      </c>
      <c r="F235" t="s">
        <v>3224</v>
      </c>
      <c r="G235" t="s">
        <v>3224</v>
      </c>
      <c r="J235" t="s">
        <v>80</v>
      </c>
      <c r="K235" t="s">
        <v>81</v>
      </c>
      <c r="L235" t="s">
        <v>80</v>
      </c>
      <c r="M235">
        <v>66303</v>
      </c>
      <c r="P235" t="s">
        <v>134</v>
      </c>
      <c r="Q235" t="s">
        <v>3063</v>
      </c>
      <c r="R235" t="s">
        <v>914</v>
      </c>
      <c r="S235" t="s">
        <v>444</v>
      </c>
      <c r="T235" t="s">
        <v>3064</v>
      </c>
      <c r="U235" t="s">
        <v>3157</v>
      </c>
      <c r="W235" t="s">
        <v>2788</v>
      </c>
      <c r="X235" t="s">
        <v>3066</v>
      </c>
      <c r="Y235" t="s">
        <v>93</v>
      </c>
      <c r="Z235" t="s">
        <v>678</v>
      </c>
      <c r="AA235" t="s">
        <v>3225</v>
      </c>
      <c r="AB235" t="s">
        <v>3067</v>
      </c>
      <c r="AC235" t="s">
        <v>3226</v>
      </c>
      <c r="AD235" t="s">
        <v>678</v>
      </c>
      <c r="AE235" t="s">
        <v>3225</v>
      </c>
      <c r="AF235" t="s">
        <v>3067</v>
      </c>
      <c r="AG235" t="s">
        <v>3226</v>
      </c>
      <c r="AI235" t="s">
        <v>3227</v>
      </c>
      <c r="AJ235" t="s">
        <v>678</v>
      </c>
      <c r="AK235" t="s">
        <v>99</v>
      </c>
      <c r="AL235" t="s">
        <v>3228</v>
      </c>
      <c r="AM235" t="s">
        <v>3218</v>
      </c>
      <c r="AN235" t="s">
        <v>3073</v>
      </c>
      <c r="AT235" t="s">
        <v>3229</v>
      </c>
      <c r="AV235" t="s">
        <v>128</v>
      </c>
      <c r="AW235" t="s">
        <v>3230</v>
      </c>
      <c r="AZ235" t="s">
        <v>80</v>
      </c>
    </row>
    <row r="236" spans="1:52" hidden="1" x14ac:dyDescent="0.25">
      <c r="A236" t="s">
        <v>3231</v>
      </c>
      <c r="B236" t="s">
        <v>3232</v>
      </c>
      <c r="C236" t="s">
        <v>3233</v>
      </c>
      <c r="D236" t="s">
        <v>78</v>
      </c>
      <c r="E236" t="s">
        <v>3234</v>
      </c>
      <c r="F236" t="s">
        <v>3234</v>
      </c>
      <c r="G236" t="s">
        <v>3234</v>
      </c>
      <c r="J236" t="s">
        <v>80</v>
      </c>
      <c r="K236" t="s">
        <v>81</v>
      </c>
      <c r="L236" t="s">
        <v>80</v>
      </c>
      <c r="M236">
        <v>66301</v>
      </c>
      <c r="P236" t="s">
        <v>134</v>
      </c>
      <c r="Q236" t="s">
        <v>3063</v>
      </c>
      <c r="R236" t="s">
        <v>914</v>
      </c>
      <c r="S236" t="s">
        <v>444</v>
      </c>
      <c r="T236" t="s">
        <v>3235</v>
      </c>
      <c r="U236" t="s">
        <v>3236</v>
      </c>
      <c r="V236" t="s">
        <v>3237</v>
      </c>
      <c r="W236" t="s">
        <v>2788</v>
      </c>
      <c r="X236" t="s">
        <v>3238</v>
      </c>
      <c r="Y236" t="s">
        <v>93</v>
      </c>
      <c r="Z236" t="s">
        <v>699</v>
      </c>
      <c r="AA236" t="s">
        <v>2759</v>
      </c>
      <c r="AB236" t="s">
        <v>3067</v>
      </c>
      <c r="AC236" t="s">
        <v>3239</v>
      </c>
      <c r="AD236" t="s">
        <v>699</v>
      </c>
      <c r="AE236" t="s">
        <v>2759</v>
      </c>
      <c r="AF236" t="s">
        <v>3067</v>
      </c>
      <c r="AG236" t="s">
        <v>3239</v>
      </c>
      <c r="AI236" t="s">
        <v>3240</v>
      </c>
      <c r="AJ236" t="s">
        <v>699</v>
      </c>
      <c r="AK236" t="s">
        <v>99</v>
      </c>
      <c r="AL236" t="s">
        <v>3241</v>
      </c>
      <c r="AM236" t="s">
        <v>3072</v>
      </c>
      <c r="AN236" t="s">
        <v>3073</v>
      </c>
      <c r="AT236" t="s">
        <v>3242</v>
      </c>
      <c r="AV236" t="s">
        <v>128</v>
      </c>
      <c r="AW236" t="s">
        <v>3243</v>
      </c>
      <c r="AZ236" t="s">
        <v>80</v>
      </c>
    </row>
    <row r="237" spans="1:52" hidden="1" x14ac:dyDescent="0.25">
      <c r="A237" t="s">
        <v>3244</v>
      </c>
      <c r="B237" t="s">
        <v>3245</v>
      </c>
      <c r="C237" t="s">
        <v>3246</v>
      </c>
      <c r="D237" t="s">
        <v>2544</v>
      </c>
      <c r="E237" t="s">
        <v>3247</v>
      </c>
      <c r="F237" t="s">
        <v>3248</v>
      </c>
      <c r="G237" t="s">
        <v>3248</v>
      </c>
      <c r="J237" t="s">
        <v>80</v>
      </c>
      <c r="K237" t="s">
        <v>110</v>
      </c>
      <c r="L237" t="s">
        <v>111</v>
      </c>
      <c r="M237">
        <v>69684</v>
      </c>
      <c r="N237" t="s">
        <v>3249</v>
      </c>
      <c r="P237" t="s">
        <v>1306</v>
      </c>
      <c r="Q237" t="s">
        <v>731</v>
      </c>
      <c r="R237" t="s">
        <v>732</v>
      </c>
      <c r="S237" t="s">
        <v>733</v>
      </c>
      <c r="T237" t="s">
        <v>1307</v>
      </c>
      <c r="U237" t="s">
        <v>3250</v>
      </c>
      <c r="V237" t="s">
        <v>3016</v>
      </c>
      <c r="W237" t="s">
        <v>161</v>
      </c>
      <c r="X237" t="s">
        <v>1640</v>
      </c>
      <c r="Y237" t="s">
        <v>93</v>
      </c>
      <c r="Z237" t="s">
        <v>1312</v>
      </c>
      <c r="AA237" t="s">
        <v>3251</v>
      </c>
      <c r="AB237" t="s">
        <v>119</v>
      </c>
      <c r="AC237" t="s">
        <v>3252</v>
      </c>
      <c r="AD237" t="s">
        <v>1312</v>
      </c>
      <c r="AE237" t="s">
        <v>3251</v>
      </c>
      <c r="AF237" t="s">
        <v>119</v>
      </c>
      <c r="AG237" t="s">
        <v>3252</v>
      </c>
      <c r="AH237" t="s">
        <v>2958</v>
      </c>
      <c r="AI237" t="s">
        <v>3253</v>
      </c>
      <c r="AJ237" t="s">
        <v>1312</v>
      </c>
      <c r="AK237" t="s">
        <v>99</v>
      </c>
      <c r="AL237" t="s">
        <v>3254</v>
      </c>
      <c r="AM237" t="s">
        <v>2961</v>
      </c>
      <c r="AN237" t="s">
        <v>2555</v>
      </c>
      <c r="AR237" t="s">
        <v>125</v>
      </c>
      <c r="AT237" t="s">
        <v>3255</v>
      </c>
      <c r="AV237" t="s">
        <v>128</v>
      </c>
      <c r="AZ237" t="s">
        <v>80</v>
      </c>
    </row>
    <row r="238" spans="1:52" hidden="1" x14ac:dyDescent="0.25">
      <c r="A238" t="s">
        <v>3256</v>
      </c>
      <c r="B238" t="s">
        <v>3257</v>
      </c>
      <c r="C238" t="s">
        <v>3258</v>
      </c>
      <c r="D238" t="s">
        <v>2544</v>
      </c>
      <c r="E238" t="s">
        <v>3259</v>
      </c>
      <c r="F238" t="s">
        <v>3260</v>
      </c>
      <c r="G238" t="s">
        <v>3260</v>
      </c>
      <c r="J238" t="s">
        <v>80</v>
      </c>
      <c r="K238" t="s">
        <v>110</v>
      </c>
      <c r="L238" t="s">
        <v>111</v>
      </c>
      <c r="M238">
        <v>69271</v>
      </c>
      <c r="P238" t="s">
        <v>154</v>
      </c>
      <c r="Q238" t="s">
        <v>731</v>
      </c>
      <c r="R238" t="s">
        <v>732</v>
      </c>
      <c r="S238" t="s">
        <v>733</v>
      </c>
      <c r="T238" t="s">
        <v>734</v>
      </c>
      <c r="U238" t="s">
        <v>3261</v>
      </c>
      <c r="V238" t="s">
        <v>2090</v>
      </c>
      <c r="W238" t="s">
        <v>3262</v>
      </c>
      <c r="X238" t="s">
        <v>3263</v>
      </c>
      <c r="Y238" t="s">
        <v>93</v>
      </c>
      <c r="Z238" t="s">
        <v>119</v>
      </c>
      <c r="AA238" t="s">
        <v>3264</v>
      </c>
      <c r="AB238" t="s">
        <v>739</v>
      </c>
      <c r="AC238" t="s">
        <v>3265</v>
      </c>
      <c r="AD238" t="s">
        <v>119</v>
      </c>
      <c r="AE238" t="s">
        <v>3264</v>
      </c>
      <c r="AF238" t="s">
        <v>739</v>
      </c>
      <c r="AG238" t="s">
        <v>3265</v>
      </c>
      <c r="AI238" t="s">
        <v>3266</v>
      </c>
      <c r="AJ238" t="s">
        <v>119</v>
      </c>
      <c r="AK238" t="s">
        <v>99</v>
      </c>
      <c r="AL238" t="s">
        <v>3267</v>
      </c>
      <c r="AM238" t="s">
        <v>3268</v>
      </c>
      <c r="AR238" t="s">
        <v>125</v>
      </c>
      <c r="AT238" t="s">
        <v>3269</v>
      </c>
      <c r="AV238" t="s">
        <v>128</v>
      </c>
      <c r="AZ238" t="s">
        <v>80</v>
      </c>
    </row>
    <row r="239" spans="1:52" hidden="1" x14ac:dyDescent="0.25">
      <c r="A239" t="s">
        <v>3270</v>
      </c>
      <c r="B239" t="s">
        <v>3257</v>
      </c>
      <c r="C239" t="s">
        <v>3271</v>
      </c>
      <c r="D239" t="s">
        <v>2596</v>
      </c>
      <c r="E239" t="s">
        <v>3260</v>
      </c>
      <c r="F239" t="s">
        <v>3260</v>
      </c>
      <c r="G239" t="s">
        <v>3260</v>
      </c>
      <c r="J239" t="s">
        <v>80</v>
      </c>
      <c r="K239" t="s">
        <v>110</v>
      </c>
      <c r="L239" t="s">
        <v>111</v>
      </c>
      <c r="M239">
        <v>69271</v>
      </c>
      <c r="P239" t="s">
        <v>154</v>
      </c>
      <c r="Q239" t="s">
        <v>731</v>
      </c>
      <c r="R239" t="s">
        <v>732</v>
      </c>
      <c r="S239" t="s">
        <v>733</v>
      </c>
      <c r="T239" t="s">
        <v>734</v>
      </c>
      <c r="U239" t="s">
        <v>3261</v>
      </c>
      <c r="V239" t="s">
        <v>2090</v>
      </c>
      <c r="W239" t="s">
        <v>3272</v>
      </c>
      <c r="X239" t="s">
        <v>3273</v>
      </c>
      <c r="Y239" t="s">
        <v>93</v>
      </c>
      <c r="Z239" t="s">
        <v>119</v>
      </c>
      <c r="AA239" t="s">
        <v>3264</v>
      </c>
      <c r="AB239" t="s">
        <v>739</v>
      </c>
      <c r="AC239" t="s">
        <v>3265</v>
      </c>
      <c r="AD239" t="s">
        <v>119</v>
      </c>
      <c r="AE239" t="s">
        <v>3264</v>
      </c>
      <c r="AF239" t="s">
        <v>739</v>
      </c>
      <c r="AG239" t="s">
        <v>3265</v>
      </c>
      <c r="AI239" t="s">
        <v>3266</v>
      </c>
      <c r="AJ239" t="s">
        <v>119</v>
      </c>
      <c r="AK239" t="s">
        <v>99</v>
      </c>
      <c r="AL239" t="s">
        <v>3274</v>
      </c>
      <c r="AM239" t="s">
        <v>3268</v>
      </c>
      <c r="AR239" t="s">
        <v>125</v>
      </c>
      <c r="AT239" t="s">
        <v>3275</v>
      </c>
      <c r="AV239" t="s">
        <v>128</v>
      </c>
      <c r="AZ239" t="s">
        <v>80</v>
      </c>
    </row>
    <row r="240" spans="1:52" hidden="1" x14ac:dyDescent="0.25">
      <c r="A240" t="s">
        <v>3276</v>
      </c>
      <c r="B240" t="s">
        <v>2919</v>
      </c>
      <c r="C240" t="s">
        <v>3277</v>
      </c>
      <c r="D240" t="s">
        <v>2608</v>
      </c>
      <c r="E240" t="s">
        <v>3278</v>
      </c>
      <c r="F240" t="s">
        <v>3278</v>
      </c>
      <c r="G240" t="s">
        <v>3278</v>
      </c>
      <c r="J240" t="s">
        <v>80</v>
      </c>
      <c r="K240" t="s">
        <v>110</v>
      </c>
      <c r="L240" t="s">
        <v>111</v>
      </c>
      <c r="M240">
        <v>66203</v>
      </c>
      <c r="P240" t="s">
        <v>134</v>
      </c>
      <c r="Q240" t="s">
        <v>1205</v>
      </c>
      <c r="R240" t="s">
        <v>914</v>
      </c>
      <c r="S240" t="s">
        <v>444</v>
      </c>
      <c r="T240" t="s">
        <v>2982</v>
      </c>
      <c r="U240" t="s">
        <v>2181</v>
      </c>
      <c r="V240" t="s">
        <v>3279</v>
      </c>
      <c r="W240" t="s">
        <v>139</v>
      </c>
      <c r="X240" t="s">
        <v>2985</v>
      </c>
      <c r="Y240" t="s">
        <v>93</v>
      </c>
      <c r="Z240" t="s">
        <v>678</v>
      </c>
      <c r="AA240" t="s">
        <v>2677</v>
      </c>
      <c r="AB240" t="s">
        <v>2986</v>
      </c>
      <c r="AC240" t="s">
        <v>3280</v>
      </c>
      <c r="AD240" t="s">
        <v>678</v>
      </c>
      <c r="AE240" t="s">
        <v>2677</v>
      </c>
      <c r="AF240" t="s">
        <v>2986</v>
      </c>
      <c r="AG240" t="s">
        <v>3280</v>
      </c>
      <c r="AI240" t="s">
        <v>3281</v>
      </c>
      <c r="AJ240" t="s">
        <v>678</v>
      </c>
      <c r="AK240" t="s">
        <v>99</v>
      </c>
      <c r="AL240" t="s">
        <v>3282</v>
      </c>
      <c r="AM240" t="s">
        <v>3268</v>
      </c>
      <c r="AR240" t="s">
        <v>125</v>
      </c>
      <c r="AT240" t="s">
        <v>3283</v>
      </c>
      <c r="AZ240" t="s">
        <v>80</v>
      </c>
    </row>
    <row r="241" spans="1:52" hidden="1" x14ac:dyDescent="0.25">
      <c r="A241" t="s">
        <v>3284</v>
      </c>
      <c r="B241" t="s">
        <v>3285</v>
      </c>
      <c r="C241" t="s">
        <v>3286</v>
      </c>
      <c r="D241" t="s">
        <v>2608</v>
      </c>
      <c r="E241" t="s">
        <v>3287</v>
      </c>
      <c r="F241" t="s">
        <v>3287</v>
      </c>
      <c r="G241" t="s">
        <v>3287</v>
      </c>
      <c r="J241" t="s">
        <v>80</v>
      </c>
      <c r="K241" t="s">
        <v>110</v>
      </c>
      <c r="L241" t="s">
        <v>111</v>
      </c>
      <c r="M241">
        <v>666024</v>
      </c>
      <c r="P241" t="s">
        <v>3288</v>
      </c>
      <c r="Q241" t="s">
        <v>1205</v>
      </c>
      <c r="R241" t="s">
        <v>774</v>
      </c>
      <c r="S241" t="s">
        <v>444</v>
      </c>
      <c r="T241" t="s">
        <v>3289</v>
      </c>
      <c r="U241" t="s">
        <v>3290</v>
      </c>
      <c r="W241" t="s">
        <v>139</v>
      </c>
      <c r="X241" t="s">
        <v>3291</v>
      </c>
      <c r="Y241" t="s">
        <v>93</v>
      </c>
      <c r="Z241" t="s">
        <v>548</v>
      </c>
      <c r="AA241" t="s">
        <v>3292</v>
      </c>
      <c r="AB241" t="s">
        <v>1213</v>
      </c>
      <c r="AC241" t="s">
        <v>604</v>
      </c>
      <c r="AD241" t="s">
        <v>548</v>
      </c>
      <c r="AE241" t="s">
        <v>3292</v>
      </c>
      <c r="AF241" t="s">
        <v>1213</v>
      </c>
      <c r="AG241" t="s">
        <v>604</v>
      </c>
      <c r="AI241" t="s">
        <v>3293</v>
      </c>
      <c r="AJ241" t="s">
        <v>548</v>
      </c>
      <c r="AK241" t="s">
        <v>99</v>
      </c>
      <c r="AL241" t="s">
        <v>3294</v>
      </c>
      <c r="AM241" t="s">
        <v>3268</v>
      </c>
      <c r="AR241" t="s">
        <v>125</v>
      </c>
      <c r="AT241" t="s">
        <v>3295</v>
      </c>
      <c r="AZ241" t="s">
        <v>80</v>
      </c>
    </row>
    <row r="242" spans="1:52" hidden="1" x14ac:dyDescent="0.25">
      <c r="A242" t="s">
        <v>3296</v>
      </c>
      <c r="B242" t="s">
        <v>3297</v>
      </c>
      <c r="C242" t="s">
        <v>3298</v>
      </c>
      <c r="D242" t="s">
        <v>2544</v>
      </c>
      <c r="E242" t="s">
        <v>3299</v>
      </c>
      <c r="F242" t="s">
        <v>3300</v>
      </c>
      <c r="G242" t="s">
        <v>3300</v>
      </c>
      <c r="J242" t="s">
        <v>80</v>
      </c>
      <c r="K242" t="s">
        <v>81</v>
      </c>
      <c r="L242" t="s">
        <v>111</v>
      </c>
      <c r="M242" t="s">
        <v>3301</v>
      </c>
      <c r="P242" t="s">
        <v>134</v>
      </c>
      <c r="Q242" t="s">
        <v>1205</v>
      </c>
      <c r="R242" t="s">
        <v>914</v>
      </c>
      <c r="S242" t="s">
        <v>444</v>
      </c>
      <c r="T242" t="s">
        <v>2924</v>
      </c>
      <c r="U242" t="s">
        <v>2936</v>
      </c>
      <c r="V242" t="s">
        <v>2260</v>
      </c>
      <c r="W242" t="s">
        <v>3302</v>
      </c>
      <c r="X242" t="s">
        <v>2927</v>
      </c>
      <c r="Y242" t="s">
        <v>93</v>
      </c>
      <c r="Z242" t="s">
        <v>678</v>
      </c>
      <c r="AA242" t="s">
        <v>3303</v>
      </c>
      <c r="AB242" t="s">
        <v>829</v>
      </c>
      <c r="AC242" t="s">
        <v>3304</v>
      </c>
      <c r="AD242" t="s">
        <v>678</v>
      </c>
      <c r="AE242" t="s">
        <v>3303</v>
      </c>
      <c r="AF242" t="s">
        <v>829</v>
      </c>
      <c r="AG242" t="s">
        <v>3304</v>
      </c>
      <c r="AI242" t="s">
        <v>3305</v>
      </c>
      <c r="AJ242" t="s">
        <v>678</v>
      </c>
      <c r="AK242" t="s">
        <v>99</v>
      </c>
      <c r="AL242" t="s">
        <v>3306</v>
      </c>
      <c r="AM242" t="s">
        <v>3307</v>
      </c>
      <c r="AN242" t="s">
        <v>2564</v>
      </c>
      <c r="AR242" t="s">
        <v>125</v>
      </c>
      <c r="AT242" t="s">
        <v>3308</v>
      </c>
      <c r="AV242" t="s">
        <v>128</v>
      </c>
      <c r="AZ242" t="s">
        <v>80</v>
      </c>
    </row>
    <row r="243" spans="1:52" hidden="1" x14ac:dyDescent="0.25">
      <c r="A243" t="s">
        <v>3309</v>
      </c>
      <c r="B243" t="s">
        <v>3297</v>
      </c>
      <c r="C243" t="s">
        <v>3310</v>
      </c>
      <c r="D243" t="s">
        <v>2544</v>
      </c>
      <c r="E243" t="s">
        <v>3311</v>
      </c>
      <c r="F243" t="s">
        <v>3300</v>
      </c>
      <c r="G243" t="s">
        <v>3300</v>
      </c>
      <c r="J243" t="s">
        <v>80</v>
      </c>
      <c r="K243" t="s">
        <v>81</v>
      </c>
      <c r="L243" t="s">
        <v>111</v>
      </c>
      <c r="M243" t="s">
        <v>3301</v>
      </c>
      <c r="P243" t="s">
        <v>134</v>
      </c>
      <c r="Q243" t="s">
        <v>1205</v>
      </c>
      <c r="R243" t="s">
        <v>914</v>
      </c>
      <c r="S243" t="s">
        <v>444</v>
      </c>
      <c r="T243" t="s">
        <v>2924</v>
      </c>
      <c r="U243" t="s">
        <v>2936</v>
      </c>
      <c r="V243" t="s">
        <v>2260</v>
      </c>
      <c r="W243" t="s">
        <v>3312</v>
      </c>
      <c r="X243" t="s">
        <v>3313</v>
      </c>
      <c r="Y243" t="s">
        <v>93</v>
      </c>
      <c r="Z243" t="s">
        <v>678</v>
      </c>
      <c r="AA243" t="s">
        <v>3303</v>
      </c>
      <c r="AB243" t="s">
        <v>829</v>
      </c>
      <c r="AC243" t="s">
        <v>3304</v>
      </c>
      <c r="AD243" t="s">
        <v>678</v>
      </c>
      <c r="AE243" t="s">
        <v>3303</v>
      </c>
      <c r="AF243" t="s">
        <v>829</v>
      </c>
      <c r="AG243" t="s">
        <v>3304</v>
      </c>
      <c r="AI243" t="s">
        <v>3305</v>
      </c>
      <c r="AJ243" t="s">
        <v>678</v>
      </c>
      <c r="AK243" t="s">
        <v>99</v>
      </c>
      <c r="AL243" t="s">
        <v>3314</v>
      </c>
      <c r="AM243" t="s">
        <v>3307</v>
      </c>
      <c r="AN243" t="s">
        <v>2564</v>
      </c>
      <c r="AR243" t="s">
        <v>125</v>
      </c>
      <c r="AT243" t="s">
        <v>3315</v>
      </c>
      <c r="AV243" t="s">
        <v>128</v>
      </c>
      <c r="AZ243" t="s">
        <v>80</v>
      </c>
    </row>
    <row r="244" spans="1:52" hidden="1" x14ac:dyDescent="0.25">
      <c r="A244" t="s">
        <v>3316</v>
      </c>
      <c r="B244" t="s">
        <v>3317</v>
      </c>
      <c r="C244" t="s">
        <v>3318</v>
      </c>
      <c r="D244" t="s">
        <v>2544</v>
      </c>
      <c r="E244" t="s">
        <v>3319</v>
      </c>
      <c r="F244" t="s">
        <v>3320</v>
      </c>
      <c r="G244" t="s">
        <v>3320</v>
      </c>
      <c r="J244" t="s">
        <v>80</v>
      </c>
      <c r="K244" t="s">
        <v>110</v>
      </c>
      <c r="L244" t="s">
        <v>111</v>
      </c>
      <c r="M244">
        <v>666023</v>
      </c>
      <c r="P244" t="s">
        <v>3288</v>
      </c>
      <c r="Q244" t="s">
        <v>1205</v>
      </c>
      <c r="R244" t="s">
        <v>774</v>
      </c>
      <c r="S244" t="s">
        <v>444</v>
      </c>
      <c r="T244" t="s">
        <v>3289</v>
      </c>
      <c r="U244" t="s">
        <v>3321</v>
      </c>
      <c r="W244" t="s">
        <v>1242</v>
      </c>
      <c r="X244" t="s">
        <v>3322</v>
      </c>
      <c r="Y244" t="s">
        <v>93</v>
      </c>
      <c r="Z244" t="s">
        <v>1213</v>
      </c>
      <c r="AA244" t="s">
        <v>3323</v>
      </c>
      <c r="AB244" t="s">
        <v>548</v>
      </c>
      <c r="AC244" t="s">
        <v>3324</v>
      </c>
      <c r="AD244" t="s">
        <v>1213</v>
      </c>
      <c r="AE244" t="s">
        <v>3323</v>
      </c>
      <c r="AF244" t="s">
        <v>548</v>
      </c>
      <c r="AG244" t="s">
        <v>3324</v>
      </c>
      <c r="AI244" t="s">
        <v>3325</v>
      </c>
      <c r="AJ244" t="s">
        <v>1213</v>
      </c>
      <c r="AK244" t="s">
        <v>99</v>
      </c>
      <c r="AL244" t="s">
        <v>3326</v>
      </c>
      <c r="AM244" t="s">
        <v>3327</v>
      </c>
      <c r="AN244" t="s">
        <v>2555</v>
      </c>
      <c r="AR244" t="s">
        <v>125</v>
      </c>
      <c r="AT244" t="s">
        <v>3328</v>
      </c>
      <c r="AW244" t="s">
        <v>3329</v>
      </c>
      <c r="AZ244" t="s">
        <v>80</v>
      </c>
    </row>
    <row r="245" spans="1:52" hidden="1" x14ac:dyDescent="0.25">
      <c r="A245" t="s">
        <v>3330</v>
      </c>
      <c r="B245" t="s">
        <v>3317</v>
      </c>
      <c r="C245" t="s">
        <v>3318</v>
      </c>
      <c r="D245" t="s">
        <v>2544</v>
      </c>
      <c r="E245" t="s">
        <v>3331</v>
      </c>
      <c r="F245" t="s">
        <v>3320</v>
      </c>
      <c r="G245" t="s">
        <v>3320</v>
      </c>
      <c r="J245" t="s">
        <v>80</v>
      </c>
      <c r="K245" t="s">
        <v>110</v>
      </c>
      <c r="L245" t="s">
        <v>111</v>
      </c>
      <c r="M245">
        <v>666023</v>
      </c>
      <c r="P245" t="s">
        <v>3288</v>
      </c>
      <c r="Q245" t="s">
        <v>1205</v>
      </c>
      <c r="R245" t="s">
        <v>774</v>
      </c>
      <c r="S245" t="s">
        <v>444</v>
      </c>
      <c r="T245" t="s">
        <v>3289</v>
      </c>
      <c r="U245" t="s">
        <v>3321</v>
      </c>
      <c r="W245" t="s">
        <v>1233</v>
      </c>
      <c r="X245" t="s">
        <v>3332</v>
      </c>
      <c r="Y245" t="s">
        <v>93</v>
      </c>
      <c r="Z245" t="s">
        <v>1213</v>
      </c>
      <c r="AA245" t="s">
        <v>3323</v>
      </c>
      <c r="AB245" t="s">
        <v>548</v>
      </c>
      <c r="AC245" t="s">
        <v>3324</v>
      </c>
      <c r="AD245" t="s">
        <v>1213</v>
      </c>
      <c r="AE245" t="s">
        <v>3323</v>
      </c>
      <c r="AF245" t="s">
        <v>548</v>
      </c>
      <c r="AG245" t="s">
        <v>3324</v>
      </c>
      <c r="AI245" t="s">
        <v>3325</v>
      </c>
      <c r="AJ245" t="s">
        <v>1213</v>
      </c>
      <c r="AK245" t="s">
        <v>99</v>
      </c>
      <c r="AL245" t="s">
        <v>3333</v>
      </c>
      <c r="AM245" t="s">
        <v>3327</v>
      </c>
      <c r="AN245" t="s">
        <v>2555</v>
      </c>
      <c r="AR245" t="s">
        <v>125</v>
      </c>
      <c r="AT245" t="s">
        <v>3334</v>
      </c>
      <c r="AW245" t="s">
        <v>3329</v>
      </c>
      <c r="AZ245" t="s">
        <v>80</v>
      </c>
    </row>
    <row r="246" spans="1:52" hidden="1" x14ac:dyDescent="0.25">
      <c r="A246" t="s">
        <v>3335</v>
      </c>
      <c r="B246" t="s">
        <v>3317</v>
      </c>
      <c r="C246" t="s">
        <v>3318</v>
      </c>
      <c r="D246" t="s">
        <v>2544</v>
      </c>
      <c r="E246" t="s">
        <v>3336</v>
      </c>
      <c r="F246" t="s">
        <v>3320</v>
      </c>
      <c r="G246" t="s">
        <v>3320</v>
      </c>
      <c r="J246" t="s">
        <v>80</v>
      </c>
      <c r="K246" t="s">
        <v>110</v>
      </c>
      <c r="L246" t="s">
        <v>111</v>
      </c>
      <c r="M246">
        <v>666023</v>
      </c>
      <c r="P246" t="s">
        <v>3288</v>
      </c>
      <c r="Q246" t="s">
        <v>1205</v>
      </c>
      <c r="R246" t="s">
        <v>774</v>
      </c>
      <c r="S246" t="s">
        <v>444</v>
      </c>
      <c r="T246" t="s">
        <v>3289</v>
      </c>
      <c r="U246" t="s">
        <v>3321</v>
      </c>
      <c r="W246" t="s">
        <v>1209</v>
      </c>
      <c r="X246" t="s">
        <v>3337</v>
      </c>
      <c r="Y246" t="s">
        <v>93</v>
      </c>
      <c r="Z246" t="s">
        <v>1213</v>
      </c>
      <c r="AA246" t="s">
        <v>3323</v>
      </c>
      <c r="AB246" t="s">
        <v>548</v>
      </c>
      <c r="AC246" t="s">
        <v>3324</v>
      </c>
      <c r="AD246" t="s">
        <v>1213</v>
      </c>
      <c r="AE246" t="s">
        <v>3323</v>
      </c>
      <c r="AF246" t="s">
        <v>548</v>
      </c>
      <c r="AG246" t="s">
        <v>3324</v>
      </c>
      <c r="AI246" t="s">
        <v>3325</v>
      </c>
      <c r="AJ246" t="s">
        <v>1213</v>
      </c>
      <c r="AK246" t="s">
        <v>99</v>
      </c>
      <c r="AL246" t="s">
        <v>3338</v>
      </c>
      <c r="AM246" t="s">
        <v>3327</v>
      </c>
      <c r="AN246" t="s">
        <v>2555</v>
      </c>
      <c r="AR246" t="s">
        <v>125</v>
      </c>
      <c r="AT246" t="s">
        <v>3339</v>
      </c>
      <c r="AW246" t="s">
        <v>3329</v>
      </c>
      <c r="AZ246" t="s">
        <v>80</v>
      </c>
    </row>
    <row r="247" spans="1:52" hidden="1" x14ac:dyDescent="0.25">
      <c r="A247" t="s">
        <v>3340</v>
      </c>
      <c r="B247" t="s">
        <v>3317</v>
      </c>
      <c r="C247" t="s">
        <v>3341</v>
      </c>
      <c r="D247" t="s">
        <v>2544</v>
      </c>
      <c r="E247" t="s">
        <v>3342</v>
      </c>
      <c r="F247" t="s">
        <v>3320</v>
      </c>
      <c r="G247" t="s">
        <v>3320</v>
      </c>
      <c r="J247" t="s">
        <v>80</v>
      </c>
      <c r="K247" t="s">
        <v>110</v>
      </c>
      <c r="L247" t="s">
        <v>111</v>
      </c>
      <c r="M247">
        <v>666023</v>
      </c>
      <c r="P247" t="s">
        <v>3288</v>
      </c>
      <c r="Q247" t="s">
        <v>1205</v>
      </c>
      <c r="R247" t="s">
        <v>774</v>
      </c>
      <c r="S247" t="s">
        <v>444</v>
      </c>
      <c r="T247" t="s">
        <v>3289</v>
      </c>
      <c r="U247" t="s">
        <v>3321</v>
      </c>
      <c r="W247" t="s">
        <v>1225</v>
      </c>
      <c r="X247" t="s">
        <v>3343</v>
      </c>
      <c r="Y247" t="s">
        <v>93</v>
      </c>
      <c r="Z247" t="s">
        <v>1213</v>
      </c>
      <c r="AA247" t="s">
        <v>3323</v>
      </c>
      <c r="AB247" t="s">
        <v>548</v>
      </c>
      <c r="AC247" t="s">
        <v>3324</v>
      </c>
      <c r="AD247" t="s">
        <v>1213</v>
      </c>
      <c r="AE247" t="s">
        <v>3323</v>
      </c>
      <c r="AF247" t="s">
        <v>548</v>
      </c>
      <c r="AG247" t="s">
        <v>3324</v>
      </c>
      <c r="AI247" t="s">
        <v>3325</v>
      </c>
      <c r="AJ247" t="s">
        <v>1213</v>
      </c>
      <c r="AK247" t="s">
        <v>99</v>
      </c>
      <c r="AL247" t="s">
        <v>3344</v>
      </c>
      <c r="AM247" t="s">
        <v>3327</v>
      </c>
      <c r="AN247" t="s">
        <v>2555</v>
      </c>
      <c r="AR247" t="s">
        <v>125</v>
      </c>
      <c r="AT247" t="s">
        <v>3345</v>
      </c>
      <c r="AW247" t="s">
        <v>3329</v>
      </c>
      <c r="AZ247" t="s">
        <v>80</v>
      </c>
    </row>
    <row r="248" spans="1:52" hidden="1" x14ac:dyDescent="0.25">
      <c r="A248" t="s">
        <v>3346</v>
      </c>
      <c r="B248" t="s">
        <v>3347</v>
      </c>
      <c r="C248" t="s">
        <v>3348</v>
      </c>
      <c r="D248" t="s">
        <v>2544</v>
      </c>
      <c r="E248" t="s">
        <v>3349</v>
      </c>
      <c r="F248" t="s">
        <v>3350</v>
      </c>
      <c r="G248" t="s">
        <v>3350</v>
      </c>
      <c r="J248" t="s">
        <v>80</v>
      </c>
      <c r="K248" t="s">
        <v>110</v>
      </c>
      <c r="L248" t="s">
        <v>111</v>
      </c>
      <c r="M248">
        <v>69668</v>
      </c>
      <c r="P248" t="s">
        <v>154</v>
      </c>
      <c r="Q248" t="s">
        <v>1284</v>
      </c>
      <c r="R248" t="s">
        <v>1285</v>
      </c>
      <c r="S248" t="s">
        <v>1124</v>
      </c>
      <c r="T248" t="s">
        <v>3351</v>
      </c>
      <c r="U248" t="s">
        <v>3352</v>
      </c>
      <c r="V248" t="s">
        <v>3353</v>
      </c>
      <c r="W248" t="s">
        <v>797</v>
      </c>
      <c r="X248" t="s">
        <v>3354</v>
      </c>
      <c r="Y248" t="s">
        <v>93</v>
      </c>
      <c r="Z248" t="s">
        <v>2048</v>
      </c>
      <c r="AA248" t="s">
        <v>3226</v>
      </c>
      <c r="AB248" t="s">
        <v>678</v>
      </c>
      <c r="AC248" t="s">
        <v>97</v>
      </c>
      <c r="AD248" t="s">
        <v>2048</v>
      </c>
      <c r="AE248" t="s">
        <v>3226</v>
      </c>
      <c r="AF248" t="s">
        <v>678</v>
      </c>
      <c r="AG248" t="s">
        <v>97</v>
      </c>
      <c r="AI248" t="s">
        <v>3355</v>
      </c>
      <c r="AJ248" t="s">
        <v>2048</v>
      </c>
      <c r="AK248" t="s">
        <v>99</v>
      </c>
      <c r="AL248" t="s">
        <v>3356</v>
      </c>
      <c r="AM248" t="s">
        <v>3357</v>
      </c>
      <c r="AN248" t="s">
        <v>2578</v>
      </c>
      <c r="AR248" t="s">
        <v>125</v>
      </c>
      <c r="AT248" t="s">
        <v>3358</v>
      </c>
      <c r="AV248" t="s">
        <v>128</v>
      </c>
      <c r="AZ248" t="s">
        <v>80</v>
      </c>
    </row>
    <row r="249" spans="1:52" hidden="1" x14ac:dyDescent="0.25">
      <c r="A249" t="s">
        <v>3359</v>
      </c>
      <c r="B249" t="s">
        <v>3360</v>
      </c>
      <c r="C249" t="s">
        <v>3361</v>
      </c>
      <c r="D249" t="s">
        <v>2544</v>
      </c>
      <c r="E249" t="s">
        <v>3362</v>
      </c>
      <c r="F249" t="s">
        <v>3363</v>
      </c>
      <c r="G249" t="s">
        <v>3364</v>
      </c>
      <c r="J249" t="s">
        <v>80</v>
      </c>
      <c r="K249" t="s">
        <v>538</v>
      </c>
      <c r="L249" t="s">
        <v>111</v>
      </c>
      <c r="M249">
        <v>69623</v>
      </c>
      <c r="P249" t="s">
        <v>154</v>
      </c>
      <c r="Q249" t="s">
        <v>539</v>
      </c>
      <c r="R249" t="s">
        <v>540</v>
      </c>
      <c r="S249" t="s">
        <v>541</v>
      </c>
      <c r="T249" t="s">
        <v>3365</v>
      </c>
      <c r="U249" t="s">
        <v>3366</v>
      </c>
      <c r="V249" t="s">
        <v>2062</v>
      </c>
      <c r="W249" t="s">
        <v>3367</v>
      </c>
      <c r="X249" t="s">
        <v>3368</v>
      </c>
      <c r="Y249" t="s">
        <v>93</v>
      </c>
      <c r="Z249" t="s">
        <v>119</v>
      </c>
      <c r="AA249" t="s">
        <v>3369</v>
      </c>
      <c r="AB249" t="s">
        <v>3032</v>
      </c>
      <c r="AC249" t="s">
        <v>3370</v>
      </c>
      <c r="AD249" t="s">
        <v>119</v>
      </c>
      <c r="AE249" t="s">
        <v>3369</v>
      </c>
      <c r="AF249" t="s">
        <v>3032</v>
      </c>
      <c r="AG249" t="s">
        <v>3370</v>
      </c>
      <c r="AI249" t="s">
        <v>3371</v>
      </c>
      <c r="AJ249" t="s">
        <v>119</v>
      </c>
      <c r="AK249" t="s">
        <v>99</v>
      </c>
      <c r="AL249" t="s">
        <v>3372</v>
      </c>
      <c r="AM249" t="s">
        <v>3357</v>
      </c>
      <c r="AR249" t="s">
        <v>125</v>
      </c>
      <c r="AT249" t="s">
        <v>3373</v>
      </c>
      <c r="AV249" t="s">
        <v>128</v>
      </c>
      <c r="AZ249" t="s">
        <v>80</v>
      </c>
    </row>
    <row r="250" spans="1:52" hidden="1" x14ac:dyDescent="0.25">
      <c r="A250" t="s">
        <v>3374</v>
      </c>
      <c r="B250" t="s">
        <v>3360</v>
      </c>
      <c r="C250" t="s">
        <v>3375</v>
      </c>
      <c r="D250" t="s">
        <v>2544</v>
      </c>
      <c r="E250" t="s">
        <v>3376</v>
      </c>
      <c r="F250" t="s">
        <v>3363</v>
      </c>
      <c r="G250" t="s">
        <v>3364</v>
      </c>
      <c r="J250" t="s">
        <v>80</v>
      </c>
      <c r="K250" t="s">
        <v>538</v>
      </c>
      <c r="L250" t="s">
        <v>111</v>
      </c>
      <c r="M250">
        <v>69623</v>
      </c>
      <c r="P250" t="s">
        <v>154</v>
      </c>
      <c r="Q250" t="s">
        <v>539</v>
      </c>
      <c r="R250" t="s">
        <v>540</v>
      </c>
      <c r="S250" t="s">
        <v>541</v>
      </c>
      <c r="T250" t="s">
        <v>3365</v>
      </c>
      <c r="U250" t="s">
        <v>3366</v>
      </c>
      <c r="V250" t="s">
        <v>2062</v>
      </c>
      <c r="W250" t="s">
        <v>3377</v>
      </c>
      <c r="X250" t="s">
        <v>3378</v>
      </c>
      <c r="Y250" t="s">
        <v>93</v>
      </c>
      <c r="Z250" t="s">
        <v>119</v>
      </c>
      <c r="AA250" t="s">
        <v>3369</v>
      </c>
      <c r="AB250" t="s">
        <v>3032</v>
      </c>
      <c r="AC250" t="s">
        <v>3370</v>
      </c>
      <c r="AD250" t="s">
        <v>119</v>
      </c>
      <c r="AE250" t="s">
        <v>3369</v>
      </c>
      <c r="AF250" t="s">
        <v>3032</v>
      </c>
      <c r="AG250" t="s">
        <v>3370</v>
      </c>
      <c r="AI250" t="s">
        <v>3371</v>
      </c>
      <c r="AJ250" t="s">
        <v>119</v>
      </c>
      <c r="AK250" t="s">
        <v>99</v>
      </c>
      <c r="AL250" t="s">
        <v>3379</v>
      </c>
      <c r="AM250" t="s">
        <v>3357</v>
      </c>
      <c r="AR250" t="s">
        <v>125</v>
      </c>
      <c r="AT250" t="s">
        <v>3380</v>
      </c>
      <c r="AV250" t="s">
        <v>128</v>
      </c>
      <c r="AZ250" t="s">
        <v>80</v>
      </c>
    </row>
    <row r="251" spans="1:52" hidden="1" x14ac:dyDescent="0.25">
      <c r="A251" t="s">
        <v>3381</v>
      </c>
      <c r="B251" t="s">
        <v>3382</v>
      </c>
      <c r="C251" t="s">
        <v>3383</v>
      </c>
      <c r="D251" t="s">
        <v>2544</v>
      </c>
      <c r="E251" t="s">
        <v>3384</v>
      </c>
      <c r="F251" t="s">
        <v>3385</v>
      </c>
      <c r="G251" t="s">
        <v>3386</v>
      </c>
      <c r="J251" t="s">
        <v>80</v>
      </c>
      <c r="K251" t="s">
        <v>538</v>
      </c>
      <c r="L251" t="s">
        <v>111</v>
      </c>
      <c r="M251" t="s">
        <v>3387</v>
      </c>
      <c r="P251" t="s">
        <v>134</v>
      </c>
      <c r="Q251" t="s">
        <v>1205</v>
      </c>
      <c r="R251" t="s">
        <v>914</v>
      </c>
      <c r="S251" t="s">
        <v>444</v>
      </c>
      <c r="T251" t="s">
        <v>3388</v>
      </c>
      <c r="U251" t="s">
        <v>346</v>
      </c>
      <c r="V251" t="s">
        <v>3389</v>
      </c>
      <c r="W251" t="s">
        <v>1325</v>
      </c>
      <c r="X251" t="s">
        <v>3390</v>
      </c>
      <c r="Y251" t="s">
        <v>93</v>
      </c>
      <c r="Z251" t="s">
        <v>2986</v>
      </c>
      <c r="AA251" t="s">
        <v>3391</v>
      </c>
      <c r="AB251" t="s">
        <v>182</v>
      </c>
      <c r="AC251" t="s">
        <v>3392</v>
      </c>
      <c r="AD251" t="s">
        <v>2986</v>
      </c>
      <c r="AE251" t="s">
        <v>3391</v>
      </c>
      <c r="AF251" t="s">
        <v>182</v>
      </c>
      <c r="AG251" t="s">
        <v>3392</v>
      </c>
      <c r="AI251" t="s">
        <v>3393</v>
      </c>
      <c r="AJ251" t="s">
        <v>2986</v>
      </c>
      <c r="AK251" t="s">
        <v>99</v>
      </c>
      <c r="AL251" t="s">
        <v>3394</v>
      </c>
      <c r="AM251" t="s">
        <v>3022</v>
      </c>
      <c r="AR251" t="s">
        <v>125</v>
      </c>
      <c r="AT251" t="s">
        <v>3395</v>
      </c>
      <c r="AV251" t="s">
        <v>128</v>
      </c>
      <c r="AZ251" t="s">
        <v>80</v>
      </c>
    </row>
    <row r="252" spans="1:52" hidden="1" x14ac:dyDescent="0.25">
      <c r="A252" t="s">
        <v>3396</v>
      </c>
      <c r="B252" t="s">
        <v>3382</v>
      </c>
      <c r="C252" t="s">
        <v>3397</v>
      </c>
      <c r="D252" t="s">
        <v>2544</v>
      </c>
      <c r="E252" t="s">
        <v>3398</v>
      </c>
      <c r="F252" t="s">
        <v>3385</v>
      </c>
      <c r="G252" t="s">
        <v>3386</v>
      </c>
      <c r="J252" t="s">
        <v>80</v>
      </c>
      <c r="K252" t="s">
        <v>538</v>
      </c>
      <c r="L252" t="s">
        <v>111</v>
      </c>
      <c r="M252" t="s">
        <v>3387</v>
      </c>
      <c r="P252" t="s">
        <v>134</v>
      </c>
      <c r="Q252" t="s">
        <v>1205</v>
      </c>
      <c r="R252" t="s">
        <v>914</v>
      </c>
      <c r="S252" t="s">
        <v>444</v>
      </c>
      <c r="T252" t="s">
        <v>3388</v>
      </c>
      <c r="U252" t="s">
        <v>346</v>
      </c>
      <c r="V252" t="s">
        <v>3389</v>
      </c>
      <c r="W252" t="s">
        <v>1310</v>
      </c>
      <c r="X252" t="s">
        <v>3399</v>
      </c>
      <c r="Y252" t="s">
        <v>93</v>
      </c>
      <c r="Z252" t="s">
        <v>2986</v>
      </c>
      <c r="AA252" t="s">
        <v>3391</v>
      </c>
      <c r="AB252" t="s">
        <v>182</v>
      </c>
      <c r="AC252" t="s">
        <v>3392</v>
      </c>
      <c r="AD252" t="s">
        <v>2986</v>
      </c>
      <c r="AE252" t="s">
        <v>3391</v>
      </c>
      <c r="AF252" t="s">
        <v>182</v>
      </c>
      <c r="AG252" t="s">
        <v>3392</v>
      </c>
      <c r="AI252" t="s">
        <v>3400</v>
      </c>
      <c r="AJ252" t="s">
        <v>2986</v>
      </c>
      <c r="AK252" t="s">
        <v>99</v>
      </c>
      <c r="AL252" t="s">
        <v>3401</v>
      </c>
      <c r="AM252" t="s">
        <v>3402</v>
      </c>
      <c r="AR252" t="s">
        <v>125</v>
      </c>
      <c r="AT252" t="s">
        <v>3403</v>
      </c>
      <c r="AV252" t="s">
        <v>128</v>
      </c>
      <c r="AZ252" t="s">
        <v>80</v>
      </c>
    </row>
    <row r="253" spans="1:52" hidden="1" x14ac:dyDescent="0.25">
      <c r="A253" t="s">
        <v>3404</v>
      </c>
      <c r="B253" t="s">
        <v>3405</v>
      </c>
      <c r="C253" t="s">
        <v>3406</v>
      </c>
      <c r="D253" t="s">
        <v>2544</v>
      </c>
      <c r="E253" t="s">
        <v>3407</v>
      </c>
      <c r="F253" t="s">
        <v>3408</v>
      </c>
      <c r="G253" t="s">
        <v>3408</v>
      </c>
      <c r="J253" t="s">
        <v>80</v>
      </c>
      <c r="K253" t="s">
        <v>110</v>
      </c>
      <c r="L253" t="s">
        <v>111</v>
      </c>
      <c r="M253" t="s">
        <v>3409</v>
      </c>
      <c r="P253" t="s">
        <v>134</v>
      </c>
      <c r="Q253" t="s">
        <v>1205</v>
      </c>
      <c r="R253" t="s">
        <v>914</v>
      </c>
      <c r="S253" t="s">
        <v>444</v>
      </c>
      <c r="T253" t="s">
        <v>1206</v>
      </c>
      <c r="U253" t="s">
        <v>3410</v>
      </c>
      <c r="V253" t="s">
        <v>3046</v>
      </c>
      <c r="W253" t="s">
        <v>3411</v>
      </c>
      <c r="X253" t="s">
        <v>3412</v>
      </c>
      <c r="Y253" t="s">
        <v>93</v>
      </c>
      <c r="Z253" t="s">
        <v>1213</v>
      </c>
      <c r="AA253" t="s">
        <v>3413</v>
      </c>
      <c r="AB253" t="s">
        <v>678</v>
      </c>
      <c r="AC253" t="s">
        <v>3414</v>
      </c>
      <c r="AD253" t="s">
        <v>1213</v>
      </c>
      <c r="AE253" t="s">
        <v>3413</v>
      </c>
      <c r="AF253" t="s">
        <v>678</v>
      </c>
      <c r="AG253" t="s">
        <v>3414</v>
      </c>
      <c r="AI253" t="s">
        <v>3415</v>
      </c>
      <c r="AJ253" t="s">
        <v>1213</v>
      </c>
      <c r="AK253" t="s">
        <v>99</v>
      </c>
      <c r="AL253" t="s">
        <v>3416</v>
      </c>
      <c r="AM253" t="s">
        <v>3417</v>
      </c>
      <c r="AN253" t="s">
        <v>2555</v>
      </c>
      <c r="AR253" t="s">
        <v>125</v>
      </c>
      <c r="AT253" t="s">
        <v>3418</v>
      </c>
      <c r="AV253" t="s">
        <v>128</v>
      </c>
      <c r="AZ253" t="s">
        <v>80</v>
      </c>
    </row>
    <row r="254" spans="1:52" hidden="1" x14ac:dyDescent="0.25">
      <c r="A254" t="s">
        <v>3419</v>
      </c>
      <c r="B254" t="s">
        <v>3420</v>
      </c>
      <c r="C254" t="s">
        <v>3421</v>
      </c>
      <c r="D254" t="s">
        <v>2544</v>
      </c>
      <c r="E254" t="s">
        <v>3422</v>
      </c>
      <c r="F254" t="s">
        <v>3423</v>
      </c>
      <c r="G254" t="s">
        <v>3424</v>
      </c>
      <c r="J254" t="s">
        <v>80</v>
      </c>
      <c r="K254" t="s">
        <v>597</v>
      </c>
      <c r="L254" t="s">
        <v>111</v>
      </c>
      <c r="M254" t="s">
        <v>3425</v>
      </c>
      <c r="O254" t="s">
        <v>3426</v>
      </c>
      <c r="P254" t="s">
        <v>1819</v>
      </c>
      <c r="Q254" t="s">
        <v>2687</v>
      </c>
      <c r="R254" t="s">
        <v>1441</v>
      </c>
      <c r="S254" t="s">
        <v>748</v>
      </c>
      <c r="T254" t="s">
        <v>3427</v>
      </c>
      <c r="U254" t="s">
        <v>526</v>
      </c>
      <c r="V254" t="s">
        <v>2926</v>
      </c>
      <c r="W254" t="s">
        <v>3428</v>
      </c>
      <c r="X254" t="s">
        <v>3429</v>
      </c>
      <c r="Y254" t="s">
        <v>93</v>
      </c>
      <c r="Z254" t="s">
        <v>2986</v>
      </c>
      <c r="AA254" t="s">
        <v>3430</v>
      </c>
      <c r="AB254" t="s">
        <v>119</v>
      </c>
      <c r="AC254" t="s">
        <v>680</v>
      </c>
      <c r="AD254" t="s">
        <v>2986</v>
      </c>
      <c r="AE254" t="s">
        <v>3430</v>
      </c>
      <c r="AF254" t="s">
        <v>119</v>
      </c>
      <c r="AG254" t="s">
        <v>680</v>
      </c>
      <c r="AI254" t="s">
        <v>3431</v>
      </c>
      <c r="AJ254" t="s">
        <v>2986</v>
      </c>
      <c r="AK254" t="s">
        <v>99</v>
      </c>
      <c r="AL254" t="s">
        <v>3432</v>
      </c>
      <c r="AM254" t="s">
        <v>3433</v>
      </c>
      <c r="AR254" t="s">
        <v>125</v>
      </c>
      <c r="AT254" t="s">
        <v>3434</v>
      </c>
      <c r="AV254" t="s">
        <v>190</v>
      </c>
      <c r="AZ254" t="s">
        <v>80</v>
      </c>
    </row>
    <row r="255" spans="1:52" hidden="1" x14ac:dyDescent="0.25">
      <c r="A255" t="s">
        <v>3435</v>
      </c>
      <c r="B255" t="s">
        <v>3436</v>
      </c>
      <c r="C255" t="s">
        <v>3437</v>
      </c>
      <c r="D255" t="s">
        <v>2544</v>
      </c>
      <c r="E255" t="s">
        <v>3438</v>
      </c>
      <c r="F255" t="s">
        <v>3439</v>
      </c>
      <c r="G255" t="s">
        <v>3439</v>
      </c>
      <c r="J255" t="s">
        <v>80</v>
      </c>
      <c r="K255" t="s">
        <v>81</v>
      </c>
      <c r="L255" t="s">
        <v>111</v>
      </c>
      <c r="M255" t="s">
        <v>3440</v>
      </c>
      <c r="P255" t="s">
        <v>134</v>
      </c>
      <c r="Q255" t="s">
        <v>1205</v>
      </c>
      <c r="R255" t="s">
        <v>914</v>
      </c>
      <c r="S255" t="s">
        <v>444</v>
      </c>
      <c r="T255" t="s">
        <v>3441</v>
      </c>
      <c r="U255" t="s">
        <v>138</v>
      </c>
      <c r="V255" t="s">
        <v>3442</v>
      </c>
      <c r="W255" t="s">
        <v>3428</v>
      </c>
      <c r="X255" t="s">
        <v>3443</v>
      </c>
      <c r="Y255" t="s">
        <v>93</v>
      </c>
      <c r="Z255" t="s">
        <v>548</v>
      </c>
      <c r="AA255" t="s">
        <v>3444</v>
      </c>
      <c r="AB255" t="s">
        <v>1254</v>
      </c>
      <c r="AC255" t="s">
        <v>3445</v>
      </c>
      <c r="AD255" t="s">
        <v>548</v>
      </c>
      <c r="AE255" t="s">
        <v>3444</v>
      </c>
      <c r="AF255" t="s">
        <v>1254</v>
      </c>
      <c r="AG255" t="s">
        <v>3445</v>
      </c>
      <c r="AI255" t="s">
        <v>3446</v>
      </c>
      <c r="AJ255" t="s">
        <v>548</v>
      </c>
      <c r="AK255" t="s">
        <v>99</v>
      </c>
      <c r="AL255" t="s">
        <v>3447</v>
      </c>
      <c r="AM255" t="s">
        <v>2563</v>
      </c>
      <c r="AN255" t="s">
        <v>2564</v>
      </c>
      <c r="AP255" t="s">
        <v>1218</v>
      </c>
      <c r="AR255" t="s">
        <v>125</v>
      </c>
      <c r="AT255" t="s">
        <v>3448</v>
      </c>
      <c r="AV255" t="s">
        <v>128</v>
      </c>
      <c r="AZ255" t="s">
        <v>80</v>
      </c>
    </row>
    <row r="256" spans="1:52" hidden="1" x14ac:dyDescent="0.25">
      <c r="A256" t="s">
        <v>3449</v>
      </c>
      <c r="B256" t="s">
        <v>3450</v>
      </c>
      <c r="C256" t="s">
        <v>3451</v>
      </c>
      <c r="D256" t="s">
        <v>2544</v>
      </c>
      <c r="E256" t="s">
        <v>3452</v>
      </c>
      <c r="F256" t="s">
        <v>3453</v>
      </c>
      <c r="G256" t="s">
        <v>3453</v>
      </c>
      <c r="J256" t="s">
        <v>80</v>
      </c>
      <c r="K256" t="s">
        <v>110</v>
      </c>
      <c r="L256" t="s">
        <v>111</v>
      </c>
      <c r="M256">
        <v>66567</v>
      </c>
      <c r="O256" t="s">
        <v>3454</v>
      </c>
      <c r="P256" t="s">
        <v>154</v>
      </c>
      <c r="Q256" t="s">
        <v>1284</v>
      </c>
      <c r="R256" t="s">
        <v>1285</v>
      </c>
      <c r="S256" t="s">
        <v>1124</v>
      </c>
      <c r="T256" t="s">
        <v>158</v>
      </c>
      <c r="U256" t="s">
        <v>3455</v>
      </c>
      <c r="V256" t="s">
        <v>3456</v>
      </c>
      <c r="W256" t="s">
        <v>3457</v>
      </c>
      <c r="X256" t="s">
        <v>3458</v>
      </c>
      <c r="Y256" t="s">
        <v>93</v>
      </c>
      <c r="Z256" t="s">
        <v>119</v>
      </c>
      <c r="AA256" t="s">
        <v>3459</v>
      </c>
      <c r="AB256" t="s">
        <v>163</v>
      </c>
      <c r="AC256" t="s">
        <v>2142</v>
      </c>
      <c r="AD256" t="s">
        <v>119</v>
      </c>
      <c r="AE256" t="s">
        <v>3459</v>
      </c>
      <c r="AF256" t="s">
        <v>163</v>
      </c>
      <c r="AG256" t="s">
        <v>2142</v>
      </c>
      <c r="AI256" t="s">
        <v>3460</v>
      </c>
      <c r="AJ256" t="s">
        <v>119</v>
      </c>
      <c r="AK256" t="s">
        <v>99</v>
      </c>
      <c r="AL256" t="s">
        <v>3461</v>
      </c>
      <c r="AM256" t="s">
        <v>3462</v>
      </c>
      <c r="AN256" t="s">
        <v>2555</v>
      </c>
      <c r="AR256" t="s">
        <v>125</v>
      </c>
      <c r="AT256" t="s">
        <v>3463</v>
      </c>
      <c r="AV256" t="s">
        <v>190</v>
      </c>
      <c r="AZ256" t="s">
        <v>80</v>
      </c>
    </row>
    <row r="257" spans="1:52" hidden="1" x14ac:dyDescent="0.25">
      <c r="A257" t="s">
        <v>2029</v>
      </c>
      <c r="B257" t="s">
        <v>3464</v>
      </c>
      <c r="C257" t="s">
        <v>3465</v>
      </c>
      <c r="D257" t="s">
        <v>2544</v>
      </c>
      <c r="E257" t="s">
        <v>3466</v>
      </c>
      <c r="F257" t="s">
        <v>3467</v>
      </c>
      <c r="G257" t="s">
        <v>3467</v>
      </c>
      <c r="J257" t="s">
        <v>80</v>
      </c>
      <c r="K257" t="s">
        <v>110</v>
      </c>
      <c r="L257" t="s">
        <v>111</v>
      </c>
      <c r="M257">
        <v>69690</v>
      </c>
      <c r="O257" t="s">
        <v>3468</v>
      </c>
      <c r="P257" t="s">
        <v>154</v>
      </c>
      <c r="Q257" t="s">
        <v>3469</v>
      </c>
      <c r="R257" t="s">
        <v>2488</v>
      </c>
      <c r="S257" t="s">
        <v>1016</v>
      </c>
      <c r="T257" t="s">
        <v>1286</v>
      </c>
      <c r="U257" t="s">
        <v>620</v>
      </c>
      <c r="V257" t="s">
        <v>3470</v>
      </c>
      <c r="W257" t="s">
        <v>161</v>
      </c>
      <c r="X257" t="s">
        <v>3471</v>
      </c>
      <c r="Y257" t="s">
        <v>93</v>
      </c>
      <c r="Z257" t="s">
        <v>678</v>
      </c>
      <c r="AA257" t="s">
        <v>3472</v>
      </c>
      <c r="AB257" t="s">
        <v>119</v>
      </c>
      <c r="AC257" t="s">
        <v>3473</v>
      </c>
      <c r="AD257" t="s">
        <v>678</v>
      </c>
      <c r="AE257" t="s">
        <v>3472</v>
      </c>
      <c r="AF257" t="s">
        <v>119</v>
      </c>
      <c r="AG257" t="s">
        <v>3473</v>
      </c>
      <c r="AI257" t="s">
        <v>3474</v>
      </c>
      <c r="AJ257" t="s">
        <v>678</v>
      </c>
      <c r="AK257" t="s">
        <v>99</v>
      </c>
      <c r="AL257" t="s">
        <v>3475</v>
      </c>
      <c r="AM257" t="s">
        <v>3476</v>
      </c>
      <c r="AN257" t="s">
        <v>2578</v>
      </c>
      <c r="AR257" t="s">
        <v>125</v>
      </c>
      <c r="AT257" t="s">
        <v>3477</v>
      </c>
      <c r="AV257" t="s">
        <v>190</v>
      </c>
      <c r="AZ257" t="s">
        <v>80</v>
      </c>
    </row>
    <row r="258" spans="1:52" hidden="1" x14ac:dyDescent="0.25">
      <c r="A258" t="s">
        <v>3478</v>
      </c>
      <c r="B258" t="s">
        <v>3479</v>
      </c>
      <c r="C258" t="s">
        <v>3480</v>
      </c>
      <c r="D258" t="s">
        <v>2544</v>
      </c>
      <c r="E258" t="s">
        <v>3481</v>
      </c>
      <c r="F258" t="s">
        <v>3482</v>
      </c>
      <c r="G258" t="s">
        <v>3482</v>
      </c>
      <c r="J258" t="s">
        <v>80</v>
      </c>
      <c r="K258" t="s">
        <v>110</v>
      </c>
      <c r="L258" t="s">
        <v>111</v>
      </c>
      <c r="M258">
        <v>69859</v>
      </c>
      <c r="N258" t="s">
        <v>3483</v>
      </c>
      <c r="P258" t="s">
        <v>2905</v>
      </c>
      <c r="Q258" t="s">
        <v>1205</v>
      </c>
      <c r="R258" t="s">
        <v>914</v>
      </c>
      <c r="S258" t="s">
        <v>444</v>
      </c>
      <c r="T258" t="s">
        <v>3484</v>
      </c>
      <c r="U258" t="s">
        <v>3485</v>
      </c>
      <c r="V258" t="s">
        <v>3321</v>
      </c>
      <c r="W258" t="s">
        <v>161</v>
      </c>
      <c r="X258" t="s">
        <v>3486</v>
      </c>
      <c r="Y258" t="s">
        <v>93</v>
      </c>
      <c r="Z258" t="s">
        <v>829</v>
      </c>
      <c r="AA258" t="s">
        <v>3487</v>
      </c>
      <c r="AB258" t="s">
        <v>2911</v>
      </c>
      <c r="AC258" t="s">
        <v>3488</v>
      </c>
      <c r="AD258" t="s">
        <v>829</v>
      </c>
      <c r="AE258" t="s">
        <v>3487</v>
      </c>
      <c r="AF258" t="s">
        <v>2911</v>
      </c>
      <c r="AG258" t="s">
        <v>3488</v>
      </c>
      <c r="AH258" t="s">
        <v>3489</v>
      </c>
      <c r="AI258" t="s">
        <v>3490</v>
      </c>
      <c r="AJ258" t="s">
        <v>829</v>
      </c>
      <c r="AK258" t="s">
        <v>99</v>
      </c>
      <c r="AL258" t="s">
        <v>3491</v>
      </c>
      <c r="AM258" t="s">
        <v>3492</v>
      </c>
      <c r="AN258" t="s">
        <v>2555</v>
      </c>
      <c r="AR258" t="s">
        <v>125</v>
      </c>
      <c r="AT258" t="s">
        <v>3493</v>
      </c>
      <c r="AV258" t="s">
        <v>128</v>
      </c>
      <c r="AZ258" t="s">
        <v>80</v>
      </c>
    </row>
    <row r="259" spans="1:52" hidden="1" x14ac:dyDescent="0.25">
      <c r="A259" t="s">
        <v>3494</v>
      </c>
      <c r="B259" t="s">
        <v>3495</v>
      </c>
      <c r="C259" t="s">
        <v>3496</v>
      </c>
      <c r="D259" t="s">
        <v>2544</v>
      </c>
      <c r="E259" t="s">
        <v>3497</v>
      </c>
      <c r="F259" t="s">
        <v>3498</v>
      </c>
      <c r="G259" t="s">
        <v>3498</v>
      </c>
      <c r="J259" t="s">
        <v>80</v>
      </c>
      <c r="K259" t="s">
        <v>110</v>
      </c>
      <c r="L259" t="s">
        <v>111</v>
      </c>
      <c r="M259">
        <v>69878</v>
      </c>
      <c r="N259" t="s">
        <v>3499</v>
      </c>
      <c r="P259" t="s">
        <v>2905</v>
      </c>
      <c r="Q259" t="s">
        <v>1205</v>
      </c>
      <c r="R259" t="s">
        <v>914</v>
      </c>
      <c r="S259" t="s">
        <v>444</v>
      </c>
      <c r="T259" t="s">
        <v>3484</v>
      </c>
      <c r="U259" t="s">
        <v>3500</v>
      </c>
      <c r="V259" t="s">
        <v>1483</v>
      </c>
      <c r="W259" t="s">
        <v>161</v>
      </c>
      <c r="X259" t="s">
        <v>3486</v>
      </c>
      <c r="Y259" t="s">
        <v>93</v>
      </c>
      <c r="Z259" t="s">
        <v>2911</v>
      </c>
      <c r="AA259" t="s">
        <v>3501</v>
      </c>
      <c r="AB259" t="s">
        <v>829</v>
      </c>
      <c r="AC259" t="s">
        <v>3188</v>
      </c>
      <c r="AD259" t="s">
        <v>2911</v>
      </c>
      <c r="AE259" t="s">
        <v>3501</v>
      </c>
      <c r="AF259" t="s">
        <v>829</v>
      </c>
      <c r="AG259" t="s">
        <v>3188</v>
      </c>
      <c r="AH259" t="s">
        <v>3502</v>
      </c>
      <c r="AI259" t="s">
        <v>3503</v>
      </c>
      <c r="AJ259" t="s">
        <v>2911</v>
      </c>
      <c r="AK259" t="s">
        <v>99</v>
      </c>
      <c r="AL259" t="s">
        <v>3504</v>
      </c>
      <c r="AM259" t="s">
        <v>3505</v>
      </c>
      <c r="AN259" t="s">
        <v>2555</v>
      </c>
      <c r="AR259" t="s">
        <v>125</v>
      </c>
      <c r="AT259" t="s">
        <v>3506</v>
      </c>
      <c r="AV259" t="s">
        <v>128</v>
      </c>
      <c r="AZ259" t="s">
        <v>80</v>
      </c>
    </row>
    <row r="260" spans="1:52" hidden="1" x14ac:dyDescent="0.25">
      <c r="A260" t="s">
        <v>3507</v>
      </c>
      <c r="B260" t="s">
        <v>3508</v>
      </c>
      <c r="C260" t="s">
        <v>3509</v>
      </c>
      <c r="D260" t="s">
        <v>2544</v>
      </c>
      <c r="E260" t="s">
        <v>3510</v>
      </c>
      <c r="F260" t="s">
        <v>3511</v>
      </c>
      <c r="G260" t="s">
        <v>3511</v>
      </c>
      <c r="J260" t="s">
        <v>80</v>
      </c>
      <c r="K260" t="s">
        <v>110</v>
      </c>
      <c r="L260" t="s">
        <v>111</v>
      </c>
      <c r="M260">
        <v>69666</v>
      </c>
      <c r="P260" t="s">
        <v>154</v>
      </c>
      <c r="Q260" t="s">
        <v>539</v>
      </c>
      <c r="R260" t="s">
        <v>540</v>
      </c>
      <c r="S260" t="s">
        <v>541</v>
      </c>
      <c r="T260" t="s">
        <v>1286</v>
      </c>
      <c r="U260" t="s">
        <v>3512</v>
      </c>
      <c r="V260" t="s">
        <v>1288</v>
      </c>
      <c r="W260" t="s">
        <v>3513</v>
      </c>
      <c r="X260" t="s">
        <v>3514</v>
      </c>
      <c r="Y260" t="s">
        <v>93</v>
      </c>
      <c r="Z260" t="s">
        <v>678</v>
      </c>
      <c r="AA260" t="s">
        <v>3515</v>
      </c>
      <c r="AB260" t="s">
        <v>119</v>
      </c>
      <c r="AC260" t="s">
        <v>3323</v>
      </c>
      <c r="AD260" t="s">
        <v>678</v>
      </c>
      <c r="AE260" t="s">
        <v>3515</v>
      </c>
      <c r="AF260" t="s">
        <v>119</v>
      </c>
      <c r="AG260" t="s">
        <v>3323</v>
      </c>
      <c r="AI260" t="s">
        <v>3516</v>
      </c>
      <c r="AJ260" t="s">
        <v>678</v>
      </c>
      <c r="AK260" t="s">
        <v>99</v>
      </c>
      <c r="AL260" t="s">
        <v>3517</v>
      </c>
      <c r="AM260" t="s">
        <v>3518</v>
      </c>
      <c r="AN260" t="s">
        <v>2578</v>
      </c>
      <c r="AR260" t="s">
        <v>125</v>
      </c>
      <c r="AT260" t="s">
        <v>3519</v>
      </c>
      <c r="AV260" t="s">
        <v>128</v>
      </c>
      <c r="AZ260" t="s">
        <v>80</v>
      </c>
    </row>
    <row r="261" spans="1:52" hidden="1" x14ac:dyDescent="0.25">
      <c r="A261" t="s">
        <v>3520</v>
      </c>
      <c r="B261" t="s">
        <v>3521</v>
      </c>
      <c r="C261" t="s">
        <v>3522</v>
      </c>
      <c r="D261" t="s">
        <v>2544</v>
      </c>
      <c r="E261" t="s">
        <v>3523</v>
      </c>
      <c r="F261" t="s">
        <v>3524</v>
      </c>
      <c r="G261" t="s">
        <v>3524</v>
      </c>
      <c r="J261" t="s">
        <v>80</v>
      </c>
      <c r="K261" t="s">
        <v>110</v>
      </c>
      <c r="L261" t="s">
        <v>111</v>
      </c>
      <c r="M261">
        <v>69664</v>
      </c>
      <c r="P261" t="s">
        <v>154</v>
      </c>
      <c r="Q261" t="s">
        <v>3525</v>
      </c>
      <c r="R261" t="s">
        <v>2038</v>
      </c>
      <c r="S261" t="s">
        <v>1006</v>
      </c>
      <c r="T261" t="s">
        <v>2061</v>
      </c>
      <c r="U261" t="s">
        <v>3526</v>
      </c>
      <c r="V261" t="s">
        <v>3527</v>
      </c>
      <c r="W261" t="s">
        <v>3528</v>
      </c>
      <c r="X261" t="s">
        <v>3529</v>
      </c>
      <c r="Y261" t="s">
        <v>93</v>
      </c>
      <c r="Z261" t="s">
        <v>2048</v>
      </c>
      <c r="AA261" t="s">
        <v>3530</v>
      </c>
      <c r="AB261" t="s">
        <v>119</v>
      </c>
      <c r="AC261" t="s">
        <v>3323</v>
      </c>
      <c r="AD261" t="s">
        <v>2048</v>
      </c>
      <c r="AE261" t="s">
        <v>3530</v>
      </c>
      <c r="AF261" t="s">
        <v>119</v>
      </c>
      <c r="AG261" t="s">
        <v>3323</v>
      </c>
      <c r="AI261" t="s">
        <v>3531</v>
      </c>
      <c r="AJ261" t="s">
        <v>2048</v>
      </c>
      <c r="AK261" t="s">
        <v>99</v>
      </c>
      <c r="AL261" t="s">
        <v>3532</v>
      </c>
      <c r="AM261" t="s">
        <v>3518</v>
      </c>
      <c r="AN261" t="s">
        <v>2578</v>
      </c>
      <c r="AR261" t="s">
        <v>125</v>
      </c>
      <c r="AT261" t="s">
        <v>3533</v>
      </c>
      <c r="AV261" t="s">
        <v>128</v>
      </c>
      <c r="AZ261" t="s">
        <v>80</v>
      </c>
    </row>
    <row r="262" spans="1:52" hidden="1" x14ac:dyDescent="0.25">
      <c r="A262" t="s">
        <v>3534</v>
      </c>
      <c r="B262" t="s">
        <v>3535</v>
      </c>
      <c r="C262" t="s">
        <v>3536</v>
      </c>
      <c r="D262" t="s">
        <v>2544</v>
      </c>
      <c r="E262" t="s">
        <v>3537</v>
      </c>
      <c r="F262" t="s">
        <v>3538</v>
      </c>
      <c r="G262" t="s">
        <v>3538</v>
      </c>
      <c r="J262" t="s">
        <v>80</v>
      </c>
      <c r="K262" t="s">
        <v>110</v>
      </c>
      <c r="L262" t="s">
        <v>111</v>
      </c>
      <c r="M262">
        <v>69660</v>
      </c>
      <c r="P262" t="s">
        <v>154</v>
      </c>
      <c r="Q262" t="s">
        <v>3469</v>
      </c>
      <c r="R262" t="s">
        <v>2488</v>
      </c>
      <c r="S262" t="s">
        <v>1016</v>
      </c>
      <c r="T262" t="s">
        <v>674</v>
      </c>
      <c r="U262" t="s">
        <v>3512</v>
      </c>
      <c r="V262" t="s">
        <v>676</v>
      </c>
      <c r="W262" t="s">
        <v>797</v>
      </c>
      <c r="X262" t="s">
        <v>1732</v>
      </c>
      <c r="Y262" t="s">
        <v>93</v>
      </c>
      <c r="Z262" t="s">
        <v>678</v>
      </c>
      <c r="AA262" t="s">
        <v>164</v>
      </c>
      <c r="AB262" t="s">
        <v>119</v>
      </c>
      <c r="AC262" t="s">
        <v>3225</v>
      </c>
      <c r="AD262" t="s">
        <v>678</v>
      </c>
      <c r="AE262" t="s">
        <v>164</v>
      </c>
      <c r="AF262" t="s">
        <v>119</v>
      </c>
      <c r="AG262" t="s">
        <v>3225</v>
      </c>
      <c r="AI262" t="s">
        <v>166</v>
      </c>
      <c r="AJ262" t="s">
        <v>678</v>
      </c>
      <c r="AK262" t="s">
        <v>99</v>
      </c>
      <c r="AL262" t="s">
        <v>3539</v>
      </c>
      <c r="AM262" t="s">
        <v>3540</v>
      </c>
      <c r="AN262" t="s">
        <v>2578</v>
      </c>
      <c r="AR262" t="s">
        <v>125</v>
      </c>
      <c r="AT262" t="s">
        <v>3541</v>
      </c>
      <c r="AV262" t="s">
        <v>190</v>
      </c>
      <c r="AZ262" t="s">
        <v>80</v>
      </c>
    </row>
    <row r="263" spans="1:52" hidden="1" x14ac:dyDescent="0.25">
      <c r="A263" t="s">
        <v>3542</v>
      </c>
      <c r="B263" t="s">
        <v>3543</v>
      </c>
      <c r="C263" t="s">
        <v>3544</v>
      </c>
      <c r="D263" t="s">
        <v>2544</v>
      </c>
      <c r="E263" t="s">
        <v>3545</v>
      </c>
      <c r="F263" t="s">
        <v>3546</v>
      </c>
      <c r="G263" t="s">
        <v>3546</v>
      </c>
      <c r="J263" t="s">
        <v>80</v>
      </c>
      <c r="K263" t="s">
        <v>110</v>
      </c>
      <c r="L263" t="s">
        <v>111</v>
      </c>
      <c r="M263">
        <v>5688</v>
      </c>
      <c r="N263" t="s">
        <v>3547</v>
      </c>
      <c r="P263" t="s">
        <v>2905</v>
      </c>
      <c r="Q263" t="s">
        <v>3548</v>
      </c>
      <c r="R263" t="s">
        <v>1170</v>
      </c>
      <c r="S263" t="s">
        <v>748</v>
      </c>
      <c r="T263" t="s">
        <v>3549</v>
      </c>
      <c r="U263" t="s">
        <v>3550</v>
      </c>
      <c r="W263" t="s">
        <v>161</v>
      </c>
      <c r="X263" t="s">
        <v>3551</v>
      </c>
      <c r="Y263" t="s">
        <v>93</v>
      </c>
      <c r="Z263" t="s">
        <v>472</v>
      </c>
      <c r="AA263" t="s">
        <v>3292</v>
      </c>
      <c r="AB263" t="s">
        <v>2911</v>
      </c>
      <c r="AC263" t="s">
        <v>3552</v>
      </c>
      <c r="AD263" t="s">
        <v>472</v>
      </c>
      <c r="AE263" t="s">
        <v>3292</v>
      </c>
      <c r="AF263" t="s">
        <v>2911</v>
      </c>
      <c r="AG263" t="s">
        <v>3552</v>
      </c>
      <c r="AH263" t="s">
        <v>3553</v>
      </c>
      <c r="AI263" t="s">
        <v>3554</v>
      </c>
      <c r="AJ263" t="s">
        <v>472</v>
      </c>
      <c r="AK263" t="s">
        <v>99</v>
      </c>
      <c r="AL263" t="s">
        <v>3555</v>
      </c>
      <c r="AM263" t="s">
        <v>3556</v>
      </c>
      <c r="AN263" t="s">
        <v>2555</v>
      </c>
      <c r="AR263" t="s">
        <v>125</v>
      </c>
      <c r="AT263" t="s">
        <v>3557</v>
      </c>
      <c r="AV263" t="s">
        <v>128</v>
      </c>
      <c r="AZ263" t="s">
        <v>80</v>
      </c>
    </row>
    <row r="264" spans="1:52" hidden="1" x14ac:dyDescent="0.25">
      <c r="A264" t="s">
        <v>3558</v>
      </c>
      <c r="B264" t="s">
        <v>3559</v>
      </c>
      <c r="C264" t="s">
        <v>3560</v>
      </c>
      <c r="D264" t="s">
        <v>2544</v>
      </c>
      <c r="E264" t="s">
        <v>3561</v>
      </c>
      <c r="F264" t="s">
        <v>3562</v>
      </c>
      <c r="G264" t="s">
        <v>3562</v>
      </c>
      <c r="J264" t="s">
        <v>80</v>
      </c>
      <c r="K264" t="s">
        <v>110</v>
      </c>
      <c r="L264" t="s">
        <v>111</v>
      </c>
      <c r="M264">
        <v>5689</v>
      </c>
      <c r="N264" t="s">
        <v>3563</v>
      </c>
      <c r="P264" t="s">
        <v>2905</v>
      </c>
      <c r="Q264" t="s">
        <v>3548</v>
      </c>
      <c r="R264" t="s">
        <v>1170</v>
      </c>
      <c r="S264" t="s">
        <v>748</v>
      </c>
      <c r="T264" t="s">
        <v>3549</v>
      </c>
      <c r="U264" t="s">
        <v>3550</v>
      </c>
      <c r="W264" t="s">
        <v>161</v>
      </c>
      <c r="X264" t="s">
        <v>3551</v>
      </c>
      <c r="Y264" t="s">
        <v>93</v>
      </c>
      <c r="Z264" t="s">
        <v>2911</v>
      </c>
      <c r="AA264" t="s">
        <v>3564</v>
      </c>
      <c r="AB264" t="s">
        <v>472</v>
      </c>
      <c r="AC264" t="s">
        <v>3565</v>
      </c>
      <c r="AD264" t="s">
        <v>2911</v>
      </c>
      <c r="AE264" t="s">
        <v>3564</v>
      </c>
      <c r="AF264" t="s">
        <v>472</v>
      </c>
      <c r="AG264" t="s">
        <v>3565</v>
      </c>
      <c r="AH264" t="s">
        <v>3566</v>
      </c>
      <c r="AI264" t="s">
        <v>3567</v>
      </c>
      <c r="AJ264" t="s">
        <v>2911</v>
      </c>
      <c r="AK264" t="s">
        <v>99</v>
      </c>
      <c r="AL264" t="s">
        <v>3568</v>
      </c>
      <c r="AM264" t="s">
        <v>3569</v>
      </c>
      <c r="AN264" t="s">
        <v>2555</v>
      </c>
      <c r="AR264" t="s">
        <v>125</v>
      </c>
      <c r="AT264" t="s">
        <v>3570</v>
      </c>
      <c r="AV264" t="s">
        <v>128</v>
      </c>
      <c r="AZ264" t="s">
        <v>80</v>
      </c>
    </row>
    <row r="265" spans="1:52" hidden="1" x14ac:dyDescent="0.25">
      <c r="A265" t="s">
        <v>3571</v>
      </c>
      <c r="B265" t="s">
        <v>3572</v>
      </c>
      <c r="C265" t="s">
        <v>3573</v>
      </c>
      <c r="D265" t="s">
        <v>2544</v>
      </c>
      <c r="E265" t="s">
        <v>3574</v>
      </c>
      <c r="F265" t="s">
        <v>3575</v>
      </c>
      <c r="G265" t="s">
        <v>3575</v>
      </c>
      <c r="J265" t="s">
        <v>80</v>
      </c>
      <c r="K265" t="s">
        <v>110</v>
      </c>
      <c r="L265" t="s">
        <v>111</v>
      </c>
      <c r="M265">
        <v>69861</v>
      </c>
      <c r="N265" t="s">
        <v>3576</v>
      </c>
      <c r="P265" t="s">
        <v>2905</v>
      </c>
      <c r="Q265" t="s">
        <v>1205</v>
      </c>
      <c r="R265" t="s">
        <v>914</v>
      </c>
      <c r="S265" t="s">
        <v>444</v>
      </c>
      <c r="T265" t="s">
        <v>3484</v>
      </c>
      <c r="U265" t="s">
        <v>3485</v>
      </c>
      <c r="V265" t="s">
        <v>3577</v>
      </c>
      <c r="W265" t="s">
        <v>161</v>
      </c>
      <c r="X265" t="s">
        <v>3486</v>
      </c>
      <c r="Y265" t="s">
        <v>93</v>
      </c>
      <c r="Z265" t="s">
        <v>829</v>
      </c>
      <c r="AA265" t="s">
        <v>3578</v>
      </c>
      <c r="AB265" t="s">
        <v>2911</v>
      </c>
      <c r="AC265" t="s">
        <v>3579</v>
      </c>
      <c r="AD265" t="s">
        <v>829</v>
      </c>
      <c r="AE265" t="s">
        <v>3578</v>
      </c>
      <c r="AF265" t="s">
        <v>2911</v>
      </c>
      <c r="AG265" t="s">
        <v>3579</v>
      </c>
      <c r="AH265" t="s">
        <v>3489</v>
      </c>
      <c r="AI265" t="s">
        <v>3580</v>
      </c>
      <c r="AJ265" t="s">
        <v>829</v>
      </c>
      <c r="AK265" t="s">
        <v>99</v>
      </c>
      <c r="AL265" t="s">
        <v>3581</v>
      </c>
      <c r="AM265" t="s">
        <v>3582</v>
      </c>
      <c r="AN265" t="s">
        <v>2555</v>
      </c>
      <c r="AR265" t="s">
        <v>125</v>
      </c>
      <c r="AT265" t="s">
        <v>3583</v>
      </c>
      <c r="AV265" t="s">
        <v>128</v>
      </c>
      <c r="AZ265" t="s">
        <v>80</v>
      </c>
    </row>
    <row r="266" spans="1:52" hidden="1" x14ac:dyDescent="0.25">
      <c r="A266" t="s">
        <v>3584</v>
      </c>
      <c r="B266" t="s">
        <v>3585</v>
      </c>
      <c r="C266" t="s">
        <v>3586</v>
      </c>
      <c r="D266" t="s">
        <v>2544</v>
      </c>
      <c r="E266" t="s">
        <v>3587</v>
      </c>
      <c r="F266" t="s">
        <v>3588</v>
      </c>
      <c r="G266" t="s">
        <v>3588</v>
      </c>
      <c r="J266" t="s">
        <v>80</v>
      </c>
      <c r="K266" t="s">
        <v>110</v>
      </c>
      <c r="L266" t="s">
        <v>111</v>
      </c>
      <c r="M266">
        <v>5686</v>
      </c>
      <c r="N266" t="s">
        <v>3589</v>
      </c>
      <c r="P266" t="s">
        <v>2905</v>
      </c>
      <c r="Q266" t="s">
        <v>3548</v>
      </c>
      <c r="R266" t="s">
        <v>1170</v>
      </c>
      <c r="S266" t="s">
        <v>748</v>
      </c>
      <c r="T266" t="s">
        <v>3549</v>
      </c>
      <c r="U266" t="s">
        <v>3550</v>
      </c>
      <c r="W266" t="s">
        <v>161</v>
      </c>
      <c r="X266" t="s">
        <v>3551</v>
      </c>
      <c r="Y266" t="s">
        <v>93</v>
      </c>
      <c r="Z266" t="s">
        <v>472</v>
      </c>
      <c r="AA266" t="s">
        <v>3590</v>
      </c>
      <c r="AB266" t="s">
        <v>2911</v>
      </c>
      <c r="AC266" t="s">
        <v>3591</v>
      </c>
      <c r="AD266" t="s">
        <v>472</v>
      </c>
      <c r="AE266" t="s">
        <v>3590</v>
      </c>
      <c r="AF266" t="s">
        <v>2911</v>
      </c>
      <c r="AG266" t="s">
        <v>3591</v>
      </c>
      <c r="AH266" t="s">
        <v>3592</v>
      </c>
      <c r="AI266" t="s">
        <v>605</v>
      </c>
      <c r="AJ266" t="s">
        <v>472</v>
      </c>
      <c r="AK266" t="s">
        <v>99</v>
      </c>
      <c r="AL266" t="s">
        <v>3593</v>
      </c>
      <c r="AM266" t="s">
        <v>3594</v>
      </c>
      <c r="AN266" t="s">
        <v>2555</v>
      </c>
      <c r="AR266" t="s">
        <v>125</v>
      </c>
      <c r="AT266" t="s">
        <v>3595</v>
      </c>
      <c r="AV266" t="s">
        <v>128</v>
      </c>
      <c r="AZ266" t="s">
        <v>80</v>
      </c>
    </row>
    <row r="267" spans="1:52" hidden="1" x14ac:dyDescent="0.25">
      <c r="A267" t="s">
        <v>3596</v>
      </c>
      <c r="B267" t="s">
        <v>3597</v>
      </c>
      <c r="C267" t="s">
        <v>3598</v>
      </c>
      <c r="D267" t="s">
        <v>2544</v>
      </c>
      <c r="E267" t="s">
        <v>3599</v>
      </c>
      <c r="F267" t="s">
        <v>3600</v>
      </c>
      <c r="G267" t="s">
        <v>3600</v>
      </c>
      <c r="J267" t="s">
        <v>80</v>
      </c>
      <c r="K267" t="s">
        <v>110</v>
      </c>
      <c r="L267" t="s">
        <v>111</v>
      </c>
      <c r="M267">
        <v>5687</v>
      </c>
      <c r="N267" t="s">
        <v>3601</v>
      </c>
      <c r="P267" t="s">
        <v>2905</v>
      </c>
      <c r="Q267" t="s">
        <v>3548</v>
      </c>
      <c r="R267" t="s">
        <v>1170</v>
      </c>
      <c r="S267" t="s">
        <v>748</v>
      </c>
      <c r="T267" t="s">
        <v>3549</v>
      </c>
      <c r="U267" t="s">
        <v>3550</v>
      </c>
      <c r="W267" t="s">
        <v>161</v>
      </c>
      <c r="X267" t="s">
        <v>3551</v>
      </c>
      <c r="Y267" t="s">
        <v>93</v>
      </c>
      <c r="Z267" t="s">
        <v>2911</v>
      </c>
      <c r="AA267" t="s">
        <v>3602</v>
      </c>
      <c r="AB267" t="s">
        <v>472</v>
      </c>
      <c r="AC267" t="s">
        <v>1824</v>
      </c>
      <c r="AD267" t="s">
        <v>2911</v>
      </c>
      <c r="AE267" t="s">
        <v>3602</v>
      </c>
      <c r="AF267" t="s">
        <v>472</v>
      </c>
      <c r="AG267" t="s">
        <v>1824</v>
      </c>
      <c r="AH267" t="s">
        <v>3566</v>
      </c>
      <c r="AI267" t="s">
        <v>3603</v>
      </c>
      <c r="AJ267" t="s">
        <v>2911</v>
      </c>
      <c r="AK267" t="s">
        <v>99</v>
      </c>
      <c r="AL267" t="s">
        <v>3604</v>
      </c>
      <c r="AM267" t="s">
        <v>3569</v>
      </c>
      <c r="AN267" t="s">
        <v>2555</v>
      </c>
      <c r="AR267" t="s">
        <v>125</v>
      </c>
      <c r="AT267" t="s">
        <v>3605</v>
      </c>
      <c r="AV267" t="s">
        <v>128</v>
      </c>
      <c r="AZ267" t="s">
        <v>80</v>
      </c>
    </row>
    <row r="268" spans="1:52" hidden="1" x14ac:dyDescent="0.25">
      <c r="A268" t="s">
        <v>3606</v>
      </c>
      <c r="B268" t="s">
        <v>3607</v>
      </c>
      <c r="C268" t="s">
        <v>3608</v>
      </c>
      <c r="D268" t="s">
        <v>2544</v>
      </c>
      <c r="E268" t="s">
        <v>3609</v>
      </c>
      <c r="F268" t="s">
        <v>3610</v>
      </c>
      <c r="G268" t="s">
        <v>3610</v>
      </c>
      <c r="J268" t="s">
        <v>80</v>
      </c>
      <c r="K268" t="s">
        <v>110</v>
      </c>
      <c r="L268" t="s">
        <v>111</v>
      </c>
      <c r="M268">
        <v>69880</v>
      </c>
      <c r="N268" t="s">
        <v>3611</v>
      </c>
      <c r="P268" t="s">
        <v>2905</v>
      </c>
      <c r="Q268" t="s">
        <v>1205</v>
      </c>
      <c r="R268" t="s">
        <v>914</v>
      </c>
      <c r="S268" t="s">
        <v>444</v>
      </c>
      <c r="T268" t="s">
        <v>3484</v>
      </c>
      <c r="U268" t="s">
        <v>3500</v>
      </c>
      <c r="V268" t="s">
        <v>1483</v>
      </c>
      <c r="W268" t="s">
        <v>161</v>
      </c>
      <c r="X268" t="s">
        <v>3486</v>
      </c>
      <c r="Y268" t="s">
        <v>93</v>
      </c>
      <c r="Z268" t="s">
        <v>2911</v>
      </c>
      <c r="AA268" t="s">
        <v>3612</v>
      </c>
      <c r="AB268" t="s">
        <v>829</v>
      </c>
      <c r="AC268" t="s">
        <v>3613</v>
      </c>
      <c r="AD268" t="s">
        <v>2911</v>
      </c>
      <c r="AE268" t="s">
        <v>3612</v>
      </c>
      <c r="AF268" t="s">
        <v>829</v>
      </c>
      <c r="AG268" t="s">
        <v>3613</v>
      </c>
      <c r="AH268" t="s">
        <v>3502</v>
      </c>
      <c r="AI268" t="s">
        <v>3614</v>
      </c>
      <c r="AJ268" t="s">
        <v>2911</v>
      </c>
      <c r="AK268" t="s">
        <v>99</v>
      </c>
      <c r="AL268" t="s">
        <v>3615</v>
      </c>
      <c r="AM268" t="s">
        <v>3616</v>
      </c>
      <c r="AN268" t="s">
        <v>2555</v>
      </c>
      <c r="AR268" t="s">
        <v>125</v>
      </c>
      <c r="AT268" t="s">
        <v>3617</v>
      </c>
      <c r="AV268" t="s">
        <v>128</v>
      </c>
      <c r="AZ268" t="s">
        <v>80</v>
      </c>
    </row>
    <row r="269" spans="1:52" hidden="1" x14ac:dyDescent="0.25">
      <c r="A269" t="s">
        <v>3618</v>
      </c>
      <c r="B269" t="s">
        <v>3619</v>
      </c>
      <c r="C269" t="s">
        <v>3620</v>
      </c>
      <c r="D269" t="s">
        <v>2544</v>
      </c>
      <c r="E269" t="s">
        <v>3621</v>
      </c>
      <c r="F269" t="s">
        <v>3622</v>
      </c>
      <c r="G269" t="s">
        <v>3622</v>
      </c>
      <c r="J269" t="s">
        <v>80</v>
      </c>
      <c r="K269" t="s">
        <v>110</v>
      </c>
      <c r="L269" t="s">
        <v>111</v>
      </c>
      <c r="M269">
        <v>5684</v>
      </c>
      <c r="N269" t="s">
        <v>3623</v>
      </c>
      <c r="P269" t="s">
        <v>2905</v>
      </c>
      <c r="Q269" t="s">
        <v>3548</v>
      </c>
      <c r="R269" t="s">
        <v>1170</v>
      </c>
      <c r="S269" t="s">
        <v>748</v>
      </c>
      <c r="T269" t="s">
        <v>3549</v>
      </c>
      <c r="U269" t="s">
        <v>3550</v>
      </c>
      <c r="W269" t="s">
        <v>161</v>
      </c>
      <c r="X269" t="s">
        <v>3551</v>
      </c>
      <c r="Y269" t="s">
        <v>93</v>
      </c>
      <c r="Z269" t="s">
        <v>472</v>
      </c>
      <c r="AA269" t="s">
        <v>3624</v>
      </c>
      <c r="AB269" t="s">
        <v>2911</v>
      </c>
      <c r="AC269" t="s">
        <v>3625</v>
      </c>
      <c r="AD269" t="s">
        <v>472</v>
      </c>
      <c r="AE269" t="s">
        <v>3624</v>
      </c>
      <c r="AF269" t="s">
        <v>2911</v>
      </c>
      <c r="AG269" t="s">
        <v>3625</v>
      </c>
      <c r="AH269" t="s">
        <v>3592</v>
      </c>
      <c r="AI269" t="s">
        <v>3626</v>
      </c>
      <c r="AJ269" t="s">
        <v>472</v>
      </c>
      <c r="AK269" t="s">
        <v>99</v>
      </c>
      <c r="AL269" t="s">
        <v>3627</v>
      </c>
      <c r="AM269" t="s">
        <v>3594</v>
      </c>
      <c r="AN269" t="s">
        <v>2555</v>
      </c>
      <c r="AR269" t="s">
        <v>125</v>
      </c>
      <c r="AT269" t="s">
        <v>3628</v>
      </c>
      <c r="AV269" t="s">
        <v>128</v>
      </c>
      <c r="AZ269" t="s">
        <v>80</v>
      </c>
    </row>
    <row r="270" spans="1:52" hidden="1" x14ac:dyDescent="0.25">
      <c r="A270" t="s">
        <v>3629</v>
      </c>
      <c r="B270" t="s">
        <v>3630</v>
      </c>
      <c r="C270" t="s">
        <v>3631</v>
      </c>
      <c r="D270" t="s">
        <v>2544</v>
      </c>
      <c r="E270" t="s">
        <v>3632</v>
      </c>
      <c r="F270" t="s">
        <v>3633</v>
      </c>
      <c r="G270" t="s">
        <v>3633</v>
      </c>
      <c r="J270" t="s">
        <v>80</v>
      </c>
      <c r="K270" t="s">
        <v>110</v>
      </c>
      <c r="L270" t="s">
        <v>111</v>
      </c>
      <c r="M270">
        <v>5685</v>
      </c>
      <c r="N270" t="s">
        <v>3634</v>
      </c>
      <c r="P270" t="s">
        <v>2905</v>
      </c>
      <c r="Q270" t="s">
        <v>3548</v>
      </c>
      <c r="R270" t="s">
        <v>1170</v>
      </c>
      <c r="S270" t="s">
        <v>748</v>
      </c>
      <c r="T270" t="s">
        <v>3549</v>
      </c>
      <c r="U270" t="s">
        <v>3550</v>
      </c>
      <c r="W270" t="s">
        <v>161</v>
      </c>
      <c r="X270" t="s">
        <v>3551</v>
      </c>
      <c r="Y270" t="s">
        <v>93</v>
      </c>
      <c r="Z270" t="s">
        <v>2911</v>
      </c>
      <c r="AA270" t="s">
        <v>3635</v>
      </c>
      <c r="AB270" t="s">
        <v>472</v>
      </c>
      <c r="AC270" t="s">
        <v>3636</v>
      </c>
      <c r="AD270" t="s">
        <v>2911</v>
      </c>
      <c r="AE270" t="s">
        <v>3635</v>
      </c>
      <c r="AF270" t="s">
        <v>472</v>
      </c>
      <c r="AG270" t="s">
        <v>3636</v>
      </c>
      <c r="AH270" t="s">
        <v>3566</v>
      </c>
      <c r="AI270" t="s">
        <v>1452</v>
      </c>
      <c r="AJ270" t="s">
        <v>2911</v>
      </c>
      <c r="AK270" t="s">
        <v>99</v>
      </c>
      <c r="AL270" t="s">
        <v>3637</v>
      </c>
      <c r="AM270" t="s">
        <v>3569</v>
      </c>
      <c r="AN270" t="s">
        <v>2555</v>
      </c>
      <c r="AR270" t="s">
        <v>125</v>
      </c>
      <c r="AT270" t="s">
        <v>3638</v>
      </c>
      <c r="AV270" t="s">
        <v>128</v>
      </c>
      <c r="AZ270" t="s">
        <v>80</v>
      </c>
    </row>
    <row r="271" spans="1:52" hidden="1" x14ac:dyDescent="0.25">
      <c r="A271" t="s">
        <v>3639</v>
      </c>
      <c r="B271" t="s">
        <v>3640</v>
      </c>
      <c r="C271" t="s">
        <v>3641</v>
      </c>
      <c r="D271" t="s">
        <v>2544</v>
      </c>
      <c r="E271" t="s">
        <v>3642</v>
      </c>
      <c r="F271" t="s">
        <v>3643</v>
      </c>
      <c r="G271" t="s">
        <v>3643</v>
      </c>
      <c r="J271" t="s">
        <v>80</v>
      </c>
      <c r="K271" t="s">
        <v>110</v>
      </c>
      <c r="L271" t="s">
        <v>111</v>
      </c>
      <c r="M271">
        <v>5682</v>
      </c>
      <c r="N271" t="s">
        <v>3644</v>
      </c>
      <c r="P271" t="s">
        <v>2905</v>
      </c>
      <c r="Q271" t="s">
        <v>3548</v>
      </c>
      <c r="R271" t="s">
        <v>1170</v>
      </c>
      <c r="S271" t="s">
        <v>748</v>
      </c>
      <c r="T271" t="s">
        <v>3549</v>
      </c>
      <c r="U271" t="s">
        <v>3550</v>
      </c>
      <c r="W271" t="s">
        <v>161</v>
      </c>
      <c r="X271" t="s">
        <v>3551</v>
      </c>
      <c r="Y271" t="s">
        <v>93</v>
      </c>
      <c r="Z271" t="s">
        <v>472</v>
      </c>
      <c r="AA271" t="s">
        <v>1942</v>
      </c>
      <c r="AB271" t="s">
        <v>2911</v>
      </c>
      <c r="AC271" t="s">
        <v>1837</v>
      </c>
      <c r="AD271" t="s">
        <v>472</v>
      </c>
      <c r="AE271" t="s">
        <v>1942</v>
      </c>
      <c r="AF271" t="s">
        <v>2911</v>
      </c>
      <c r="AG271" t="s">
        <v>1837</v>
      </c>
      <c r="AH271" t="s">
        <v>3553</v>
      </c>
      <c r="AI271" t="s">
        <v>3645</v>
      </c>
      <c r="AJ271" t="s">
        <v>472</v>
      </c>
      <c r="AK271" t="s">
        <v>99</v>
      </c>
      <c r="AL271" t="s">
        <v>3646</v>
      </c>
      <c r="AM271" t="s">
        <v>3647</v>
      </c>
      <c r="AN271" t="s">
        <v>2555</v>
      </c>
      <c r="AR271" t="s">
        <v>125</v>
      </c>
      <c r="AT271" t="s">
        <v>3648</v>
      </c>
      <c r="AV271" t="s">
        <v>128</v>
      </c>
      <c r="AZ271" t="s">
        <v>80</v>
      </c>
    </row>
    <row r="272" spans="1:52" hidden="1" x14ac:dyDescent="0.25">
      <c r="A272" t="s">
        <v>3649</v>
      </c>
      <c r="B272" t="s">
        <v>3650</v>
      </c>
      <c r="C272" t="s">
        <v>3651</v>
      </c>
      <c r="D272" t="s">
        <v>2544</v>
      </c>
      <c r="E272" t="s">
        <v>3652</v>
      </c>
      <c r="F272" t="s">
        <v>3653</v>
      </c>
      <c r="G272" t="s">
        <v>3653</v>
      </c>
      <c r="J272" t="s">
        <v>80</v>
      </c>
      <c r="K272" t="s">
        <v>110</v>
      </c>
      <c r="L272" t="s">
        <v>111</v>
      </c>
      <c r="M272">
        <v>5683</v>
      </c>
      <c r="N272" t="s">
        <v>3654</v>
      </c>
      <c r="P272" t="s">
        <v>2905</v>
      </c>
      <c r="Q272" t="s">
        <v>3548</v>
      </c>
      <c r="R272" t="s">
        <v>1170</v>
      </c>
      <c r="S272" t="s">
        <v>748</v>
      </c>
      <c r="T272" t="s">
        <v>3549</v>
      </c>
      <c r="U272" t="s">
        <v>3550</v>
      </c>
      <c r="W272" t="s">
        <v>161</v>
      </c>
      <c r="X272" t="s">
        <v>3551</v>
      </c>
      <c r="Y272" t="s">
        <v>93</v>
      </c>
      <c r="Z272" t="s">
        <v>2911</v>
      </c>
      <c r="AA272" t="s">
        <v>3655</v>
      </c>
      <c r="AB272" t="s">
        <v>472</v>
      </c>
      <c r="AC272" t="s">
        <v>3656</v>
      </c>
      <c r="AD272" t="s">
        <v>2911</v>
      </c>
      <c r="AE272" t="s">
        <v>3655</v>
      </c>
      <c r="AF272" t="s">
        <v>472</v>
      </c>
      <c r="AG272" t="s">
        <v>3656</v>
      </c>
      <c r="AH272" t="s">
        <v>3566</v>
      </c>
      <c r="AI272" t="s">
        <v>3657</v>
      </c>
      <c r="AJ272" t="s">
        <v>2911</v>
      </c>
      <c r="AK272" t="s">
        <v>99</v>
      </c>
      <c r="AL272" t="s">
        <v>3658</v>
      </c>
      <c r="AM272" t="s">
        <v>3659</v>
      </c>
      <c r="AN272" t="s">
        <v>2555</v>
      </c>
      <c r="AR272" t="s">
        <v>125</v>
      </c>
      <c r="AT272" t="s">
        <v>3660</v>
      </c>
      <c r="AV272" t="s">
        <v>128</v>
      </c>
      <c r="AZ272" t="s">
        <v>80</v>
      </c>
    </row>
    <row r="273" spans="1:52" hidden="1" x14ac:dyDescent="0.25">
      <c r="A273" t="s">
        <v>3661</v>
      </c>
      <c r="B273" t="s">
        <v>3662</v>
      </c>
      <c r="C273" t="s">
        <v>3663</v>
      </c>
      <c r="D273" t="s">
        <v>2544</v>
      </c>
      <c r="E273" t="s">
        <v>3664</v>
      </c>
      <c r="F273" t="s">
        <v>3665</v>
      </c>
      <c r="G273" t="s">
        <v>3665</v>
      </c>
      <c r="J273" t="s">
        <v>80</v>
      </c>
      <c r="K273" t="s">
        <v>110</v>
      </c>
      <c r="L273" t="s">
        <v>111</v>
      </c>
      <c r="M273">
        <v>69857</v>
      </c>
      <c r="N273" t="s">
        <v>3666</v>
      </c>
      <c r="P273" t="s">
        <v>2905</v>
      </c>
      <c r="Q273" t="s">
        <v>1205</v>
      </c>
      <c r="R273" t="s">
        <v>914</v>
      </c>
      <c r="S273" t="s">
        <v>444</v>
      </c>
      <c r="T273" t="s">
        <v>3484</v>
      </c>
      <c r="U273" t="s">
        <v>3485</v>
      </c>
      <c r="V273" t="s">
        <v>3321</v>
      </c>
      <c r="W273" t="s">
        <v>161</v>
      </c>
      <c r="X273" t="s">
        <v>3486</v>
      </c>
      <c r="Y273" t="s">
        <v>93</v>
      </c>
      <c r="Z273" t="s">
        <v>829</v>
      </c>
      <c r="AA273" t="s">
        <v>3667</v>
      </c>
      <c r="AB273" t="s">
        <v>2911</v>
      </c>
      <c r="AC273" t="s">
        <v>3668</v>
      </c>
      <c r="AD273" t="s">
        <v>829</v>
      </c>
      <c r="AE273" t="s">
        <v>3667</v>
      </c>
      <c r="AF273" t="s">
        <v>2911</v>
      </c>
      <c r="AG273" t="s">
        <v>3668</v>
      </c>
      <c r="AH273" t="s">
        <v>3489</v>
      </c>
      <c r="AI273" t="s">
        <v>3669</v>
      </c>
      <c r="AJ273" t="s">
        <v>829</v>
      </c>
      <c r="AK273" t="s">
        <v>99</v>
      </c>
      <c r="AL273" t="s">
        <v>3670</v>
      </c>
      <c r="AM273" t="s">
        <v>3671</v>
      </c>
      <c r="AN273" t="s">
        <v>2555</v>
      </c>
      <c r="AR273" t="s">
        <v>125</v>
      </c>
      <c r="AT273" t="s">
        <v>3672</v>
      </c>
      <c r="AV273" t="s">
        <v>128</v>
      </c>
      <c r="AZ273" t="s">
        <v>80</v>
      </c>
    </row>
    <row r="274" spans="1:52" hidden="1" x14ac:dyDescent="0.25">
      <c r="A274" t="s">
        <v>3673</v>
      </c>
      <c r="B274" t="s">
        <v>3674</v>
      </c>
      <c r="C274" t="s">
        <v>3675</v>
      </c>
      <c r="D274" t="s">
        <v>2544</v>
      </c>
      <c r="E274" t="s">
        <v>3676</v>
      </c>
      <c r="F274" t="s">
        <v>3677</v>
      </c>
      <c r="G274" t="s">
        <v>3677</v>
      </c>
      <c r="J274" t="s">
        <v>80</v>
      </c>
      <c r="K274" t="s">
        <v>110</v>
      </c>
      <c r="L274" t="s">
        <v>111</v>
      </c>
      <c r="M274">
        <v>5680</v>
      </c>
      <c r="N274" t="s">
        <v>3678</v>
      </c>
      <c r="P274" t="s">
        <v>2905</v>
      </c>
      <c r="Q274" t="s">
        <v>3548</v>
      </c>
      <c r="R274" t="s">
        <v>1170</v>
      </c>
      <c r="S274" t="s">
        <v>748</v>
      </c>
      <c r="T274" t="s">
        <v>3549</v>
      </c>
      <c r="U274" t="s">
        <v>3550</v>
      </c>
      <c r="W274" t="s">
        <v>161</v>
      </c>
      <c r="X274" t="s">
        <v>3551</v>
      </c>
      <c r="Y274" t="s">
        <v>93</v>
      </c>
      <c r="Z274" t="s">
        <v>472</v>
      </c>
      <c r="AA274" t="s">
        <v>2363</v>
      </c>
      <c r="AB274" t="s">
        <v>2911</v>
      </c>
      <c r="AC274" t="s">
        <v>3679</v>
      </c>
      <c r="AD274" t="s">
        <v>472</v>
      </c>
      <c r="AE274" t="s">
        <v>2363</v>
      </c>
      <c r="AF274" t="s">
        <v>2911</v>
      </c>
      <c r="AG274" t="s">
        <v>3679</v>
      </c>
      <c r="AH274" t="s">
        <v>3553</v>
      </c>
      <c r="AI274" t="s">
        <v>3680</v>
      </c>
      <c r="AJ274" t="s">
        <v>472</v>
      </c>
      <c r="AK274" t="s">
        <v>99</v>
      </c>
      <c r="AL274" t="s">
        <v>3681</v>
      </c>
      <c r="AM274" t="s">
        <v>3647</v>
      </c>
      <c r="AN274" t="s">
        <v>2555</v>
      </c>
      <c r="AR274" t="s">
        <v>125</v>
      </c>
      <c r="AT274" t="s">
        <v>3682</v>
      </c>
      <c r="AV274" t="s">
        <v>128</v>
      </c>
      <c r="AZ274" t="s">
        <v>80</v>
      </c>
    </row>
    <row r="275" spans="1:52" hidden="1" x14ac:dyDescent="0.25">
      <c r="A275" t="s">
        <v>3683</v>
      </c>
      <c r="B275" t="s">
        <v>3684</v>
      </c>
      <c r="C275" t="s">
        <v>3685</v>
      </c>
      <c r="D275" t="s">
        <v>2544</v>
      </c>
      <c r="E275" t="s">
        <v>3686</v>
      </c>
      <c r="F275" t="s">
        <v>3687</v>
      </c>
      <c r="G275" t="s">
        <v>3687</v>
      </c>
      <c r="J275" t="s">
        <v>80</v>
      </c>
      <c r="K275" t="s">
        <v>110</v>
      </c>
      <c r="L275" t="s">
        <v>111</v>
      </c>
      <c r="M275">
        <v>5681</v>
      </c>
      <c r="N275" t="s">
        <v>3688</v>
      </c>
      <c r="P275" t="s">
        <v>2905</v>
      </c>
      <c r="Q275" t="s">
        <v>3548</v>
      </c>
      <c r="R275" t="s">
        <v>1170</v>
      </c>
      <c r="S275" t="s">
        <v>748</v>
      </c>
      <c r="T275" t="s">
        <v>3549</v>
      </c>
      <c r="U275" t="s">
        <v>3550</v>
      </c>
      <c r="W275" t="s">
        <v>3689</v>
      </c>
      <c r="X275" t="s">
        <v>3690</v>
      </c>
      <c r="Y275" t="s">
        <v>93</v>
      </c>
      <c r="Z275" t="s">
        <v>2911</v>
      </c>
      <c r="AA275" t="s">
        <v>3691</v>
      </c>
      <c r="AB275" t="s">
        <v>472</v>
      </c>
      <c r="AC275" t="s">
        <v>3692</v>
      </c>
      <c r="AD275" t="s">
        <v>2911</v>
      </c>
      <c r="AE275" t="s">
        <v>3691</v>
      </c>
      <c r="AF275" t="s">
        <v>472</v>
      </c>
      <c r="AG275" t="s">
        <v>3692</v>
      </c>
      <c r="AH275" t="s">
        <v>3566</v>
      </c>
      <c r="AI275" t="s">
        <v>3693</v>
      </c>
      <c r="AJ275" t="s">
        <v>2911</v>
      </c>
      <c r="AK275" t="s">
        <v>99</v>
      </c>
      <c r="AL275" t="s">
        <v>3694</v>
      </c>
      <c r="AM275" t="s">
        <v>3659</v>
      </c>
      <c r="AN275" t="s">
        <v>2555</v>
      </c>
      <c r="AR275" t="s">
        <v>125</v>
      </c>
      <c r="AT275" t="s">
        <v>3695</v>
      </c>
      <c r="AV275" t="s">
        <v>128</v>
      </c>
      <c r="AZ275" t="s">
        <v>80</v>
      </c>
    </row>
    <row r="276" spans="1:52" hidden="1" x14ac:dyDescent="0.25">
      <c r="A276" t="s">
        <v>3696</v>
      </c>
      <c r="B276" t="s">
        <v>3684</v>
      </c>
      <c r="C276" t="s">
        <v>3697</v>
      </c>
      <c r="D276" t="s">
        <v>2544</v>
      </c>
      <c r="E276" t="s">
        <v>3698</v>
      </c>
      <c r="F276" t="s">
        <v>3687</v>
      </c>
      <c r="G276" t="s">
        <v>3687</v>
      </c>
      <c r="J276" t="s">
        <v>80</v>
      </c>
      <c r="K276" t="s">
        <v>110</v>
      </c>
      <c r="L276" t="s">
        <v>111</v>
      </c>
      <c r="M276">
        <v>5681</v>
      </c>
      <c r="N276" t="s">
        <v>3688</v>
      </c>
      <c r="P276" t="s">
        <v>2905</v>
      </c>
      <c r="Q276" t="s">
        <v>3548</v>
      </c>
      <c r="R276" t="s">
        <v>1170</v>
      </c>
      <c r="S276" t="s">
        <v>748</v>
      </c>
      <c r="T276" t="s">
        <v>3549</v>
      </c>
      <c r="U276" t="s">
        <v>3550</v>
      </c>
      <c r="W276" t="s">
        <v>3699</v>
      </c>
      <c r="X276" t="s">
        <v>3700</v>
      </c>
      <c r="Y276" t="s">
        <v>93</v>
      </c>
      <c r="Z276" t="s">
        <v>2911</v>
      </c>
      <c r="AA276" t="s">
        <v>3691</v>
      </c>
      <c r="AB276" t="s">
        <v>472</v>
      </c>
      <c r="AC276" t="s">
        <v>3692</v>
      </c>
      <c r="AD276" t="s">
        <v>2911</v>
      </c>
      <c r="AE276" t="s">
        <v>3691</v>
      </c>
      <c r="AF276" t="s">
        <v>472</v>
      </c>
      <c r="AG276" t="s">
        <v>3692</v>
      </c>
      <c r="AH276" t="s">
        <v>3566</v>
      </c>
      <c r="AI276" t="s">
        <v>3693</v>
      </c>
      <c r="AJ276" t="s">
        <v>2911</v>
      </c>
      <c r="AK276" t="s">
        <v>99</v>
      </c>
      <c r="AL276" t="s">
        <v>3701</v>
      </c>
      <c r="AM276" t="s">
        <v>3659</v>
      </c>
      <c r="AN276" t="s">
        <v>2555</v>
      </c>
      <c r="AR276" t="s">
        <v>125</v>
      </c>
      <c r="AT276" t="s">
        <v>3702</v>
      </c>
      <c r="AV276" t="s">
        <v>128</v>
      </c>
      <c r="AZ276" t="s">
        <v>80</v>
      </c>
    </row>
    <row r="277" spans="1:52" hidden="1" x14ac:dyDescent="0.25">
      <c r="A277" t="s">
        <v>3703</v>
      </c>
      <c r="B277" t="s">
        <v>3704</v>
      </c>
      <c r="C277" t="s">
        <v>3705</v>
      </c>
      <c r="D277" t="s">
        <v>2544</v>
      </c>
      <c r="E277" t="s">
        <v>3706</v>
      </c>
      <c r="F277" t="s">
        <v>3707</v>
      </c>
      <c r="G277" t="s">
        <v>3707</v>
      </c>
      <c r="J277" t="s">
        <v>80</v>
      </c>
      <c r="K277" t="s">
        <v>110</v>
      </c>
      <c r="L277" t="s">
        <v>111</v>
      </c>
      <c r="M277">
        <v>5678</v>
      </c>
      <c r="N277" t="s">
        <v>3708</v>
      </c>
      <c r="P277" t="s">
        <v>2905</v>
      </c>
      <c r="Q277" t="s">
        <v>3548</v>
      </c>
      <c r="R277" t="s">
        <v>1170</v>
      </c>
      <c r="S277" t="s">
        <v>748</v>
      </c>
      <c r="T277" t="s">
        <v>3549</v>
      </c>
      <c r="U277" t="s">
        <v>3550</v>
      </c>
      <c r="W277" t="s">
        <v>161</v>
      </c>
      <c r="X277" t="s">
        <v>3551</v>
      </c>
      <c r="Y277" t="s">
        <v>93</v>
      </c>
      <c r="Z277" t="s">
        <v>472</v>
      </c>
      <c r="AA277" t="s">
        <v>3709</v>
      </c>
      <c r="AB277" t="s">
        <v>2911</v>
      </c>
      <c r="AC277" t="s">
        <v>3710</v>
      </c>
      <c r="AD277" t="s">
        <v>472</v>
      </c>
      <c r="AE277" t="s">
        <v>3709</v>
      </c>
      <c r="AF277" t="s">
        <v>2911</v>
      </c>
      <c r="AG277" t="s">
        <v>3710</v>
      </c>
      <c r="AH277" t="s">
        <v>3553</v>
      </c>
      <c r="AI277" t="s">
        <v>3711</v>
      </c>
      <c r="AJ277" t="s">
        <v>472</v>
      </c>
      <c r="AK277" t="s">
        <v>99</v>
      </c>
      <c r="AL277" t="s">
        <v>3712</v>
      </c>
      <c r="AM277" t="s">
        <v>3713</v>
      </c>
      <c r="AN277" t="s">
        <v>2555</v>
      </c>
      <c r="AR277" t="s">
        <v>125</v>
      </c>
      <c r="AT277" t="s">
        <v>3714</v>
      </c>
      <c r="AV277" t="s">
        <v>128</v>
      </c>
      <c r="AZ277" t="s">
        <v>80</v>
      </c>
    </row>
    <row r="278" spans="1:52" hidden="1" x14ac:dyDescent="0.25">
      <c r="A278" t="s">
        <v>3715</v>
      </c>
      <c r="B278" t="s">
        <v>3716</v>
      </c>
      <c r="C278" t="s">
        <v>3717</v>
      </c>
      <c r="D278" t="s">
        <v>2544</v>
      </c>
      <c r="E278" t="s">
        <v>3718</v>
      </c>
      <c r="F278" t="s">
        <v>3719</v>
      </c>
      <c r="G278" t="s">
        <v>3719</v>
      </c>
      <c r="J278" t="s">
        <v>80</v>
      </c>
      <c r="K278" t="s">
        <v>110</v>
      </c>
      <c r="L278" t="s">
        <v>111</v>
      </c>
      <c r="M278">
        <v>5679</v>
      </c>
      <c r="N278" t="s">
        <v>3720</v>
      </c>
      <c r="P278" t="s">
        <v>2905</v>
      </c>
      <c r="Q278" t="s">
        <v>3548</v>
      </c>
      <c r="R278" t="s">
        <v>1170</v>
      </c>
      <c r="S278" t="s">
        <v>748</v>
      </c>
      <c r="T278" t="s">
        <v>3549</v>
      </c>
      <c r="U278" t="s">
        <v>3550</v>
      </c>
      <c r="W278" t="s">
        <v>161</v>
      </c>
      <c r="X278" t="s">
        <v>3551</v>
      </c>
      <c r="Y278" t="s">
        <v>93</v>
      </c>
      <c r="Z278" t="s">
        <v>2911</v>
      </c>
      <c r="AA278" t="s">
        <v>3721</v>
      </c>
      <c r="AB278" t="s">
        <v>472</v>
      </c>
      <c r="AC278" t="s">
        <v>2376</v>
      </c>
      <c r="AD278" t="s">
        <v>2911</v>
      </c>
      <c r="AE278" t="s">
        <v>3721</v>
      </c>
      <c r="AF278" t="s">
        <v>472</v>
      </c>
      <c r="AG278" t="s">
        <v>2376</v>
      </c>
      <c r="AH278" t="s">
        <v>3566</v>
      </c>
      <c r="AI278" t="s">
        <v>3722</v>
      </c>
      <c r="AJ278" t="s">
        <v>2911</v>
      </c>
      <c r="AK278" t="s">
        <v>99</v>
      </c>
      <c r="AL278" t="s">
        <v>3723</v>
      </c>
      <c r="AM278" t="s">
        <v>3659</v>
      </c>
      <c r="AN278" t="s">
        <v>2555</v>
      </c>
      <c r="AR278" t="s">
        <v>125</v>
      </c>
      <c r="AT278" t="s">
        <v>3724</v>
      </c>
      <c r="AV278" t="s">
        <v>128</v>
      </c>
      <c r="AZ278" t="s">
        <v>80</v>
      </c>
    </row>
    <row r="279" spans="1:52" hidden="1" x14ac:dyDescent="0.25">
      <c r="A279" t="s">
        <v>3725</v>
      </c>
      <c r="B279" t="s">
        <v>3726</v>
      </c>
      <c r="C279" t="s">
        <v>3727</v>
      </c>
      <c r="D279" t="s">
        <v>2544</v>
      </c>
      <c r="E279" t="s">
        <v>3728</v>
      </c>
      <c r="F279" t="s">
        <v>3729</v>
      </c>
      <c r="G279" t="s">
        <v>3729</v>
      </c>
      <c r="J279" t="s">
        <v>80</v>
      </c>
      <c r="K279" t="s">
        <v>110</v>
      </c>
      <c r="L279" t="s">
        <v>111</v>
      </c>
      <c r="M279">
        <v>69876</v>
      </c>
      <c r="N279" t="s">
        <v>3730</v>
      </c>
      <c r="P279" t="s">
        <v>2905</v>
      </c>
      <c r="Q279" t="s">
        <v>1205</v>
      </c>
      <c r="R279" t="s">
        <v>914</v>
      </c>
      <c r="S279" t="s">
        <v>444</v>
      </c>
      <c r="T279" t="s">
        <v>3484</v>
      </c>
      <c r="U279" t="s">
        <v>3500</v>
      </c>
      <c r="V279" t="s">
        <v>1483</v>
      </c>
      <c r="W279" t="s">
        <v>161</v>
      </c>
      <c r="X279" t="s">
        <v>3486</v>
      </c>
      <c r="Y279" t="s">
        <v>93</v>
      </c>
      <c r="Z279" t="s">
        <v>2911</v>
      </c>
      <c r="AA279" t="s">
        <v>3731</v>
      </c>
      <c r="AB279" t="s">
        <v>829</v>
      </c>
      <c r="AC279" t="s">
        <v>3732</v>
      </c>
      <c r="AD279" t="s">
        <v>2911</v>
      </c>
      <c r="AE279" t="s">
        <v>3731</v>
      </c>
      <c r="AF279" t="s">
        <v>829</v>
      </c>
      <c r="AG279" t="s">
        <v>3732</v>
      </c>
      <c r="AH279" t="s">
        <v>3502</v>
      </c>
      <c r="AI279" t="s">
        <v>1257</v>
      </c>
      <c r="AJ279" t="s">
        <v>2911</v>
      </c>
      <c r="AK279" t="s">
        <v>99</v>
      </c>
      <c r="AL279" t="s">
        <v>3733</v>
      </c>
      <c r="AM279" t="s">
        <v>3616</v>
      </c>
      <c r="AN279" t="s">
        <v>2555</v>
      </c>
      <c r="AR279" t="s">
        <v>125</v>
      </c>
      <c r="AT279" t="s">
        <v>3734</v>
      </c>
      <c r="AV279" t="s">
        <v>128</v>
      </c>
      <c r="AZ279" t="s">
        <v>80</v>
      </c>
    </row>
    <row r="280" spans="1:52" hidden="1" x14ac:dyDescent="0.25">
      <c r="A280" t="s">
        <v>3735</v>
      </c>
      <c r="B280" t="s">
        <v>3736</v>
      </c>
      <c r="C280" t="s">
        <v>3737</v>
      </c>
      <c r="D280" t="s">
        <v>2544</v>
      </c>
      <c r="E280" t="s">
        <v>3738</v>
      </c>
      <c r="F280" t="s">
        <v>3739</v>
      </c>
      <c r="G280" t="s">
        <v>3739</v>
      </c>
      <c r="J280" t="s">
        <v>80</v>
      </c>
      <c r="K280" t="s">
        <v>110</v>
      </c>
      <c r="L280" t="s">
        <v>111</v>
      </c>
      <c r="M280">
        <v>5376</v>
      </c>
      <c r="N280" t="s">
        <v>3740</v>
      </c>
      <c r="P280" t="s">
        <v>3288</v>
      </c>
      <c r="Q280" t="s">
        <v>1205</v>
      </c>
      <c r="R280" t="s">
        <v>774</v>
      </c>
      <c r="S280" t="s">
        <v>444</v>
      </c>
      <c r="T280" t="s">
        <v>3549</v>
      </c>
      <c r="U280" t="s">
        <v>3550</v>
      </c>
      <c r="W280" t="s">
        <v>161</v>
      </c>
      <c r="X280" t="s">
        <v>3551</v>
      </c>
      <c r="Y280" t="s">
        <v>93</v>
      </c>
      <c r="Z280" t="s">
        <v>472</v>
      </c>
      <c r="AA280" t="s">
        <v>2229</v>
      </c>
      <c r="AB280" t="s">
        <v>2911</v>
      </c>
      <c r="AC280" t="s">
        <v>3741</v>
      </c>
      <c r="AD280" t="s">
        <v>472</v>
      </c>
      <c r="AE280" t="s">
        <v>2229</v>
      </c>
      <c r="AF280" t="s">
        <v>2911</v>
      </c>
      <c r="AG280" t="s">
        <v>3741</v>
      </c>
      <c r="AH280" t="s">
        <v>3742</v>
      </c>
      <c r="AI280" t="s">
        <v>3743</v>
      </c>
      <c r="AJ280" t="s">
        <v>472</v>
      </c>
      <c r="AK280" t="s">
        <v>99</v>
      </c>
      <c r="AL280" t="s">
        <v>3744</v>
      </c>
      <c r="AM280" t="s">
        <v>3745</v>
      </c>
      <c r="AN280" t="s">
        <v>2555</v>
      </c>
      <c r="AR280" t="s">
        <v>125</v>
      </c>
      <c r="AT280" t="s">
        <v>3746</v>
      </c>
      <c r="AZ280" t="s">
        <v>80</v>
      </c>
    </row>
    <row r="281" spans="1:52" hidden="1" x14ac:dyDescent="0.25">
      <c r="A281" t="s">
        <v>3747</v>
      </c>
      <c r="B281" t="s">
        <v>3748</v>
      </c>
      <c r="C281" t="s">
        <v>3749</v>
      </c>
      <c r="D281" t="s">
        <v>2544</v>
      </c>
      <c r="E281" t="s">
        <v>3750</v>
      </c>
      <c r="F281" t="s">
        <v>3751</v>
      </c>
      <c r="G281" t="s">
        <v>3751</v>
      </c>
      <c r="J281" t="s">
        <v>80</v>
      </c>
      <c r="K281" t="s">
        <v>110</v>
      </c>
      <c r="L281" t="s">
        <v>111</v>
      </c>
      <c r="M281">
        <v>5676</v>
      </c>
      <c r="N281" t="s">
        <v>3752</v>
      </c>
      <c r="P281" t="s">
        <v>2905</v>
      </c>
      <c r="Q281" t="s">
        <v>3548</v>
      </c>
      <c r="R281" t="s">
        <v>1170</v>
      </c>
      <c r="S281" t="s">
        <v>748</v>
      </c>
      <c r="T281" t="s">
        <v>3549</v>
      </c>
      <c r="U281" t="s">
        <v>3550</v>
      </c>
      <c r="W281" t="s">
        <v>161</v>
      </c>
      <c r="X281" t="s">
        <v>3551</v>
      </c>
      <c r="Y281" t="s">
        <v>93</v>
      </c>
      <c r="Z281" t="s">
        <v>472</v>
      </c>
      <c r="AA281" t="s">
        <v>3753</v>
      </c>
      <c r="AB281" t="s">
        <v>2911</v>
      </c>
      <c r="AC281" t="s">
        <v>3754</v>
      </c>
      <c r="AD281" t="s">
        <v>472</v>
      </c>
      <c r="AE281" t="s">
        <v>3753</v>
      </c>
      <c r="AF281" t="s">
        <v>2911</v>
      </c>
      <c r="AG281" t="s">
        <v>3754</v>
      </c>
      <c r="AH281" t="s">
        <v>3592</v>
      </c>
      <c r="AI281" t="s">
        <v>3755</v>
      </c>
      <c r="AJ281" t="s">
        <v>472</v>
      </c>
      <c r="AK281" t="s">
        <v>99</v>
      </c>
      <c r="AL281" t="s">
        <v>3756</v>
      </c>
      <c r="AM281" t="s">
        <v>3713</v>
      </c>
      <c r="AN281" t="s">
        <v>2555</v>
      </c>
      <c r="AR281" t="s">
        <v>125</v>
      </c>
      <c r="AT281" t="s">
        <v>3757</v>
      </c>
      <c r="AV281" t="s">
        <v>128</v>
      </c>
      <c r="AZ281" t="s">
        <v>80</v>
      </c>
    </row>
    <row r="282" spans="1:52" hidden="1" x14ac:dyDescent="0.25">
      <c r="A282" t="s">
        <v>3758</v>
      </c>
      <c r="B282" t="s">
        <v>3759</v>
      </c>
      <c r="C282" t="s">
        <v>3760</v>
      </c>
      <c r="D282" t="s">
        <v>2544</v>
      </c>
      <c r="E282" t="s">
        <v>3761</v>
      </c>
      <c r="F282" t="s">
        <v>3762</v>
      </c>
      <c r="G282" t="s">
        <v>3762</v>
      </c>
      <c r="J282" t="s">
        <v>80</v>
      </c>
      <c r="K282" t="s">
        <v>110</v>
      </c>
      <c r="L282" t="s">
        <v>111</v>
      </c>
      <c r="M282">
        <v>5677</v>
      </c>
      <c r="N282" t="s">
        <v>3763</v>
      </c>
      <c r="P282" t="s">
        <v>2905</v>
      </c>
      <c r="Q282" t="s">
        <v>3548</v>
      </c>
      <c r="R282" t="s">
        <v>1170</v>
      </c>
      <c r="S282" t="s">
        <v>748</v>
      </c>
      <c r="T282" t="s">
        <v>3549</v>
      </c>
      <c r="U282" t="s">
        <v>3550</v>
      </c>
      <c r="W282" t="s">
        <v>161</v>
      </c>
      <c r="X282" t="s">
        <v>3551</v>
      </c>
      <c r="Y282" t="s">
        <v>93</v>
      </c>
      <c r="Z282" t="s">
        <v>2911</v>
      </c>
      <c r="AA282" t="s">
        <v>3764</v>
      </c>
      <c r="AB282" t="s">
        <v>472</v>
      </c>
      <c r="AC282" t="s">
        <v>3765</v>
      </c>
      <c r="AD282" t="s">
        <v>2911</v>
      </c>
      <c r="AE282" t="s">
        <v>3764</v>
      </c>
      <c r="AF282" t="s">
        <v>472</v>
      </c>
      <c r="AG282" t="s">
        <v>3765</v>
      </c>
      <c r="AH282" t="s">
        <v>3766</v>
      </c>
      <c r="AI282" t="s">
        <v>3767</v>
      </c>
      <c r="AJ282" t="s">
        <v>2911</v>
      </c>
      <c r="AK282" t="s">
        <v>99</v>
      </c>
      <c r="AL282" t="s">
        <v>3768</v>
      </c>
      <c r="AM282" t="s">
        <v>3769</v>
      </c>
      <c r="AN282" t="s">
        <v>2555</v>
      </c>
      <c r="AR282" t="s">
        <v>125</v>
      </c>
      <c r="AT282" t="s">
        <v>3770</v>
      </c>
      <c r="AV282" t="s">
        <v>128</v>
      </c>
      <c r="AZ282" t="s">
        <v>80</v>
      </c>
    </row>
    <row r="283" spans="1:52" hidden="1" x14ac:dyDescent="0.25">
      <c r="A283" t="s">
        <v>3771</v>
      </c>
      <c r="B283" t="s">
        <v>3772</v>
      </c>
      <c r="C283" t="s">
        <v>3773</v>
      </c>
      <c r="D283" t="s">
        <v>2544</v>
      </c>
      <c r="E283" t="s">
        <v>3774</v>
      </c>
      <c r="F283" t="s">
        <v>3775</v>
      </c>
      <c r="G283" t="s">
        <v>3775</v>
      </c>
      <c r="J283" t="s">
        <v>80</v>
      </c>
      <c r="K283" t="s">
        <v>110</v>
      </c>
      <c r="L283" t="s">
        <v>111</v>
      </c>
      <c r="M283">
        <v>5674</v>
      </c>
      <c r="N283" t="s">
        <v>3776</v>
      </c>
      <c r="P283" t="s">
        <v>2905</v>
      </c>
      <c r="Q283" t="s">
        <v>3548</v>
      </c>
      <c r="R283" t="s">
        <v>1170</v>
      </c>
      <c r="S283" t="s">
        <v>748</v>
      </c>
      <c r="T283" t="s">
        <v>3549</v>
      </c>
      <c r="U283" t="s">
        <v>3550</v>
      </c>
      <c r="W283" t="s">
        <v>161</v>
      </c>
      <c r="X283" t="s">
        <v>3551</v>
      </c>
      <c r="Y283" t="s">
        <v>93</v>
      </c>
      <c r="Z283" t="s">
        <v>472</v>
      </c>
      <c r="AA283" t="s">
        <v>3777</v>
      </c>
      <c r="AB283" t="s">
        <v>2911</v>
      </c>
      <c r="AC283" t="s">
        <v>3778</v>
      </c>
      <c r="AD283" t="s">
        <v>472</v>
      </c>
      <c r="AE283" t="s">
        <v>3777</v>
      </c>
      <c r="AF283" t="s">
        <v>2911</v>
      </c>
      <c r="AG283" t="s">
        <v>3778</v>
      </c>
      <c r="AH283" t="s">
        <v>3553</v>
      </c>
      <c r="AI283" t="s">
        <v>3779</v>
      </c>
      <c r="AJ283" t="s">
        <v>472</v>
      </c>
      <c r="AK283" t="s">
        <v>99</v>
      </c>
      <c r="AL283" t="s">
        <v>3780</v>
      </c>
      <c r="AM283" t="s">
        <v>3781</v>
      </c>
      <c r="AN283" t="s">
        <v>2555</v>
      </c>
      <c r="AR283" t="s">
        <v>125</v>
      </c>
      <c r="AT283" t="s">
        <v>3782</v>
      </c>
      <c r="AV283" t="s">
        <v>128</v>
      </c>
      <c r="AZ283" t="s">
        <v>80</v>
      </c>
    </row>
    <row r="284" spans="1:52" hidden="1" x14ac:dyDescent="0.25">
      <c r="A284" t="s">
        <v>3783</v>
      </c>
      <c r="B284" t="s">
        <v>3784</v>
      </c>
      <c r="C284" t="s">
        <v>3785</v>
      </c>
      <c r="D284" t="s">
        <v>2544</v>
      </c>
      <c r="E284" t="s">
        <v>3786</v>
      </c>
      <c r="F284" t="s">
        <v>3787</v>
      </c>
      <c r="G284" t="s">
        <v>3787</v>
      </c>
      <c r="J284" t="s">
        <v>80</v>
      </c>
      <c r="K284" t="s">
        <v>110</v>
      </c>
      <c r="L284" t="s">
        <v>111</v>
      </c>
      <c r="M284">
        <v>5675</v>
      </c>
      <c r="N284" t="s">
        <v>3788</v>
      </c>
      <c r="P284" t="s">
        <v>2905</v>
      </c>
      <c r="Q284" t="s">
        <v>3548</v>
      </c>
      <c r="R284" t="s">
        <v>1170</v>
      </c>
      <c r="S284" t="s">
        <v>748</v>
      </c>
      <c r="T284" t="s">
        <v>3549</v>
      </c>
      <c r="U284" t="s">
        <v>3550</v>
      </c>
      <c r="W284" t="s">
        <v>161</v>
      </c>
      <c r="X284" t="s">
        <v>3551</v>
      </c>
      <c r="Y284" t="s">
        <v>93</v>
      </c>
      <c r="Z284" t="s">
        <v>2911</v>
      </c>
      <c r="AA284" t="s">
        <v>3789</v>
      </c>
      <c r="AB284" t="s">
        <v>472</v>
      </c>
      <c r="AC284" t="s">
        <v>3790</v>
      </c>
      <c r="AD284" t="s">
        <v>2911</v>
      </c>
      <c r="AE284" t="s">
        <v>3789</v>
      </c>
      <c r="AF284" t="s">
        <v>472</v>
      </c>
      <c r="AG284" t="s">
        <v>3790</v>
      </c>
      <c r="AH284" t="s">
        <v>3566</v>
      </c>
      <c r="AI284" t="s">
        <v>3791</v>
      </c>
      <c r="AJ284" t="s">
        <v>2911</v>
      </c>
      <c r="AK284" t="s">
        <v>99</v>
      </c>
      <c r="AL284" t="s">
        <v>3792</v>
      </c>
      <c r="AM284" t="s">
        <v>3769</v>
      </c>
      <c r="AN284" t="s">
        <v>2555</v>
      </c>
      <c r="AR284" t="s">
        <v>125</v>
      </c>
      <c r="AT284" t="s">
        <v>3793</v>
      </c>
      <c r="AV284" t="s">
        <v>128</v>
      </c>
      <c r="AZ284" t="s">
        <v>80</v>
      </c>
    </row>
    <row r="285" spans="1:52" hidden="1" x14ac:dyDescent="0.25">
      <c r="A285" t="s">
        <v>3794</v>
      </c>
      <c r="B285" t="s">
        <v>3795</v>
      </c>
      <c r="C285" t="s">
        <v>3796</v>
      </c>
      <c r="D285" t="s">
        <v>2544</v>
      </c>
      <c r="E285" t="s">
        <v>3797</v>
      </c>
      <c r="F285" t="s">
        <v>3798</v>
      </c>
      <c r="G285" t="s">
        <v>3798</v>
      </c>
      <c r="J285" t="s">
        <v>80</v>
      </c>
      <c r="K285" t="s">
        <v>110</v>
      </c>
      <c r="L285" t="s">
        <v>111</v>
      </c>
      <c r="M285">
        <v>5377</v>
      </c>
      <c r="N285" t="s">
        <v>3799</v>
      </c>
      <c r="P285" t="s">
        <v>3288</v>
      </c>
      <c r="Q285" t="s">
        <v>1205</v>
      </c>
      <c r="R285" t="s">
        <v>774</v>
      </c>
      <c r="S285" t="s">
        <v>444</v>
      </c>
      <c r="T285" t="s">
        <v>3549</v>
      </c>
      <c r="U285" t="s">
        <v>3550</v>
      </c>
      <c r="W285" t="s">
        <v>161</v>
      </c>
      <c r="X285" t="s">
        <v>3551</v>
      </c>
      <c r="Y285" t="s">
        <v>93</v>
      </c>
      <c r="Z285" t="s">
        <v>2911</v>
      </c>
      <c r="AA285" t="s">
        <v>1869</v>
      </c>
      <c r="AB285" t="s">
        <v>472</v>
      </c>
      <c r="AC285" t="s">
        <v>2854</v>
      </c>
      <c r="AD285" t="s">
        <v>2911</v>
      </c>
      <c r="AE285" t="s">
        <v>1869</v>
      </c>
      <c r="AF285" t="s">
        <v>472</v>
      </c>
      <c r="AG285" t="s">
        <v>2854</v>
      </c>
      <c r="AH285" t="s">
        <v>3800</v>
      </c>
      <c r="AI285" t="s">
        <v>3801</v>
      </c>
      <c r="AJ285" t="s">
        <v>2911</v>
      </c>
      <c r="AK285" t="s">
        <v>99</v>
      </c>
      <c r="AL285" t="s">
        <v>3802</v>
      </c>
      <c r="AM285" t="s">
        <v>3803</v>
      </c>
      <c r="AN285" t="s">
        <v>2555</v>
      </c>
      <c r="AR285" t="s">
        <v>125</v>
      </c>
      <c r="AT285" t="s">
        <v>3804</v>
      </c>
      <c r="AZ285" t="s">
        <v>80</v>
      </c>
    </row>
    <row r="286" spans="1:52" hidden="1" x14ac:dyDescent="0.25">
      <c r="A286" t="s">
        <v>3805</v>
      </c>
      <c r="B286" t="s">
        <v>3806</v>
      </c>
      <c r="C286" t="s">
        <v>3807</v>
      </c>
      <c r="D286" t="s">
        <v>2544</v>
      </c>
      <c r="E286" t="s">
        <v>3808</v>
      </c>
      <c r="F286" t="s">
        <v>3809</v>
      </c>
      <c r="G286" t="s">
        <v>3809</v>
      </c>
      <c r="J286" t="s">
        <v>80</v>
      </c>
      <c r="K286" t="s">
        <v>110</v>
      </c>
      <c r="L286" t="s">
        <v>111</v>
      </c>
      <c r="M286">
        <v>69855</v>
      </c>
      <c r="N286" t="s">
        <v>3810</v>
      </c>
      <c r="P286" t="s">
        <v>2905</v>
      </c>
      <c r="Q286" t="s">
        <v>1205</v>
      </c>
      <c r="R286" t="s">
        <v>914</v>
      </c>
      <c r="S286" t="s">
        <v>444</v>
      </c>
      <c r="T286" t="s">
        <v>3484</v>
      </c>
      <c r="U286" t="s">
        <v>3485</v>
      </c>
      <c r="V286" t="s">
        <v>3321</v>
      </c>
      <c r="W286" t="s">
        <v>161</v>
      </c>
      <c r="X286" t="s">
        <v>3486</v>
      </c>
      <c r="Y286" t="s">
        <v>93</v>
      </c>
      <c r="Z286" t="s">
        <v>829</v>
      </c>
      <c r="AA286" t="s">
        <v>3811</v>
      </c>
      <c r="AB286" t="s">
        <v>2911</v>
      </c>
      <c r="AC286" t="s">
        <v>3812</v>
      </c>
      <c r="AD286" t="s">
        <v>829</v>
      </c>
      <c r="AE286" t="s">
        <v>3811</v>
      </c>
      <c r="AF286" t="s">
        <v>2911</v>
      </c>
      <c r="AG286" t="s">
        <v>3812</v>
      </c>
      <c r="AH286" t="s">
        <v>3489</v>
      </c>
      <c r="AI286" t="s">
        <v>3813</v>
      </c>
      <c r="AJ286" t="s">
        <v>829</v>
      </c>
      <c r="AK286" t="s">
        <v>99</v>
      </c>
      <c r="AL286" t="s">
        <v>3814</v>
      </c>
      <c r="AM286" t="s">
        <v>3671</v>
      </c>
      <c r="AN286" t="s">
        <v>2555</v>
      </c>
      <c r="AR286" t="s">
        <v>125</v>
      </c>
      <c r="AT286" t="s">
        <v>3815</v>
      </c>
      <c r="AV286" t="s">
        <v>128</v>
      </c>
      <c r="AZ286" t="s">
        <v>80</v>
      </c>
    </row>
    <row r="287" spans="1:52" hidden="1" x14ac:dyDescent="0.25">
      <c r="A287" t="s">
        <v>3816</v>
      </c>
      <c r="B287" t="s">
        <v>3817</v>
      </c>
      <c r="C287" t="s">
        <v>3818</v>
      </c>
      <c r="D287" t="s">
        <v>2544</v>
      </c>
      <c r="E287" t="s">
        <v>3819</v>
      </c>
      <c r="F287" t="s">
        <v>3820</v>
      </c>
      <c r="G287" t="s">
        <v>3820</v>
      </c>
      <c r="J287" t="s">
        <v>80</v>
      </c>
      <c r="K287" t="s">
        <v>110</v>
      </c>
      <c r="L287" t="s">
        <v>111</v>
      </c>
      <c r="M287">
        <v>69874</v>
      </c>
      <c r="N287" t="s">
        <v>3821</v>
      </c>
      <c r="P287" t="s">
        <v>2905</v>
      </c>
      <c r="Q287" t="s">
        <v>1205</v>
      </c>
      <c r="R287" t="s">
        <v>914</v>
      </c>
      <c r="S287" t="s">
        <v>444</v>
      </c>
      <c r="T287" t="s">
        <v>3484</v>
      </c>
      <c r="U287" t="s">
        <v>3500</v>
      </c>
      <c r="V287" t="s">
        <v>1483</v>
      </c>
      <c r="W287" t="s">
        <v>161</v>
      </c>
      <c r="X287" t="s">
        <v>3486</v>
      </c>
      <c r="Y287" t="s">
        <v>93</v>
      </c>
      <c r="Z287" t="s">
        <v>2911</v>
      </c>
      <c r="AA287" t="s">
        <v>3822</v>
      </c>
      <c r="AB287" t="s">
        <v>829</v>
      </c>
      <c r="AC287" t="s">
        <v>3823</v>
      </c>
      <c r="AD287" t="s">
        <v>2911</v>
      </c>
      <c r="AE287" t="s">
        <v>3822</v>
      </c>
      <c r="AF287" t="s">
        <v>829</v>
      </c>
      <c r="AG287" t="s">
        <v>3823</v>
      </c>
      <c r="AH287" t="s">
        <v>3502</v>
      </c>
      <c r="AI287" t="s">
        <v>351</v>
      </c>
      <c r="AJ287" t="s">
        <v>2911</v>
      </c>
      <c r="AK287" t="s">
        <v>99</v>
      </c>
      <c r="AL287" t="s">
        <v>3824</v>
      </c>
      <c r="AM287" t="s">
        <v>3825</v>
      </c>
      <c r="AN287" t="s">
        <v>2555</v>
      </c>
      <c r="AR287" t="s">
        <v>125</v>
      </c>
      <c r="AT287" t="s">
        <v>3826</v>
      </c>
      <c r="AV287" t="s">
        <v>128</v>
      </c>
      <c r="AZ287" t="s">
        <v>80</v>
      </c>
    </row>
    <row r="288" spans="1:52" hidden="1" x14ac:dyDescent="0.25">
      <c r="A288" t="s">
        <v>3827</v>
      </c>
      <c r="B288" t="s">
        <v>3828</v>
      </c>
      <c r="C288" t="s">
        <v>3829</v>
      </c>
      <c r="D288" t="s">
        <v>2544</v>
      </c>
      <c r="E288" t="s">
        <v>3830</v>
      </c>
      <c r="F288" t="s">
        <v>3831</v>
      </c>
      <c r="G288" t="s">
        <v>3831</v>
      </c>
      <c r="J288" t="s">
        <v>80</v>
      </c>
      <c r="K288" t="s">
        <v>110</v>
      </c>
      <c r="L288" t="s">
        <v>111</v>
      </c>
      <c r="M288">
        <v>69853</v>
      </c>
      <c r="N288" t="s">
        <v>3832</v>
      </c>
      <c r="P288" t="s">
        <v>2905</v>
      </c>
      <c r="Q288" t="s">
        <v>1205</v>
      </c>
      <c r="R288" t="s">
        <v>914</v>
      </c>
      <c r="S288" t="s">
        <v>444</v>
      </c>
      <c r="T288" t="s">
        <v>3484</v>
      </c>
      <c r="U288" t="s">
        <v>3485</v>
      </c>
      <c r="V288" t="s">
        <v>3321</v>
      </c>
      <c r="W288" t="s">
        <v>161</v>
      </c>
      <c r="X288" t="s">
        <v>3486</v>
      </c>
      <c r="Y288" t="s">
        <v>93</v>
      </c>
      <c r="Z288" t="s">
        <v>829</v>
      </c>
      <c r="AA288" t="s">
        <v>3833</v>
      </c>
      <c r="AB288" t="s">
        <v>2911</v>
      </c>
      <c r="AC288" t="s">
        <v>3129</v>
      </c>
      <c r="AD288" t="s">
        <v>829</v>
      </c>
      <c r="AE288" t="s">
        <v>3833</v>
      </c>
      <c r="AF288" t="s">
        <v>2911</v>
      </c>
      <c r="AG288" t="s">
        <v>3129</v>
      </c>
      <c r="AH288" t="s">
        <v>3489</v>
      </c>
      <c r="AI288" t="s">
        <v>3834</v>
      </c>
      <c r="AJ288" t="s">
        <v>829</v>
      </c>
      <c r="AK288" t="s">
        <v>99</v>
      </c>
      <c r="AL288" t="s">
        <v>3835</v>
      </c>
      <c r="AM288" t="s">
        <v>3671</v>
      </c>
      <c r="AN288" t="s">
        <v>2555</v>
      </c>
      <c r="AR288" t="s">
        <v>125</v>
      </c>
      <c r="AT288" t="s">
        <v>3836</v>
      </c>
      <c r="AV288" t="s">
        <v>128</v>
      </c>
      <c r="AZ288" t="s">
        <v>80</v>
      </c>
    </row>
    <row r="289" spans="1:52" hidden="1" x14ac:dyDescent="0.25">
      <c r="A289" t="s">
        <v>3837</v>
      </c>
      <c r="B289" t="s">
        <v>3838</v>
      </c>
      <c r="C289" t="s">
        <v>3839</v>
      </c>
      <c r="D289" t="s">
        <v>2544</v>
      </c>
      <c r="E289" t="s">
        <v>3840</v>
      </c>
      <c r="F289" t="s">
        <v>3841</v>
      </c>
      <c r="G289" t="s">
        <v>3841</v>
      </c>
      <c r="J289" t="s">
        <v>80</v>
      </c>
      <c r="K289" t="s">
        <v>110</v>
      </c>
      <c r="L289" t="s">
        <v>111</v>
      </c>
      <c r="M289">
        <v>5672</v>
      </c>
      <c r="N289" t="s">
        <v>3842</v>
      </c>
      <c r="P289" t="s">
        <v>2905</v>
      </c>
      <c r="Q289" t="s">
        <v>3548</v>
      </c>
      <c r="R289" t="s">
        <v>1170</v>
      </c>
      <c r="S289" t="s">
        <v>748</v>
      </c>
      <c r="T289" t="s">
        <v>3549</v>
      </c>
      <c r="U289" t="s">
        <v>3550</v>
      </c>
      <c r="W289" t="s">
        <v>161</v>
      </c>
      <c r="X289" t="s">
        <v>3551</v>
      </c>
      <c r="Y289" t="s">
        <v>93</v>
      </c>
      <c r="Z289" t="s">
        <v>472</v>
      </c>
      <c r="AA289" t="s">
        <v>3843</v>
      </c>
      <c r="AB289" t="s">
        <v>2911</v>
      </c>
      <c r="AC289" t="s">
        <v>3844</v>
      </c>
      <c r="AD289" t="s">
        <v>472</v>
      </c>
      <c r="AE289" t="s">
        <v>3843</v>
      </c>
      <c r="AF289" t="s">
        <v>2911</v>
      </c>
      <c r="AG289" t="s">
        <v>3844</v>
      </c>
      <c r="AH289" t="s">
        <v>3553</v>
      </c>
      <c r="AI289" t="s">
        <v>378</v>
      </c>
      <c r="AJ289" t="s">
        <v>472</v>
      </c>
      <c r="AK289" t="s">
        <v>99</v>
      </c>
      <c r="AL289" t="s">
        <v>3845</v>
      </c>
      <c r="AM289" t="s">
        <v>3781</v>
      </c>
      <c r="AN289" t="s">
        <v>2555</v>
      </c>
      <c r="AR289" t="s">
        <v>125</v>
      </c>
      <c r="AT289" t="s">
        <v>3846</v>
      </c>
      <c r="AV289" t="s">
        <v>128</v>
      </c>
      <c r="AZ289" t="s">
        <v>80</v>
      </c>
    </row>
    <row r="290" spans="1:52" hidden="1" x14ac:dyDescent="0.25">
      <c r="A290" t="s">
        <v>3847</v>
      </c>
      <c r="B290" t="s">
        <v>3848</v>
      </c>
      <c r="C290" t="s">
        <v>3849</v>
      </c>
      <c r="D290" t="s">
        <v>2544</v>
      </c>
      <c r="E290" t="s">
        <v>3850</v>
      </c>
      <c r="F290" t="s">
        <v>3851</v>
      </c>
      <c r="G290" t="s">
        <v>3851</v>
      </c>
      <c r="J290" t="s">
        <v>80</v>
      </c>
      <c r="K290" t="s">
        <v>110</v>
      </c>
      <c r="L290" t="s">
        <v>111</v>
      </c>
      <c r="M290">
        <v>5673</v>
      </c>
      <c r="N290" t="s">
        <v>3852</v>
      </c>
      <c r="P290" t="s">
        <v>2905</v>
      </c>
      <c r="Q290" t="s">
        <v>3548</v>
      </c>
      <c r="R290" t="s">
        <v>1170</v>
      </c>
      <c r="S290" t="s">
        <v>748</v>
      </c>
      <c r="T290" t="s">
        <v>3549</v>
      </c>
      <c r="U290" t="s">
        <v>3550</v>
      </c>
      <c r="W290" t="s">
        <v>161</v>
      </c>
      <c r="X290" t="s">
        <v>3551</v>
      </c>
      <c r="Y290" t="s">
        <v>93</v>
      </c>
      <c r="Z290" t="s">
        <v>2911</v>
      </c>
      <c r="AA290" t="s">
        <v>3853</v>
      </c>
      <c r="AB290" t="s">
        <v>472</v>
      </c>
      <c r="AC290" t="s">
        <v>3854</v>
      </c>
      <c r="AD290" t="s">
        <v>2911</v>
      </c>
      <c r="AE290" t="s">
        <v>3853</v>
      </c>
      <c r="AF290" t="s">
        <v>472</v>
      </c>
      <c r="AG290" t="s">
        <v>3854</v>
      </c>
      <c r="AH290" t="s">
        <v>3566</v>
      </c>
      <c r="AI290" t="s">
        <v>3855</v>
      </c>
      <c r="AJ290" t="s">
        <v>2911</v>
      </c>
      <c r="AK290" t="s">
        <v>99</v>
      </c>
      <c r="AL290" t="s">
        <v>3856</v>
      </c>
      <c r="AM290" t="s">
        <v>3857</v>
      </c>
      <c r="AN290" t="s">
        <v>2555</v>
      </c>
      <c r="AR290" t="s">
        <v>125</v>
      </c>
      <c r="AT290" t="s">
        <v>3858</v>
      </c>
      <c r="AV290" t="s">
        <v>128</v>
      </c>
      <c r="AZ290" t="s">
        <v>80</v>
      </c>
    </row>
    <row r="291" spans="1:52" hidden="1" x14ac:dyDescent="0.25">
      <c r="A291" t="s">
        <v>3859</v>
      </c>
      <c r="B291" t="s">
        <v>3860</v>
      </c>
      <c r="C291" t="s">
        <v>3861</v>
      </c>
      <c r="D291" t="s">
        <v>2544</v>
      </c>
      <c r="E291" t="s">
        <v>3862</v>
      </c>
      <c r="F291" t="s">
        <v>3863</v>
      </c>
      <c r="G291" t="s">
        <v>3863</v>
      </c>
      <c r="J291" t="s">
        <v>80</v>
      </c>
      <c r="K291" t="s">
        <v>110</v>
      </c>
      <c r="L291" t="s">
        <v>111</v>
      </c>
      <c r="M291">
        <v>69872</v>
      </c>
      <c r="N291" t="s">
        <v>3864</v>
      </c>
      <c r="P291" t="s">
        <v>2905</v>
      </c>
      <c r="Q291" t="s">
        <v>1205</v>
      </c>
      <c r="R291" t="s">
        <v>914</v>
      </c>
      <c r="S291" t="s">
        <v>444</v>
      </c>
      <c r="T291" t="s">
        <v>3484</v>
      </c>
      <c r="U291" t="s">
        <v>3500</v>
      </c>
      <c r="V291" t="s">
        <v>1483</v>
      </c>
      <c r="W291" t="s">
        <v>161</v>
      </c>
      <c r="X291" t="s">
        <v>3486</v>
      </c>
      <c r="Y291" t="s">
        <v>93</v>
      </c>
      <c r="Z291" t="s">
        <v>2911</v>
      </c>
      <c r="AA291" t="s">
        <v>2182</v>
      </c>
      <c r="AB291" t="s">
        <v>829</v>
      </c>
      <c r="AC291" t="s">
        <v>3865</v>
      </c>
      <c r="AD291" t="s">
        <v>2911</v>
      </c>
      <c r="AE291" t="s">
        <v>2182</v>
      </c>
      <c r="AF291" t="s">
        <v>829</v>
      </c>
      <c r="AG291" t="s">
        <v>3865</v>
      </c>
      <c r="AH291" t="s">
        <v>3502</v>
      </c>
      <c r="AI291" t="s">
        <v>1502</v>
      </c>
      <c r="AJ291" t="s">
        <v>2911</v>
      </c>
      <c r="AK291" t="s">
        <v>99</v>
      </c>
      <c r="AL291" t="s">
        <v>3866</v>
      </c>
      <c r="AM291" t="s">
        <v>3867</v>
      </c>
      <c r="AN291" t="s">
        <v>2555</v>
      </c>
      <c r="AR291" t="s">
        <v>125</v>
      </c>
      <c r="AT291" t="s">
        <v>3868</v>
      </c>
      <c r="AV291" t="s">
        <v>128</v>
      </c>
      <c r="AZ291" t="s">
        <v>80</v>
      </c>
    </row>
    <row r="292" spans="1:52" hidden="1" x14ac:dyDescent="0.25">
      <c r="A292" t="s">
        <v>3869</v>
      </c>
      <c r="B292" t="s">
        <v>3870</v>
      </c>
      <c r="C292" t="s">
        <v>3871</v>
      </c>
      <c r="D292" t="s">
        <v>2544</v>
      </c>
      <c r="E292" t="s">
        <v>3872</v>
      </c>
      <c r="F292" t="s">
        <v>3873</v>
      </c>
      <c r="G292" t="s">
        <v>3873</v>
      </c>
      <c r="J292" t="s">
        <v>80</v>
      </c>
      <c r="K292" t="s">
        <v>110</v>
      </c>
      <c r="L292" t="s">
        <v>111</v>
      </c>
      <c r="M292">
        <v>5670</v>
      </c>
      <c r="N292" t="s">
        <v>3874</v>
      </c>
      <c r="P292" t="s">
        <v>2905</v>
      </c>
      <c r="Q292" t="s">
        <v>3548</v>
      </c>
      <c r="R292" t="s">
        <v>1170</v>
      </c>
      <c r="S292" t="s">
        <v>748</v>
      </c>
      <c r="T292" t="s">
        <v>3549</v>
      </c>
      <c r="U292" t="s">
        <v>3550</v>
      </c>
      <c r="W292" t="s">
        <v>3875</v>
      </c>
      <c r="X292" t="s">
        <v>3876</v>
      </c>
      <c r="Y292" t="s">
        <v>93</v>
      </c>
      <c r="Z292" t="s">
        <v>472</v>
      </c>
      <c r="AA292" t="s">
        <v>1350</v>
      </c>
      <c r="AB292" t="s">
        <v>2911</v>
      </c>
      <c r="AC292" t="s">
        <v>3877</v>
      </c>
      <c r="AD292" t="s">
        <v>472</v>
      </c>
      <c r="AE292" t="s">
        <v>1350</v>
      </c>
      <c r="AF292" t="s">
        <v>2911</v>
      </c>
      <c r="AG292" t="s">
        <v>3877</v>
      </c>
      <c r="AH292" t="s">
        <v>3553</v>
      </c>
      <c r="AI292" t="s">
        <v>3878</v>
      </c>
      <c r="AJ292" t="s">
        <v>472</v>
      </c>
      <c r="AK292" t="s">
        <v>99</v>
      </c>
      <c r="AL292" t="s">
        <v>3879</v>
      </c>
      <c r="AM292" t="s">
        <v>3880</v>
      </c>
      <c r="AN292" t="s">
        <v>2555</v>
      </c>
      <c r="AR292" t="s">
        <v>125</v>
      </c>
      <c r="AT292" t="s">
        <v>3881</v>
      </c>
      <c r="AV292" t="s">
        <v>128</v>
      </c>
      <c r="AZ292" t="s">
        <v>80</v>
      </c>
    </row>
    <row r="293" spans="1:52" hidden="1" x14ac:dyDescent="0.25">
      <c r="A293" t="s">
        <v>3882</v>
      </c>
      <c r="B293" t="s">
        <v>3883</v>
      </c>
      <c r="C293" t="s">
        <v>3884</v>
      </c>
      <c r="D293" t="s">
        <v>2544</v>
      </c>
      <c r="E293" t="s">
        <v>3885</v>
      </c>
      <c r="F293" t="s">
        <v>3886</v>
      </c>
      <c r="G293" t="s">
        <v>3886</v>
      </c>
      <c r="J293" t="s">
        <v>80</v>
      </c>
      <c r="K293" t="s">
        <v>110</v>
      </c>
      <c r="L293" t="s">
        <v>111</v>
      </c>
      <c r="M293">
        <v>5671</v>
      </c>
      <c r="N293" t="s">
        <v>3887</v>
      </c>
      <c r="P293" t="s">
        <v>2905</v>
      </c>
      <c r="Q293" t="s">
        <v>3548</v>
      </c>
      <c r="R293" t="s">
        <v>1170</v>
      </c>
      <c r="S293" t="s">
        <v>748</v>
      </c>
      <c r="T293" t="s">
        <v>3549</v>
      </c>
      <c r="U293" t="s">
        <v>3550</v>
      </c>
      <c r="W293" t="s">
        <v>3875</v>
      </c>
      <c r="X293" t="s">
        <v>3876</v>
      </c>
      <c r="Y293" t="s">
        <v>93</v>
      </c>
      <c r="Z293" t="s">
        <v>2911</v>
      </c>
      <c r="AA293" t="s">
        <v>3888</v>
      </c>
      <c r="AB293" t="s">
        <v>472</v>
      </c>
      <c r="AC293" t="s">
        <v>936</v>
      </c>
      <c r="AD293" t="s">
        <v>2911</v>
      </c>
      <c r="AE293" t="s">
        <v>3888</v>
      </c>
      <c r="AF293" t="s">
        <v>472</v>
      </c>
      <c r="AG293" t="s">
        <v>936</v>
      </c>
      <c r="AH293" t="s">
        <v>3566</v>
      </c>
      <c r="AI293" t="s">
        <v>3889</v>
      </c>
      <c r="AJ293" t="s">
        <v>2911</v>
      </c>
      <c r="AK293" t="s">
        <v>99</v>
      </c>
      <c r="AL293" t="s">
        <v>3890</v>
      </c>
      <c r="AM293" t="s">
        <v>3857</v>
      </c>
      <c r="AN293" t="s">
        <v>2555</v>
      </c>
      <c r="AR293" t="s">
        <v>125</v>
      </c>
      <c r="AT293" t="s">
        <v>3891</v>
      </c>
      <c r="AV293" t="s">
        <v>128</v>
      </c>
      <c r="AZ293" t="s">
        <v>80</v>
      </c>
    </row>
    <row r="294" spans="1:52" hidden="1" x14ac:dyDescent="0.25">
      <c r="A294" t="s">
        <v>3892</v>
      </c>
      <c r="B294" t="s">
        <v>3893</v>
      </c>
      <c r="C294" t="s">
        <v>3894</v>
      </c>
      <c r="D294" t="s">
        <v>2544</v>
      </c>
      <c r="E294" t="s">
        <v>3895</v>
      </c>
      <c r="F294" t="s">
        <v>3896</v>
      </c>
      <c r="G294" t="s">
        <v>3896</v>
      </c>
      <c r="J294" t="s">
        <v>80</v>
      </c>
      <c r="K294" t="s">
        <v>110</v>
      </c>
      <c r="L294" t="s">
        <v>111</v>
      </c>
      <c r="M294">
        <v>69870</v>
      </c>
      <c r="N294" t="s">
        <v>3897</v>
      </c>
      <c r="P294" t="s">
        <v>2905</v>
      </c>
      <c r="Q294" t="s">
        <v>1205</v>
      </c>
      <c r="R294" t="s">
        <v>914</v>
      </c>
      <c r="S294" t="s">
        <v>444</v>
      </c>
      <c r="T294" t="s">
        <v>3484</v>
      </c>
      <c r="U294" t="s">
        <v>3500</v>
      </c>
      <c r="V294" t="s">
        <v>1483</v>
      </c>
      <c r="W294" t="s">
        <v>161</v>
      </c>
      <c r="X294" t="s">
        <v>3486</v>
      </c>
      <c r="Y294" t="s">
        <v>93</v>
      </c>
      <c r="Z294" t="s">
        <v>2911</v>
      </c>
      <c r="AA294" t="s">
        <v>3898</v>
      </c>
      <c r="AB294" t="s">
        <v>829</v>
      </c>
      <c r="AC294" t="s">
        <v>3899</v>
      </c>
      <c r="AD294" t="s">
        <v>2911</v>
      </c>
      <c r="AE294" t="s">
        <v>3898</v>
      </c>
      <c r="AF294" t="s">
        <v>829</v>
      </c>
      <c r="AG294" t="s">
        <v>3899</v>
      </c>
      <c r="AH294" t="s">
        <v>3502</v>
      </c>
      <c r="AI294" t="s">
        <v>1273</v>
      </c>
      <c r="AJ294" t="s">
        <v>2911</v>
      </c>
      <c r="AK294" t="s">
        <v>99</v>
      </c>
      <c r="AL294" t="s">
        <v>3900</v>
      </c>
      <c r="AM294" t="s">
        <v>3582</v>
      </c>
      <c r="AN294" t="s">
        <v>2555</v>
      </c>
      <c r="AR294" t="s">
        <v>125</v>
      </c>
      <c r="AT294" t="s">
        <v>3901</v>
      </c>
      <c r="AV294" t="s">
        <v>128</v>
      </c>
      <c r="AZ294" t="s">
        <v>80</v>
      </c>
    </row>
    <row r="295" spans="1:52" hidden="1" x14ac:dyDescent="0.25">
      <c r="A295" t="s">
        <v>3902</v>
      </c>
      <c r="B295" t="s">
        <v>2887</v>
      </c>
      <c r="C295" t="s">
        <v>3903</v>
      </c>
      <c r="D295" t="s">
        <v>2544</v>
      </c>
      <c r="E295" t="s">
        <v>3904</v>
      </c>
      <c r="F295" t="s">
        <v>2890</v>
      </c>
      <c r="G295" t="s">
        <v>2890</v>
      </c>
      <c r="J295" t="s">
        <v>80</v>
      </c>
      <c r="K295" t="s">
        <v>110</v>
      </c>
      <c r="L295" t="s">
        <v>111</v>
      </c>
      <c r="M295">
        <v>69228</v>
      </c>
      <c r="P295" t="s">
        <v>154</v>
      </c>
      <c r="Q295" t="s">
        <v>1284</v>
      </c>
      <c r="R295" t="s">
        <v>1285</v>
      </c>
      <c r="S295" t="s">
        <v>1124</v>
      </c>
      <c r="T295" t="s">
        <v>2891</v>
      </c>
      <c r="U295" t="s">
        <v>2892</v>
      </c>
      <c r="V295" t="s">
        <v>736</v>
      </c>
      <c r="W295" t="s">
        <v>3905</v>
      </c>
      <c r="X295" t="s">
        <v>3906</v>
      </c>
      <c r="Y295" t="s">
        <v>93</v>
      </c>
      <c r="Z295" t="s">
        <v>1486</v>
      </c>
      <c r="AA295" t="s">
        <v>1515</v>
      </c>
      <c r="AB295" t="s">
        <v>119</v>
      </c>
      <c r="AC295" t="s">
        <v>2895</v>
      </c>
      <c r="AD295" t="s">
        <v>1486</v>
      </c>
      <c r="AE295" t="s">
        <v>1515</v>
      </c>
      <c r="AF295" t="s">
        <v>119</v>
      </c>
      <c r="AG295" t="s">
        <v>2895</v>
      </c>
      <c r="AI295" t="s">
        <v>3907</v>
      </c>
      <c r="AJ295" t="s">
        <v>1486</v>
      </c>
      <c r="AK295" t="s">
        <v>99</v>
      </c>
      <c r="AL295" t="s">
        <v>3908</v>
      </c>
      <c r="AM295" t="s">
        <v>2897</v>
      </c>
      <c r="AR295" t="s">
        <v>125</v>
      </c>
      <c r="AT295" t="s">
        <v>3909</v>
      </c>
      <c r="AV295" t="s">
        <v>128</v>
      </c>
      <c r="AZ295" t="s">
        <v>80</v>
      </c>
    </row>
    <row r="296" spans="1:52" hidden="1" x14ac:dyDescent="0.25">
      <c r="A296" t="s">
        <v>3910</v>
      </c>
      <c r="B296" t="s">
        <v>2887</v>
      </c>
      <c r="C296" t="s">
        <v>3911</v>
      </c>
      <c r="D296" t="s">
        <v>2596</v>
      </c>
      <c r="E296" t="s">
        <v>2890</v>
      </c>
      <c r="F296" t="s">
        <v>2890</v>
      </c>
      <c r="G296" t="s">
        <v>2890</v>
      </c>
      <c r="J296" t="s">
        <v>80</v>
      </c>
      <c r="K296" t="s">
        <v>110</v>
      </c>
      <c r="L296" t="s">
        <v>111</v>
      </c>
      <c r="M296">
        <v>69228</v>
      </c>
      <c r="P296" t="s">
        <v>154</v>
      </c>
      <c r="Q296" t="s">
        <v>1284</v>
      </c>
      <c r="R296" t="s">
        <v>1285</v>
      </c>
      <c r="S296" t="s">
        <v>1124</v>
      </c>
      <c r="T296" t="s">
        <v>2891</v>
      </c>
      <c r="U296" t="s">
        <v>2892</v>
      </c>
      <c r="V296" t="s">
        <v>736</v>
      </c>
      <c r="W296" t="s">
        <v>3912</v>
      </c>
      <c r="X296" t="s">
        <v>3913</v>
      </c>
      <c r="Y296" t="s">
        <v>93</v>
      </c>
      <c r="Z296" t="s">
        <v>1486</v>
      </c>
      <c r="AA296" t="s">
        <v>1515</v>
      </c>
      <c r="AB296" t="s">
        <v>119</v>
      </c>
      <c r="AC296" t="s">
        <v>2895</v>
      </c>
      <c r="AD296" t="s">
        <v>1486</v>
      </c>
      <c r="AE296" t="s">
        <v>1515</v>
      </c>
      <c r="AF296" t="s">
        <v>119</v>
      </c>
      <c r="AG296" t="s">
        <v>2895</v>
      </c>
      <c r="AI296" t="s">
        <v>3907</v>
      </c>
      <c r="AJ296" t="s">
        <v>1486</v>
      </c>
      <c r="AK296" t="s">
        <v>99</v>
      </c>
      <c r="AL296" t="s">
        <v>3914</v>
      </c>
      <c r="AM296" t="s">
        <v>2897</v>
      </c>
      <c r="AR296" t="s">
        <v>125</v>
      </c>
      <c r="AT296" t="s">
        <v>3915</v>
      </c>
      <c r="AV296" t="s">
        <v>128</v>
      </c>
      <c r="AZ296" t="s">
        <v>80</v>
      </c>
    </row>
    <row r="297" spans="1:52" hidden="1" x14ac:dyDescent="0.25">
      <c r="A297" t="s">
        <v>3916</v>
      </c>
      <c r="B297" t="s">
        <v>3917</v>
      </c>
      <c r="C297" t="s">
        <v>3918</v>
      </c>
      <c r="D297" t="s">
        <v>2544</v>
      </c>
      <c r="E297" t="s">
        <v>3919</v>
      </c>
      <c r="F297" t="s">
        <v>3920</v>
      </c>
      <c r="G297" t="s">
        <v>3920</v>
      </c>
      <c r="J297" t="s">
        <v>80</v>
      </c>
      <c r="K297" t="s">
        <v>110</v>
      </c>
      <c r="L297" t="s">
        <v>111</v>
      </c>
      <c r="M297">
        <v>69543</v>
      </c>
      <c r="P297" t="s">
        <v>154</v>
      </c>
      <c r="Q297" t="s">
        <v>1284</v>
      </c>
      <c r="R297" t="s">
        <v>1285</v>
      </c>
      <c r="S297" t="s">
        <v>1124</v>
      </c>
      <c r="T297" t="s">
        <v>1482</v>
      </c>
      <c r="U297" t="s">
        <v>853</v>
      </c>
      <c r="V297" t="s">
        <v>3921</v>
      </c>
      <c r="W297" t="s">
        <v>161</v>
      </c>
      <c r="X297" t="s">
        <v>1485</v>
      </c>
      <c r="Y297" t="s">
        <v>93</v>
      </c>
      <c r="Z297" t="s">
        <v>1468</v>
      </c>
      <c r="AA297" t="s">
        <v>3922</v>
      </c>
      <c r="AB297" t="s">
        <v>1486</v>
      </c>
      <c r="AC297" t="s">
        <v>3923</v>
      </c>
      <c r="AD297" t="s">
        <v>1468</v>
      </c>
      <c r="AE297" t="s">
        <v>3922</v>
      </c>
      <c r="AF297" t="s">
        <v>1486</v>
      </c>
      <c r="AG297" t="s">
        <v>3923</v>
      </c>
      <c r="AI297" t="s">
        <v>3924</v>
      </c>
      <c r="AJ297" t="s">
        <v>1468</v>
      </c>
      <c r="AK297" t="s">
        <v>99</v>
      </c>
      <c r="AL297" t="s">
        <v>3925</v>
      </c>
      <c r="AM297" t="s">
        <v>3926</v>
      </c>
      <c r="AN297" t="s">
        <v>2555</v>
      </c>
      <c r="AR297" t="s">
        <v>125</v>
      </c>
      <c r="AT297" t="s">
        <v>3927</v>
      </c>
      <c r="AV297" t="s">
        <v>128</v>
      </c>
      <c r="AZ297" t="s">
        <v>80</v>
      </c>
    </row>
    <row r="298" spans="1:52" hidden="1" x14ac:dyDescent="0.25">
      <c r="A298" t="s">
        <v>3928</v>
      </c>
      <c r="B298" t="s">
        <v>3929</v>
      </c>
      <c r="C298" t="s">
        <v>3930</v>
      </c>
      <c r="D298" t="s">
        <v>2544</v>
      </c>
      <c r="E298" t="s">
        <v>3931</v>
      </c>
      <c r="F298" t="s">
        <v>3932</v>
      </c>
      <c r="G298" t="s">
        <v>3932</v>
      </c>
      <c r="J298" t="s">
        <v>80</v>
      </c>
      <c r="K298" t="s">
        <v>110</v>
      </c>
      <c r="L298" t="s">
        <v>111</v>
      </c>
      <c r="M298">
        <v>66553</v>
      </c>
      <c r="P298" t="s">
        <v>154</v>
      </c>
      <c r="Q298" t="s">
        <v>3469</v>
      </c>
      <c r="R298" t="s">
        <v>2488</v>
      </c>
      <c r="S298" t="s">
        <v>1016</v>
      </c>
      <c r="T298" t="s">
        <v>179</v>
      </c>
      <c r="U298" t="s">
        <v>3933</v>
      </c>
      <c r="W298" t="s">
        <v>797</v>
      </c>
      <c r="X298" t="s">
        <v>3934</v>
      </c>
      <c r="Y298" t="s">
        <v>93</v>
      </c>
      <c r="Z298" t="s">
        <v>182</v>
      </c>
      <c r="AA298" t="s">
        <v>3935</v>
      </c>
      <c r="AB298" t="s">
        <v>163</v>
      </c>
      <c r="AC298" t="s">
        <v>2522</v>
      </c>
      <c r="AD298" t="s">
        <v>182</v>
      </c>
      <c r="AE298" t="s">
        <v>3935</v>
      </c>
      <c r="AF298" t="s">
        <v>163</v>
      </c>
      <c r="AG298" t="s">
        <v>2522</v>
      </c>
      <c r="AI298" t="s">
        <v>2939</v>
      </c>
      <c r="AJ298" t="s">
        <v>182</v>
      </c>
      <c r="AK298" t="s">
        <v>99</v>
      </c>
      <c r="AL298" t="s">
        <v>3936</v>
      </c>
      <c r="AM298" t="s">
        <v>3937</v>
      </c>
      <c r="AN298" t="s">
        <v>2555</v>
      </c>
      <c r="AR298" t="s">
        <v>125</v>
      </c>
      <c r="AT298" t="s">
        <v>3938</v>
      </c>
      <c r="AV298" t="s">
        <v>190</v>
      </c>
      <c r="AZ298" t="s">
        <v>80</v>
      </c>
    </row>
    <row r="299" spans="1:52" hidden="1" x14ac:dyDescent="0.25">
      <c r="A299" t="s">
        <v>3939</v>
      </c>
      <c r="B299" t="s">
        <v>3940</v>
      </c>
      <c r="C299" t="s">
        <v>3941</v>
      </c>
      <c r="D299" t="s">
        <v>2544</v>
      </c>
      <c r="E299" t="s">
        <v>3942</v>
      </c>
      <c r="F299" t="s">
        <v>3943</v>
      </c>
      <c r="G299" t="s">
        <v>3943</v>
      </c>
      <c r="J299" t="s">
        <v>80</v>
      </c>
      <c r="K299" t="s">
        <v>110</v>
      </c>
      <c r="L299" t="s">
        <v>111</v>
      </c>
      <c r="M299" t="s">
        <v>3944</v>
      </c>
      <c r="P299" t="s">
        <v>154</v>
      </c>
      <c r="Q299" t="s">
        <v>731</v>
      </c>
      <c r="R299" t="s">
        <v>732</v>
      </c>
      <c r="S299" t="s">
        <v>733</v>
      </c>
      <c r="T299" t="s">
        <v>3945</v>
      </c>
      <c r="U299" t="s">
        <v>3946</v>
      </c>
      <c r="V299" t="s">
        <v>89</v>
      </c>
      <c r="W299" t="s">
        <v>161</v>
      </c>
      <c r="X299" t="s">
        <v>3947</v>
      </c>
      <c r="Y299" t="s">
        <v>93</v>
      </c>
      <c r="Z299" t="s">
        <v>1468</v>
      </c>
      <c r="AA299" t="s">
        <v>3082</v>
      </c>
      <c r="AB299" t="s">
        <v>182</v>
      </c>
      <c r="AC299" t="s">
        <v>3948</v>
      </c>
      <c r="AD299" t="s">
        <v>1468</v>
      </c>
      <c r="AE299" t="s">
        <v>3082</v>
      </c>
      <c r="AF299" t="s">
        <v>182</v>
      </c>
      <c r="AG299" t="s">
        <v>3948</v>
      </c>
      <c r="AI299" t="s">
        <v>3949</v>
      </c>
      <c r="AJ299" t="s">
        <v>1468</v>
      </c>
      <c r="AK299" t="s">
        <v>99</v>
      </c>
      <c r="AL299" t="s">
        <v>3950</v>
      </c>
      <c r="AM299" t="s">
        <v>3951</v>
      </c>
      <c r="AN299" t="s">
        <v>2555</v>
      </c>
      <c r="AR299" t="s">
        <v>125</v>
      </c>
      <c r="AT299" t="s">
        <v>3952</v>
      </c>
      <c r="AV299" t="s">
        <v>128</v>
      </c>
      <c r="AZ299" t="s">
        <v>80</v>
      </c>
    </row>
    <row r="300" spans="1:52" hidden="1" x14ac:dyDescent="0.25">
      <c r="A300" t="s">
        <v>3953</v>
      </c>
      <c r="B300" t="s">
        <v>3954</v>
      </c>
      <c r="C300" t="s">
        <v>3955</v>
      </c>
      <c r="D300" t="s">
        <v>2544</v>
      </c>
      <c r="E300" t="s">
        <v>3956</v>
      </c>
      <c r="F300" t="s">
        <v>3957</v>
      </c>
      <c r="G300" t="s">
        <v>3957</v>
      </c>
      <c r="J300" t="s">
        <v>80</v>
      </c>
      <c r="K300" t="s">
        <v>110</v>
      </c>
      <c r="L300" t="s">
        <v>111</v>
      </c>
      <c r="M300">
        <v>69551</v>
      </c>
      <c r="P300" t="s">
        <v>154</v>
      </c>
      <c r="Q300" t="s">
        <v>539</v>
      </c>
      <c r="R300" t="s">
        <v>540</v>
      </c>
      <c r="S300" t="s">
        <v>541</v>
      </c>
      <c r="T300" t="s">
        <v>3958</v>
      </c>
      <c r="U300" t="s">
        <v>1529</v>
      </c>
      <c r="V300" t="s">
        <v>1465</v>
      </c>
      <c r="W300" t="s">
        <v>3528</v>
      </c>
      <c r="X300" t="s">
        <v>3959</v>
      </c>
      <c r="Y300" t="s">
        <v>93</v>
      </c>
      <c r="Z300" t="s">
        <v>1486</v>
      </c>
      <c r="AA300" t="s">
        <v>3960</v>
      </c>
      <c r="AB300" t="s">
        <v>472</v>
      </c>
      <c r="AC300" t="s">
        <v>3961</v>
      </c>
      <c r="AD300" t="s">
        <v>1486</v>
      </c>
      <c r="AE300" t="s">
        <v>3960</v>
      </c>
      <c r="AF300" t="s">
        <v>472</v>
      </c>
      <c r="AG300" t="s">
        <v>3961</v>
      </c>
      <c r="AI300" t="s">
        <v>3962</v>
      </c>
      <c r="AJ300" t="s">
        <v>1486</v>
      </c>
      <c r="AK300" t="s">
        <v>99</v>
      </c>
      <c r="AL300" t="s">
        <v>3963</v>
      </c>
      <c r="AM300" t="s">
        <v>3964</v>
      </c>
      <c r="AN300" t="s">
        <v>2555</v>
      </c>
      <c r="AR300" t="s">
        <v>125</v>
      </c>
      <c r="AT300" t="s">
        <v>3965</v>
      </c>
      <c r="AV300" t="s">
        <v>128</v>
      </c>
      <c r="AZ300" t="s">
        <v>80</v>
      </c>
    </row>
    <row r="301" spans="1:52" hidden="1" x14ac:dyDescent="0.25">
      <c r="A301" t="s">
        <v>3966</v>
      </c>
      <c r="B301" t="s">
        <v>3967</v>
      </c>
      <c r="C301" t="s">
        <v>3968</v>
      </c>
      <c r="D301" t="s">
        <v>2544</v>
      </c>
      <c r="E301" t="s">
        <v>3969</v>
      </c>
      <c r="F301" t="s">
        <v>3970</v>
      </c>
      <c r="G301" t="s">
        <v>3970</v>
      </c>
      <c r="J301" t="s">
        <v>80</v>
      </c>
      <c r="K301" t="s">
        <v>110</v>
      </c>
      <c r="L301" t="s">
        <v>111</v>
      </c>
      <c r="M301">
        <v>66825</v>
      </c>
      <c r="O301" t="s">
        <v>2516</v>
      </c>
      <c r="P301" t="s">
        <v>134</v>
      </c>
      <c r="Q301" t="s">
        <v>85</v>
      </c>
      <c r="R301" t="s">
        <v>86</v>
      </c>
      <c r="S301" t="s">
        <v>87</v>
      </c>
      <c r="T301" t="s">
        <v>2517</v>
      </c>
      <c r="U301" t="s">
        <v>3971</v>
      </c>
      <c r="V301" t="s">
        <v>2519</v>
      </c>
      <c r="W301" t="s">
        <v>3972</v>
      </c>
      <c r="X301" t="s">
        <v>3973</v>
      </c>
      <c r="Y301" t="s">
        <v>93</v>
      </c>
      <c r="Z301" t="s">
        <v>2003</v>
      </c>
      <c r="AA301" t="s">
        <v>2102</v>
      </c>
      <c r="AB301" t="s">
        <v>182</v>
      </c>
      <c r="AC301" t="s">
        <v>3590</v>
      </c>
      <c r="AD301" t="s">
        <v>2003</v>
      </c>
      <c r="AE301" t="s">
        <v>2102</v>
      </c>
      <c r="AF301" t="s">
        <v>182</v>
      </c>
      <c r="AG301" t="s">
        <v>3590</v>
      </c>
      <c r="AI301" t="s">
        <v>3974</v>
      </c>
      <c r="AJ301" t="s">
        <v>2003</v>
      </c>
      <c r="AK301" t="s">
        <v>99</v>
      </c>
      <c r="AL301" t="s">
        <v>3975</v>
      </c>
      <c r="AM301" t="s">
        <v>3976</v>
      </c>
      <c r="AN301" t="s">
        <v>2578</v>
      </c>
      <c r="AR301" t="s">
        <v>125</v>
      </c>
      <c r="AT301" t="s">
        <v>3977</v>
      </c>
      <c r="AV301" t="s">
        <v>190</v>
      </c>
      <c r="AZ301" t="s">
        <v>80</v>
      </c>
    </row>
    <row r="302" spans="1:52" hidden="1" x14ac:dyDescent="0.25">
      <c r="A302" t="s">
        <v>3978</v>
      </c>
      <c r="B302" t="s">
        <v>3979</v>
      </c>
      <c r="C302" t="s">
        <v>3980</v>
      </c>
      <c r="D302" t="s">
        <v>2544</v>
      </c>
      <c r="E302" t="s">
        <v>3981</v>
      </c>
      <c r="F302" t="s">
        <v>3982</v>
      </c>
      <c r="G302" t="s">
        <v>3982</v>
      </c>
      <c r="J302" t="s">
        <v>80</v>
      </c>
      <c r="K302" t="s">
        <v>110</v>
      </c>
      <c r="L302" t="s">
        <v>111</v>
      </c>
      <c r="M302">
        <v>66822</v>
      </c>
      <c r="P302" t="s">
        <v>134</v>
      </c>
      <c r="Q302" t="s">
        <v>1205</v>
      </c>
      <c r="R302" t="s">
        <v>914</v>
      </c>
      <c r="S302" t="s">
        <v>444</v>
      </c>
      <c r="T302" t="s">
        <v>2517</v>
      </c>
      <c r="U302" t="s">
        <v>3983</v>
      </c>
      <c r="V302" t="s">
        <v>115</v>
      </c>
      <c r="W302" t="s">
        <v>2001</v>
      </c>
      <c r="X302" t="s">
        <v>3984</v>
      </c>
      <c r="Y302" t="s">
        <v>93</v>
      </c>
      <c r="Z302" t="s">
        <v>182</v>
      </c>
      <c r="AA302" t="s">
        <v>3985</v>
      </c>
      <c r="AB302" t="s">
        <v>2003</v>
      </c>
      <c r="AC302" t="s">
        <v>3986</v>
      </c>
      <c r="AD302" t="s">
        <v>182</v>
      </c>
      <c r="AE302" t="s">
        <v>3985</v>
      </c>
      <c r="AF302" t="s">
        <v>2003</v>
      </c>
      <c r="AG302" t="s">
        <v>3986</v>
      </c>
      <c r="AI302" t="s">
        <v>3987</v>
      </c>
      <c r="AJ302" t="s">
        <v>182</v>
      </c>
      <c r="AK302" t="s">
        <v>99</v>
      </c>
      <c r="AL302" t="s">
        <v>3988</v>
      </c>
      <c r="AM302" t="s">
        <v>3989</v>
      </c>
      <c r="AN302" t="s">
        <v>2578</v>
      </c>
      <c r="AR302" t="s">
        <v>125</v>
      </c>
      <c r="AT302" t="s">
        <v>3990</v>
      </c>
      <c r="AV302" t="s">
        <v>128</v>
      </c>
      <c r="AZ302" t="s">
        <v>80</v>
      </c>
    </row>
    <row r="303" spans="1:52" hidden="1" x14ac:dyDescent="0.25">
      <c r="A303" t="s">
        <v>3991</v>
      </c>
      <c r="B303" t="s">
        <v>3992</v>
      </c>
      <c r="C303" t="s">
        <v>3993</v>
      </c>
      <c r="D303" t="s">
        <v>2544</v>
      </c>
      <c r="E303" t="s">
        <v>3994</v>
      </c>
      <c r="F303" t="s">
        <v>3995</v>
      </c>
      <c r="G303" t="s">
        <v>3995</v>
      </c>
      <c r="J303" t="s">
        <v>80</v>
      </c>
      <c r="K303" t="s">
        <v>110</v>
      </c>
      <c r="L303" t="s">
        <v>111</v>
      </c>
      <c r="M303">
        <v>60408</v>
      </c>
      <c r="P303" t="s">
        <v>154</v>
      </c>
      <c r="Q303" t="s">
        <v>539</v>
      </c>
      <c r="R303" t="s">
        <v>540</v>
      </c>
      <c r="S303" t="s">
        <v>541</v>
      </c>
      <c r="T303" t="s">
        <v>3996</v>
      </c>
      <c r="U303" t="s">
        <v>3997</v>
      </c>
      <c r="V303" t="s">
        <v>3998</v>
      </c>
      <c r="W303" t="s">
        <v>3999</v>
      </c>
      <c r="X303" t="s">
        <v>4000</v>
      </c>
      <c r="Y303" t="s">
        <v>93</v>
      </c>
      <c r="Z303" t="s">
        <v>4001</v>
      </c>
      <c r="AA303" t="s">
        <v>4002</v>
      </c>
      <c r="AB303" t="s">
        <v>119</v>
      </c>
      <c r="AC303" t="s">
        <v>4003</v>
      </c>
      <c r="AD303" t="s">
        <v>4001</v>
      </c>
      <c r="AE303" t="s">
        <v>4002</v>
      </c>
      <c r="AF303" t="s">
        <v>119</v>
      </c>
      <c r="AG303" t="s">
        <v>4003</v>
      </c>
      <c r="AI303" t="s">
        <v>4004</v>
      </c>
      <c r="AJ303" t="s">
        <v>4001</v>
      </c>
      <c r="AK303" t="s">
        <v>99</v>
      </c>
      <c r="AL303" t="s">
        <v>4005</v>
      </c>
      <c r="AM303" t="s">
        <v>4006</v>
      </c>
      <c r="AN303" t="s">
        <v>2578</v>
      </c>
      <c r="AR303" t="s">
        <v>125</v>
      </c>
      <c r="AT303" t="s">
        <v>4007</v>
      </c>
      <c r="AV303" t="s">
        <v>128</v>
      </c>
      <c r="AZ303" t="s">
        <v>80</v>
      </c>
    </row>
    <row r="304" spans="1:52" hidden="1" x14ac:dyDescent="0.25">
      <c r="A304" t="s">
        <v>4008</v>
      </c>
      <c r="B304" t="s">
        <v>3992</v>
      </c>
      <c r="C304" t="s">
        <v>3993</v>
      </c>
      <c r="D304" t="s">
        <v>2544</v>
      </c>
      <c r="E304" t="s">
        <v>4009</v>
      </c>
      <c r="F304" t="s">
        <v>3995</v>
      </c>
      <c r="G304" t="s">
        <v>3995</v>
      </c>
      <c r="J304" t="s">
        <v>80</v>
      </c>
      <c r="K304" t="s">
        <v>110</v>
      </c>
      <c r="L304" t="s">
        <v>111</v>
      </c>
      <c r="M304">
        <v>60408</v>
      </c>
      <c r="P304" t="s">
        <v>154</v>
      </c>
      <c r="Q304" t="s">
        <v>539</v>
      </c>
      <c r="R304" t="s">
        <v>540</v>
      </c>
      <c r="S304" t="s">
        <v>541</v>
      </c>
      <c r="T304" t="s">
        <v>3996</v>
      </c>
      <c r="U304" t="s">
        <v>3997</v>
      </c>
      <c r="V304" t="s">
        <v>3998</v>
      </c>
      <c r="W304" t="s">
        <v>4010</v>
      </c>
      <c r="X304" t="s">
        <v>4000</v>
      </c>
      <c r="Y304" t="s">
        <v>93</v>
      </c>
      <c r="Z304" t="s">
        <v>4001</v>
      </c>
      <c r="AA304" t="s">
        <v>4002</v>
      </c>
      <c r="AB304" t="s">
        <v>119</v>
      </c>
      <c r="AC304" t="s">
        <v>4003</v>
      </c>
      <c r="AD304" t="s">
        <v>4001</v>
      </c>
      <c r="AE304" t="s">
        <v>4002</v>
      </c>
      <c r="AF304" t="s">
        <v>119</v>
      </c>
      <c r="AG304" t="s">
        <v>4003</v>
      </c>
      <c r="AI304" t="s">
        <v>4004</v>
      </c>
      <c r="AJ304" t="s">
        <v>4001</v>
      </c>
      <c r="AK304" t="s">
        <v>99</v>
      </c>
      <c r="AL304" t="s">
        <v>4011</v>
      </c>
      <c r="AM304" t="s">
        <v>4006</v>
      </c>
      <c r="AN304" t="s">
        <v>2578</v>
      </c>
      <c r="AR304" t="s">
        <v>125</v>
      </c>
      <c r="AT304" t="s">
        <v>4012</v>
      </c>
      <c r="AV304" t="s">
        <v>128</v>
      </c>
      <c r="AZ304" t="s">
        <v>80</v>
      </c>
    </row>
    <row r="305" spans="1:52" hidden="1" x14ac:dyDescent="0.25">
      <c r="A305" t="s">
        <v>4013</v>
      </c>
      <c r="B305" t="s">
        <v>4014</v>
      </c>
      <c r="C305" t="s">
        <v>4015</v>
      </c>
      <c r="D305" t="s">
        <v>2544</v>
      </c>
      <c r="E305" t="s">
        <v>4016</v>
      </c>
      <c r="F305" t="s">
        <v>4017</v>
      </c>
      <c r="G305" t="s">
        <v>4017</v>
      </c>
      <c r="J305" t="s">
        <v>80</v>
      </c>
      <c r="K305" t="s">
        <v>110</v>
      </c>
      <c r="L305" t="s">
        <v>111</v>
      </c>
      <c r="M305">
        <v>60406</v>
      </c>
      <c r="P305" t="s">
        <v>154</v>
      </c>
      <c r="Q305" t="s">
        <v>1284</v>
      </c>
      <c r="R305" t="s">
        <v>1285</v>
      </c>
      <c r="S305" t="s">
        <v>1124</v>
      </c>
      <c r="T305" t="s">
        <v>4018</v>
      </c>
      <c r="U305" t="s">
        <v>3470</v>
      </c>
      <c r="V305" t="s">
        <v>3527</v>
      </c>
      <c r="W305" t="s">
        <v>4019</v>
      </c>
      <c r="X305" t="s">
        <v>4020</v>
      </c>
      <c r="Y305" t="s">
        <v>93</v>
      </c>
      <c r="Z305" t="s">
        <v>622</v>
      </c>
      <c r="AA305" t="s">
        <v>4021</v>
      </c>
      <c r="AB305" t="s">
        <v>119</v>
      </c>
      <c r="AC305" t="s">
        <v>4022</v>
      </c>
      <c r="AD305" t="s">
        <v>622</v>
      </c>
      <c r="AE305" t="s">
        <v>4021</v>
      </c>
      <c r="AF305" t="s">
        <v>119</v>
      </c>
      <c r="AG305" t="s">
        <v>4022</v>
      </c>
      <c r="AI305" t="s">
        <v>1257</v>
      </c>
      <c r="AJ305" t="s">
        <v>622</v>
      </c>
      <c r="AK305" t="s">
        <v>99</v>
      </c>
      <c r="AL305" t="s">
        <v>4023</v>
      </c>
      <c r="AM305" t="s">
        <v>4024</v>
      </c>
      <c r="AN305" t="s">
        <v>2555</v>
      </c>
      <c r="AR305" t="s">
        <v>125</v>
      </c>
      <c r="AT305" t="s">
        <v>4025</v>
      </c>
      <c r="AV305" t="s">
        <v>128</v>
      </c>
      <c r="AZ305" t="s">
        <v>80</v>
      </c>
    </row>
    <row r="306" spans="1:52" hidden="1" x14ac:dyDescent="0.25">
      <c r="A306" t="s">
        <v>4026</v>
      </c>
      <c r="B306" t="s">
        <v>4014</v>
      </c>
      <c r="C306" t="s">
        <v>4027</v>
      </c>
      <c r="D306" t="s">
        <v>2544</v>
      </c>
      <c r="E306" t="s">
        <v>4028</v>
      </c>
      <c r="F306" t="s">
        <v>4017</v>
      </c>
      <c r="G306" t="s">
        <v>4017</v>
      </c>
      <c r="J306" t="s">
        <v>80</v>
      </c>
      <c r="K306" t="s">
        <v>110</v>
      </c>
      <c r="L306" t="s">
        <v>111</v>
      </c>
      <c r="M306">
        <v>60406</v>
      </c>
      <c r="P306" t="s">
        <v>154</v>
      </c>
      <c r="Q306" t="s">
        <v>1284</v>
      </c>
      <c r="R306" t="s">
        <v>1285</v>
      </c>
      <c r="S306" t="s">
        <v>1124</v>
      </c>
      <c r="T306" t="s">
        <v>4018</v>
      </c>
      <c r="U306" t="s">
        <v>3470</v>
      </c>
      <c r="V306" t="s">
        <v>3527</v>
      </c>
      <c r="W306" t="s">
        <v>4029</v>
      </c>
      <c r="X306" t="s">
        <v>4020</v>
      </c>
      <c r="Y306" t="s">
        <v>93</v>
      </c>
      <c r="Z306" t="s">
        <v>622</v>
      </c>
      <c r="AA306" t="s">
        <v>4021</v>
      </c>
      <c r="AB306" t="s">
        <v>119</v>
      </c>
      <c r="AC306" t="s">
        <v>4022</v>
      </c>
      <c r="AD306" t="s">
        <v>622</v>
      </c>
      <c r="AE306" t="s">
        <v>4021</v>
      </c>
      <c r="AF306" t="s">
        <v>119</v>
      </c>
      <c r="AG306" t="s">
        <v>4022</v>
      </c>
      <c r="AI306" t="s">
        <v>1257</v>
      </c>
      <c r="AJ306" t="s">
        <v>622</v>
      </c>
      <c r="AK306" t="s">
        <v>99</v>
      </c>
      <c r="AL306" t="s">
        <v>4030</v>
      </c>
      <c r="AM306" t="s">
        <v>4024</v>
      </c>
      <c r="AN306" t="s">
        <v>2555</v>
      </c>
      <c r="AR306" t="s">
        <v>125</v>
      </c>
      <c r="AT306" t="s">
        <v>4031</v>
      </c>
      <c r="AV306" t="s">
        <v>128</v>
      </c>
      <c r="AZ306" t="s">
        <v>80</v>
      </c>
    </row>
    <row r="307" spans="1:52" hidden="1" x14ac:dyDescent="0.25">
      <c r="A307" t="s">
        <v>4032</v>
      </c>
      <c r="B307" t="s">
        <v>4033</v>
      </c>
      <c r="C307" t="s">
        <v>4034</v>
      </c>
      <c r="D307" t="s">
        <v>2544</v>
      </c>
      <c r="E307" t="s">
        <v>4035</v>
      </c>
      <c r="F307" t="s">
        <v>4036</v>
      </c>
      <c r="G307" t="s">
        <v>4036</v>
      </c>
      <c r="J307" t="s">
        <v>80</v>
      </c>
      <c r="K307" t="s">
        <v>110</v>
      </c>
      <c r="L307" t="s">
        <v>111</v>
      </c>
      <c r="M307">
        <v>60404</v>
      </c>
      <c r="P307" t="s">
        <v>154</v>
      </c>
      <c r="Q307" t="s">
        <v>539</v>
      </c>
      <c r="R307" t="s">
        <v>540</v>
      </c>
      <c r="S307" t="s">
        <v>541</v>
      </c>
      <c r="T307" t="s">
        <v>4018</v>
      </c>
      <c r="U307" t="s">
        <v>4037</v>
      </c>
      <c r="V307" t="s">
        <v>4038</v>
      </c>
      <c r="W307" t="s">
        <v>4029</v>
      </c>
      <c r="X307" t="s">
        <v>4020</v>
      </c>
      <c r="Y307" t="s">
        <v>93</v>
      </c>
      <c r="Z307" t="s">
        <v>622</v>
      </c>
      <c r="AA307" t="s">
        <v>4039</v>
      </c>
      <c r="AB307" t="s">
        <v>119</v>
      </c>
      <c r="AC307" t="s">
        <v>4040</v>
      </c>
      <c r="AD307" t="s">
        <v>622</v>
      </c>
      <c r="AE307" t="s">
        <v>4039</v>
      </c>
      <c r="AF307" t="s">
        <v>119</v>
      </c>
      <c r="AG307" t="s">
        <v>4040</v>
      </c>
      <c r="AI307" t="s">
        <v>4041</v>
      </c>
      <c r="AJ307" t="s">
        <v>622</v>
      </c>
      <c r="AK307" t="s">
        <v>99</v>
      </c>
      <c r="AL307" t="s">
        <v>4042</v>
      </c>
      <c r="AM307" t="s">
        <v>4043</v>
      </c>
      <c r="AN307" t="s">
        <v>2555</v>
      </c>
      <c r="AR307" t="s">
        <v>125</v>
      </c>
      <c r="AT307" t="s">
        <v>4044</v>
      </c>
      <c r="AV307" t="s">
        <v>128</v>
      </c>
      <c r="AZ307" t="s">
        <v>80</v>
      </c>
    </row>
    <row r="308" spans="1:52" hidden="1" x14ac:dyDescent="0.25">
      <c r="A308" t="s">
        <v>4045</v>
      </c>
      <c r="B308" t="s">
        <v>4046</v>
      </c>
      <c r="C308" t="s">
        <v>4034</v>
      </c>
      <c r="D308" t="s">
        <v>2544</v>
      </c>
      <c r="E308" t="s">
        <v>4047</v>
      </c>
      <c r="F308" t="s">
        <v>4048</v>
      </c>
      <c r="G308" t="s">
        <v>4048</v>
      </c>
      <c r="J308" t="s">
        <v>80</v>
      </c>
      <c r="K308" t="s">
        <v>110</v>
      </c>
      <c r="L308" t="s">
        <v>111</v>
      </c>
      <c r="M308">
        <v>60402</v>
      </c>
      <c r="P308" t="s">
        <v>154</v>
      </c>
      <c r="Q308" t="s">
        <v>539</v>
      </c>
      <c r="R308" t="s">
        <v>540</v>
      </c>
      <c r="S308" t="s">
        <v>541</v>
      </c>
      <c r="T308" t="s">
        <v>3996</v>
      </c>
      <c r="U308" t="s">
        <v>676</v>
      </c>
      <c r="V308" t="s">
        <v>4049</v>
      </c>
      <c r="W308" t="s">
        <v>4010</v>
      </c>
      <c r="X308" t="s">
        <v>4000</v>
      </c>
      <c r="Y308" t="s">
        <v>93</v>
      </c>
      <c r="Z308" t="s">
        <v>4001</v>
      </c>
      <c r="AA308" t="s">
        <v>4050</v>
      </c>
      <c r="AB308" t="s">
        <v>119</v>
      </c>
      <c r="AC308" t="s">
        <v>4051</v>
      </c>
      <c r="AD308" t="s">
        <v>4001</v>
      </c>
      <c r="AE308" t="s">
        <v>4050</v>
      </c>
      <c r="AF308" t="s">
        <v>119</v>
      </c>
      <c r="AG308" t="s">
        <v>4051</v>
      </c>
      <c r="AI308" t="s">
        <v>4052</v>
      </c>
      <c r="AJ308" t="s">
        <v>4001</v>
      </c>
      <c r="AK308" t="s">
        <v>99</v>
      </c>
      <c r="AL308" t="s">
        <v>4053</v>
      </c>
      <c r="AM308" t="s">
        <v>4054</v>
      </c>
      <c r="AN308" t="s">
        <v>2578</v>
      </c>
      <c r="AR308" t="s">
        <v>125</v>
      </c>
      <c r="AT308" t="s">
        <v>4055</v>
      </c>
      <c r="AV308" t="s">
        <v>128</v>
      </c>
      <c r="AZ308" t="s">
        <v>80</v>
      </c>
    </row>
    <row r="309" spans="1:52" hidden="1" x14ac:dyDescent="0.25">
      <c r="A309" t="s">
        <v>4056</v>
      </c>
      <c r="B309" t="s">
        <v>4057</v>
      </c>
      <c r="C309" t="s">
        <v>4058</v>
      </c>
      <c r="D309" t="s">
        <v>2544</v>
      </c>
      <c r="E309" t="s">
        <v>4059</v>
      </c>
      <c r="F309" t="s">
        <v>4060</v>
      </c>
      <c r="G309" t="s">
        <v>4060</v>
      </c>
      <c r="J309" t="s">
        <v>80</v>
      </c>
      <c r="K309" t="s">
        <v>110</v>
      </c>
      <c r="L309" t="s">
        <v>111</v>
      </c>
      <c r="M309">
        <v>60429</v>
      </c>
      <c r="P309" t="s">
        <v>154</v>
      </c>
      <c r="Q309" t="s">
        <v>1284</v>
      </c>
      <c r="R309" t="s">
        <v>1285</v>
      </c>
      <c r="S309" t="s">
        <v>1124</v>
      </c>
      <c r="T309" t="s">
        <v>4018</v>
      </c>
      <c r="U309" t="s">
        <v>4061</v>
      </c>
      <c r="V309" t="s">
        <v>1955</v>
      </c>
      <c r="W309" t="s">
        <v>4029</v>
      </c>
      <c r="X309" t="s">
        <v>4020</v>
      </c>
      <c r="Y309" t="s">
        <v>93</v>
      </c>
      <c r="Z309" t="s">
        <v>119</v>
      </c>
      <c r="AA309" t="s">
        <v>2459</v>
      </c>
      <c r="AB309" t="s">
        <v>622</v>
      </c>
      <c r="AC309" t="s">
        <v>4062</v>
      </c>
      <c r="AD309" t="s">
        <v>119</v>
      </c>
      <c r="AE309" t="s">
        <v>2459</v>
      </c>
      <c r="AF309" t="s">
        <v>622</v>
      </c>
      <c r="AG309" t="s">
        <v>4062</v>
      </c>
      <c r="AI309" t="s">
        <v>2460</v>
      </c>
      <c r="AJ309" t="s">
        <v>119</v>
      </c>
      <c r="AK309" t="s">
        <v>99</v>
      </c>
      <c r="AL309" t="s">
        <v>4063</v>
      </c>
      <c r="AM309" t="s">
        <v>4064</v>
      </c>
      <c r="AN309" t="s">
        <v>2555</v>
      </c>
      <c r="AR309" t="s">
        <v>125</v>
      </c>
      <c r="AT309" t="s">
        <v>4065</v>
      </c>
      <c r="AV309" t="s">
        <v>128</v>
      </c>
      <c r="AZ309" t="s">
        <v>80</v>
      </c>
    </row>
    <row r="310" spans="1:52" hidden="1" x14ac:dyDescent="0.25">
      <c r="A310" t="s">
        <v>4066</v>
      </c>
      <c r="B310" t="s">
        <v>4057</v>
      </c>
      <c r="C310" t="s">
        <v>4067</v>
      </c>
      <c r="D310" t="s">
        <v>2544</v>
      </c>
      <c r="E310" t="s">
        <v>4068</v>
      </c>
      <c r="F310" t="s">
        <v>4060</v>
      </c>
      <c r="G310" t="s">
        <v>4060</v>
      </c>
      <c r="J310" t="s">
        <v>80</v>
      </c>
      <c r="K310" t="s">
        <v>110</v>
      </c>
      <c r="L310" t="s">
        <v>111</v>
      </c>
      <c r="M310">
        <v>60429</v>
      </c>
      <c r="P310" t="s">
        <v>154</v>
      </c>
      <c r="Q310" t="s">
        <v>1284</v>
      </c>
      <c r="R310" t="s">
        <v>1285</v>
      </c>
      <c r="S310" t="s">
        <v>1124</v>
      </c>
      <c r="T310" t="s">
        <v>4018</v>
      </c>
      <c r="U310" t="s">
        <v>4061</v>
      </c>
      <c r="V310" t="s">
        <v>1955</v>
      </c>
      <c r="W310" t="s">
        <v>4019</v>
      </c>
      <c r="X310" t="s">
        <v>4020</v>
      </c>
      <c r="Y310" t="s">
        <v>93</v>
      </c>
      <c r="Z310" t="s">
        <v>119</v>
      </c>
      <c r="AA310" t="s">
        <v>2459</v>
      </c>
      <c r="AB310" t="s">
        <v>622</v>
      </c>
      <c r="AC310" t="s">
        <v>4062</v>
      </c>
      <c r="AD310" t="s">
        <v>119</v>
      </c>
      <c r="AE310" t="s">
        <v>2459</v>
      </c>
      <c r="AF310" t="s">
        <v>622</v>
      </c>
      <c r="AG310" t="s">
        <v>4062</v>
      </c>
      <c r="AI310" t="s">
        <v>2460</v>
      </c>
      <c r="AJ310" t="s">
        <v>119</v>
      </c>
      <c r="AK310" t="s">
        <v>99</v>
      </c>
      <c r="AL310" t="s">
        <v>4069</v>
      </c>
      <c r="AM310" t="s">
        <v>4064</v>
      </c>
      <c r="AN310" t="s">
        <v>2555</v>
      </c>
      <c r="AR310" t="s">
        <v>125</v>
      </c>
      <c r="AT310" t="s">
        <v>4070</v>
      </c>
      <c r="AV310" t="s">
        <v>128</v>
      </c>
      <c r="AZ310" t="s">
        <v>80</v>
      </c>
    </row>
    <row r="311" spans="1:52" hidden="1" x14ac:dyDescent="0.25">
      <c r="A311" t="s">
        <v>4071</v>
      </c>
      <c r="B311" t="s">
        <v>4072</v>
      </c>
      <c r="C311" t="s">
        <v>4073</v>
      </c>
      <c r="D311" t="s">
        <v>2544</v>
      </c>
      <c r="E311" t="s">
        <v>4074</v>
      </c>
      <c r="F311" t="s">
        <v>4075</v>
      </c>
      <c r="G311" t="s">
        <v>4075</v>
      </c>
      <c r="J311" t="s">
        <v>80</v>
      </c>
      <c r="K311" t="s">
        <v>110</v>
      </c>
      <c r="L311" t="s">
        <v>111</v>
      </c>
      <c r="M311">
        <v>60427</v>
      </c>
      <c r="P311" t="s">
        <v>154</v>
      </c>
      <c r="Q311" t="s">
        <v>539</v>
      </c>
      <c r="R311" t="s">
        <v>540</v>
      </c>
      <c r="S311" t="s">
        <v>541</v>
      </c>
      <c r="T311" t="s">
        <v>3996</v>
      </c>
      <c r="U311" t="s">
        <v>1415</v>
      </c>
      <c r="V311" t="s">
        <v>4076</v>
      </c>
      <c r="W311" t="s">
        <v>4010</v>
      </c>
      <c r="X311" t="s">
        <v>4000</v>
      </c>
      <c r="Y311" t="s">
        <v>93</v>
      </c>
      <c r="Z311" t="s">
        <v>119</v>
      </c>
      <c r="AA311" t="s">
        <v>4077</v>
      </c>
      <c r="AB311" t="s">
        <v>4001</v>
      </c>
      <c r="AC311" t="s">
        <v>4078</v>
      </c>
      <c r="AD311" t="s">
        <v>119</v>
      </c>
      <c r="AE311" t="s">
        <v>4077</v>
      </c>
      <c r="AF311" t="s">
        <v>4001</v>
      </c>
      <c r="AG311" t="s">
        <v>4078</v>
      </c>
      <c r="AI311" t="s">
        <v>4079</v>
      </c>
      <c r="AJ311" t="s">
        <v>119</v>
      </c>
      <c r="AK311" t="s">
        <v>99</v>
      </c>
      <c r="AL311" t="s">
        <v>4080</v>
      </c>
      <c r="AM311" t="s">
        <v>4081</v>
      </c>
      <c r="AN311" t="s">
        <v>2578</v>
      </c>
      <c r="AR311" t="s">
        <v>125</v>
      </c>
      <c r="AT311" t="s">
        <v>4082</v>
      </c>
      <c r="AV311" t="s">
        <v>128</v>
      </c>
      <c r="AZ311" t="s">
        <v>80</v>
      </c>
    </row>
    <row r="312" spans="1:52" hidden="1" x14ac:dyDescent="0.25">
      <c r="A312" t="s">
        <v>4083</v>
      </c>
      <c r="B312" t="s">
        <v>4072</v>
      </c>
      <c r="C312" t="s">
        <v>4084</v>
      </c>
      <c r="D312" t="s">
        <v>2544</v>
      </c>
      <c r="E312" t="s">
        <v>4085</v>
      </c>
      <c r="F312" t="s">
        <v>4075</v>
      </c>
      <c r="G312" t="s">
        <v>4075</v>
      </c>
      <c r="J312" t="s">
        <v>80</v>
      </c>
      <c r="K312" t="s">
        <v>110</v>
      </c>
      <c r="L312" t="s">
        <v>111</v>
      </c>
      <c r="M312">
        <v>60427</v>
      </c>
      <c r="P312" t="s">
        <v>154</v>
      </c>
      <c r="Q312" t="s">
        <v>539</v>
      </c>
      <c r="R312" t="s">
        <v>540</v>
      </c>
      <c r="S312" t="s">
        <v>541</v>
      </c>
      <c r="T312" t="s">
        <v>3996</v>
      </c>
      <c r="U312" t="s">
        <v>1415</v>
      </c>
      <c r="V312" t="s">
        <v>4076</v>
      </c>
      <c r="W312" t="s">
        <v>3999</v>
      </c>
      <c r="X312" t="s">
        <v>4000</v>
      </c>
      <c r="Y312" t="s">
        <v>93</v>
      </c>
      <c r="Z312" t="s">
        <v>119</v>
      </c>
      <c r="AA312" t="s">
        <v>4077</v>
      </c>
      <c r="AB312" t="s">
        <v>4001</v>
      </c>
      <c r="AC312" t="s">
        <v>4078</v>
      </c>
      <c r="AD312" t="s">
        <v>119</v>
      </c>
      <c r="AE312" t="s">
        <v>4077</v>
      </c>
      <c r="AF312" t="s">
        <v>4001</v>
      </c>
      <c r="AG312" t="s">
        <v>4078</v>
      </c>
      <c r="AI312" t="s">
        <v>4079</v>
      </c>
      <c r="AJ312" t="s">
        <v>119</v>
      </c>
      <c r="AK312" t="s">
        <v>99</v>
      </c>
      <c r="AL312" t="s">
        <v>4086</v>
      </c>
      <c r="AM312" t="s">
        <v>4081</v>
      </c>
      <c r="AN312" t="s">
        <v>2578</v>
      </c>
      <c r="AR312" t="s">
        <v>125</v>
      </c>
      <c r="AT312" t="s">
        <v>4082</v>
      </c>
      <c r="AV312" t="s">
        <v>128</v>
      </c>
      <c r="AZ312" t="s">
        <v>80</v>
      </c>
    </row>
    <row r="313" spans="1:52" hidden="1" x14ac:dyDescent="0.25">
      <c r="A313" t="s">
        <v>4087</v>
      </c>
      <c r="B313" t="s">
        <v>4088</v>
      </c>
      <c r="C313" t="s">
        <v>4089</v>
      </c>
      <c r="D313" t="s">
        <v>2544</v>
      </c>
      <c r="E313" t="s">
        <v>4090</v>
      </c>
      <c r="F313" t="s">
        <v>4091</v>
      </c>
      <c r="G313" t="s">
        <v>4091</v>
      </c>
      <c r="J313" t="s">
        <v>80</v>
      </c>
      <c r="K313" t="s">
        <v>110</v>
      </c>
      <c r="L313" t="s">
        <v>111</v>
      </c>
      <c r="M313">
        <v>60425</v>
      </c>
      <c r="P313" t="s">
        <v>154</v>
      </c>
      <c r="Q313" t="s">
        <v>1284</v>
      </c>
      <c r="R313" t="s">
        <v>1285</v>
      </c>
      <c r="S313" t="s">
        <v>1124</v>
      </c>
      <c r="T313" t="s">
        <v>4018</v>
      </c>
      <c r="U313" t="s">
        <v>4092</v>
      </c>
      <c r="V313" t="s">
        <v>1955</v>
      </c>
      <c r="W313" t="s">
        <v>4029</v>
      </c>
      <c r="X313" t="s">
        <v>4020</v>
      </c>
      <c r="Y313" t="s">
        <v>93</v>
      </c>
      <c r="Z313" t="s">
        <v>119</v>
      </c>
      <c r="AA313" t="s">
        <v>3812</v>
      </c>
      <c r="AB313" t="s">
        <v>622</v>
      </c>
      <c r="AC313" t="s">
        <v>4093</v>
      </c>
      <c r="AD313" t="s">
        <v>119</v>
      </c>
      <c r="AE313" t="s">
        <v>3812</v>
      </c>
      <c r="AF313" t="s">
        <v>622</v>
      </c>
      <c r="AG313" t="s">
        <v>4093</v>
      </c>
      <c r="AI313" t="s">
        <v>4094</v>
      </c>
      <c r="AJ313" t="s">
        <v>119</v>
      </c>
      <c r="AK313" t="s">
        <v>99</v>
      </c>
      <c r="AL313" t="s">
        <v>4095</v>
      </c>
      <c r="AM313" t="s">
        <v>4096</v>
      </c>
      <c r="AN313" t="s">
        <v>2555</v>
      </c>
      <c r="AR313" t="s">
        <v>125</v>
      </c>
      <c r="AT313" t="s">
        <v>4097</v>
      </c>
      <c r="AV313" t="s">
        <v>128</v>
      </c>
      <c r="AZ313" t="s">
        <v>80</v>
      </c>
    </row>
    <row r="314" spans="1:52" hidden="1" x14ac:dyDescent="0.25">
      <c r="A314" t="s">
        <v>4098</v>
      </c>
      <c r="B314" t="s">
        <v>4099</v>
      </c>
      <c r="C314" t="s">
        <v>4100</v>
      </c>
      <c r="D314" t="s">
        <v>2544</v>
      </c>
      <c r="E314" t="s">
        <v>4101</v>
      </c>
      <c r="F314" t="s">
        <v>4102</v>
      </c>
      <c r="G314" t="s">
        <v>4102</v>
      </c>
      <c r="J314" t="s">
        <v>80</v>
      </c>
      <c r="K314" t="s">
        <v>110</v>
      </c>
      <c r="L314" t="s">
        <v>111</v>
      </c>
      <c r="M314">
        <v>60423</v>
      </c>
      <c r="P314" t="s">
        <v>154</v>
      </c>
      <c r="Q314" t="s">
        <v>539</v>
      </c>
      <c r="R314" t="s">
        <v>540</v>
      </c>
      <c r="S314" t="s">
        <v>541</v>
      </c>
      <c r="T314" t="s">
        <v>4018</v>
      </c>
      <c r="U314" t="s">
        <v>4092</v>
      </c>
      <c r="V314" t="s">
        <v>1955</v>
      </c>
      <c r="W314" t="s">
        <v>4029</v>
      </c>
      <c r="X314" t="s">
        <v>4020</v>
      </c>
      <c r="Y314" t="s">
        <v>93</v>
      </c>
      <c r="Z314" t="s">
        <v>119</v>
      </c>
      <c r="AA314" t="s">
        <v>3323</v>
      </c>
      <c r="AB314" t="s">
        <v>622</v>
      </c>
      <c r="AC314" t="s">
        <v>4103</v>
      </c>
      <c r="AD314" t="s">
        <v>119</v>
      </c>
      <c r="AE314" t="s">
        <v>3323</v>
      </c>
      <c r="AF314" t="s">
        <v>622</v>
      </c>
      <c r="AG314" t="s">
        <v>4103</v>
      </c>
      <c r="AI314" t="s">
        <v>4104</v>
      </c>
      <c r="AJ314" t="s">
        <v>119</v>
      </c>
      <c r="AK314" t="s">
        <v>99</v>
      </c>
      <c r="AL314" t="s">
        <v>4105</v>
      </c>
      <c r="AM314" t="s">
        <v>4106</v>
      </c>
      <c r="AN314" t="s">
        <v>2555</v>
      </c>
      <c r="AR314" t="s">
        <v>125</v>
      </c>
      <c r="AT314" t="s">
        <v>4107</v>
      </c>
      <c r="AV314" t="s">
        <v>128</v>
      </c>
      <c r="AZ314" t="s">
        <v>80</v>
      </c>
    </row>
    <row r="315" spans="1:52" hidden="1" x14ac:dyDescent="0.25">
      <c r="A315" t="s">
        <v>4108</v>
      </c>
      <c r="B315" t="s">
        <v>4109</v>
      </c>
      <c r="C315" t="s">
        <v>4110</v>
      </c>
      <c r="D315" t="s">
        <v>2544</v>
      </c>
      <c r="E315" t="s">
        <v>4111</v>
      </c>
      <c r="F315" t="s">
        <v>4112</v>
      </c>
      <c r="G315" t="s">
        <v>4112</v>
      </c>
      <c r="J315" t="s">
        <v>80</v>
      </c>
      <c r="K315" t="s">
        <v>110</v>
      </c>
      <c r="L315" t="s">
        <v>111</v>
      </c>
      <c r="M315">
        <v>60421</v>
      </c>
      <c r="P315" t="s">
        <v>154</v>
      </c>
      <c r="Q315" t="s">
        <v>539</v>
      </c>
      <c r="R315" t="s">
        <v>540</v>
      </c>
      <c r="S315" t="s">
        <v>541</v>
      </c>
      <c r="T315" t="s">
        <v>3996</v>
      </c>
      <c r="U315" t="s">
        <v>1415</v>
      </c>
      <c r="V315" t="s">
        <v>4076</v>
      </c>
      <c r="W315" t="s">
        <v>4010</v>
      </c>
      <c r="X315" t="s">
        <v>4000</v>
      </c>
      <c r="Y315" t="s">
        <v>93</v>
      </c>
      <c r="Z315" t="s">
        <v>119</v>
      </c>
      <c r="AA315" t="s">
        <v>2523</v>
      </c>
      <c r="AB315" t="s">
        <v>4001</v>
      </c>
      <c r="AC315" t="s">
        <v>4113</v>
      </c>
      <c r="AD315" t="s">
        <v>119</v>
      </c>
      <c r="AE315" t="s">
        <v>2523</v>
      </c>
      <c r="AF315" t="s">
        <v>4001</v>
      </c>
      <c r="AG315" t="s">
        <v>4113</v>
      </c>
      <c r="AI315" t="s">
        <v>4114</v>
      </c>
      <c r="AJ315" t="s">
        <v>119</v>
      </c>
      <c r="AK315" t="s">
        <v>99</v>
      </c>
      <c r="AL315" t="s">
        <v>4115</v>
      </c>
      <c r="AM315" t="s">
        <v>4116</v>
      </c>
      <c r="AN315" t="s">
        <v>2578</v>
      </c>
      <c r="AR315" t="s">
        <v>125</v>
      </c>
      <c r="AT315" t="s">
        <v>4117</v>
      </c>
      <c r="AV315" t="s">
        <v>128</v>
      </c>
      <c r="AZ315" t="s">
        <v>80</v>
      </c>
    </row>
    <row r="316" spans="1:52" hidden="1" x14ac:dyDescent="0.25">
      <c r="A316" t="s">
        <v>4118</v>
      </c>
      <c r="B316" t="s">
        <v>4119</v>
      </c>
      <c r="C316" t="s">
        <v>4120</v>
      </c>
      <c r="D316" t="s">
        <v>2544</v>
      </c>
      <c r="E316" t="s">
        <v>4121</v>
      </c>
      <c r="F316" t="s">
        <v>4122</v>
      </c>
      <c r="G316" t="s">
        <v>4122</v>
      </c>
      <c r="J316" t="s">
        <v>80</v>
      </c>
      <c r="K316" t="s">
        <v>110</v>
      </c>
      <c r="L316" t="s">
        <v>111</v>
      </c>
      <c r="M316">
        <v>60400</v>
      </c>
      <c r="P316" t="s">
        <v>154</v>
      </c>
      <c r="Q316" t="s">
        <v>731</v>
      </c>
      <c r="R316" t="s">
        <v>732</v>
      </c>
      <c r="S316" t="s">
        <v>733</v>
      </c>
      <c r="T316" t="s">
        <v>4018</v>
      </c>
      <c r="U316" t="s">
        <v>3470</v>
      </c>
      <c r="V316" t="s">
        <v>2624</v>
      </c>
      <c r="W316" t="s">
        <v>4029</v>
      </c>
      <c r="X316" t="s">
        <v>4020</v>
      </c>
      <c r="Y316" t="s">
        <v>93</v>
      </c>
      <c r="Z316" t="s">
        <v>622</v>
      </c>
      <c r="AA316" t="s">
        <v>4123</v>
      </c>
      <c r="AB316" t="s">
        <v>119</v>
      </c>
      <c r="AC316" t="s">
        <v>4124</v>
      </c>
      <c r="AD316" t="s">
        <v>622</v>
      </c>
      <c r="AE316" t="s">
        <v>4123</v>
      </c>
      <c r="AF316" t="s">
        <v>119</v>
      </c>
      <c r="AG316" t="s">
        <v>4124</v>
      </c>
      <c r="AI316" t="s">
        <v>4125</v>
      </c>
      <c r="AJ316" t="s">
        <v>622</v>
      </c>
      <c r="AK316" t="s">
        <v>99</v>
      </c>
      <c r="AL316" t="s">
        <v>4126</v>
      </c>
      <c r="AM316" t="s">
        <v>4127</v>
      </c>
      <c r="AN316" t="s">
        <v>2555</v>
      </c>
      <c r="AR316" t="s">
        <v>125</v>
      </c>
      <c r="AT316" t="s">
        <v>4128</v>
      </c>
      <c r="AV316" t="s">
        <v>128</v>
      </c>
      <c r="AZ316" t="s">
        <v>80</v>
      </c>
    </row>
    <row r="317" spans="1:52" hidden="1" x14ac:dyDescent="0.25">
      <c r="A317" t="s">
        <v>4129</v>
      </c>
      <c r="B317" t="s">
        <v>4130</v>
      </c>
      <c r="C317" t="s">
        <v>4131</v>
      </c>
      <c r="D317" t="s">
        <v>2544</v>
      </c>
      <c r="E317" t="s">
        <v>4132</v>
      </c>
      <c r="F317" t="s">
        <v>4133</v>
      </c>
      <c r="G317" t="s">
        <v>4133</v>
      </c>
      <c r="J317" t="s">
        <v>80</v>
      </c>
      <c r="K317" t="s">
        <v>110</v>
      </c>
      <c r="L317" t="s">
        <v>111</v>
      </c>
      <c r="M317">
        <v>69530</v>
      </c>
      <c r="N317" t="s">
        <v>4134</v>
      </c>
      <c r="P317" t="s">
        <v>2905</v>
      </c>
      <c r="Q317" t="s">
        <v>1205</v>
      </c>
      <c r="R317" t="s">
        <v>914</v>
      </c>
      <c r="S317" t="s">
        <v>444</v>
      </c>
      <c r="T317" t="s">
        <v>4135</v>
      </c>
      <c r="U317" t="s">
        <v>4136</v>
      </c>
      <c r="V317" t="s">
        <v>198</v>
      </c>
      <c r="W317" t="s">
        <v>4137</v>
      </c>
      <c r="X317" t="s">
        <v>4138</v>
      </c>
      <c r="Y317" t="s">
        <v>93</v>
      </c>
      <c r="Z317" t="s">
        <v>2911</v>
      </c>
      <c r="AA317" t="s">
        <v>4139</v>
      </c>
      <c r="AB317" t="s">
        <v>182</v>
      </c>
      <c r="AC317" t="s">
        <v>4140</v>
      </c>
      <c r="AD317" t="s">
        <v>2911</v>
      </c>
      <c r="AE317" t="s">
        <v>4139</v>
      </c>
      <c r="AF317" t="s">
        <v>182</v>
      </c>
      <c r="AG317" t="s">
        <v>4140</v>
      </c>
      <c r="AH317" t="s">
        <v>4141</v>
      </c>
      <c r="AI317" t="s">
        <v>570</v>
      </c>
      <c r="AJ317" t="s">
        <v>2911</v>
      </c>
      <c r="AK317" t="s">
        <v>99</v>
      </c>
      <c r="AL317" t="s">
        <v>4142</v>
      </c>
      <c r="AM317" t="s">
        <v>4143</v>
      </c>
      <c r="AN317" t="s">
        <v>2555</v>
      </c>
      <c r="AR317" t="s">
        <v>125</v>
      </c>
      <c r="AT317" t="s">
        <v>4144</v>
      </c>
      <c r="AV317" t="s">
        <v>128</v>
      </c>
      <c r="AZ317" t="s">
        <v>80</v>
      </c>
    </row>
    <row r="318" spans="1:52" hidden="1" x14ac:dyDescent="0.25">
      <c r="A318" t="s">
        <v>4145</v>
      </c>
      <c r="B318" t="s">
        <v>4146</v>
      </c>
      <c r="C318" t="s">
        <v>4147</v>
      </c>
      <c r="D318" t="s">
        <v>2544</v>
      </c>
      <c r="E318" t="s">
        <v>4148</v>
      </c>
      <c r="F318" t="s">
        <v>4149</v>
      </c>
      <c r="G318" t="s">
        <v>4149</v>
      </c>
      <c r="J318" t="s">
        <v>80</v>
      </c>
      <c r="K318" t="s">
        <v>110</v>
      </c>
      <c r="L318" t="s">
        <v>111</v>
      </c>
      <c r="M318">
        <v>69510</v>
      </c>
      <c r="P318" t="s">
        <v>154</v>
      </c>
      <c r="Q318" t="s">
        <v>539</v>
      </c>
      <c r="R318" t="s">
        <v>540</v>
      </c>
      <c r="S318" t="s">
        <v>541</v>
      </c>
      <c r="T318" t="s">
        <v>4150</v>
      </c>
      <c r="U318" t="s">
        <v>933</v>
      </c>
      <c r="V318" t="s">
        <v>4151</v>
      </c>
      <c r="W318" t="s">
        <v>3528</v>
      </c>
      <c r="X318" t="s">
        <v>4152</v>
      </c>
      <c r="Y318" t="s">
        <v>93</v>
      </c>
      <c r="Z318" t="s">
        <v>472</v>
      </c>
      <c r="AA318" t="s">
        <v>1367</v>
      </c>
      <c r="AB318" t="s">
        <v>182</v>
      </c>
      <c r="AC318" t="s">
        <v>2050</v>
      </c>
      <c r="AD318" t="s">
        <v>472</v>
      </c>
      <c r="AE318" t="s">
        <v>1367</v>
      </c>
      <c r="AF318" t="s">
        <v>182</v>
      </c>
      <c r="AG318" t="s">
        <v>2050</v>
      </c>
      <c r="AI318" t="s">
        <v>4153</v>
      </c>
      <c r="AJ318" t="s">
        <v>472</v>
      </c>
      <c r="AK318" t="s">
        <v>99</v>
      </c>
      <c r="AL318" t="s">
        <v>4154</v>
      </c>
      <c r="AM318" t="s">
        <v>4155</v>
      </c>
      <c r="AN318" t="s">
        <v>2555</v>
      </c>
      <c r="AR318" t="s">
        <v>125</v>
      </c>
      <c r="AT318" t="s">
        <v>4156</v>
      </c>
      <c r="AV318" t="s">
        <v>128</v>
      </c>
      <c r="AZ318" t="s">
        <v>80</v>
      </c>
    </row>
    <row r="319" spans="1:52" hidden="1" x14ac:dyDescent="0.25">
      <c r="A319" t="s">
        <v>4157</v>
      </c>
      <c r="B319" t="s">
        <v>4158</v>
      </c>
      <c r="C319" t="s">
        <v>4159</v>
      </c>
      <c r="D319" t="s">
        <v>2544</v>
      </c>
      <c r="E319" t="s">
        <v>4160</v>
      </c>
      <c r="F319" t="s">
        <v>4161</v>
      </c>
      <c r="G319" t="s">
        <v>4161</v>
      </c>
      <c r="J319" t="s">
        <v>80</v>
      </c>
      <c r="K319" t="s">
        <v>110</v>
      </c>
      <c r="L319" t="s">
        <v>111</v>
      </c>
      <c r="M319">
        <v>69549</v>
      </c>
      <c r="N319" t="s">
        <v>4162</v>
      </c>
      <c r="P319" t="s">
        <v>2905</v>
      </c>
      <c r="Q319" t="s">
        <v>1205</v>
      </c>
      <c r="R319" t="s">
        <v>914</v>
      </c>
      <c r="S319" t="s">
        <v>444</v>
      </c>
      <c r="T319" t="s">
        <v>4135</v>
      </c>
      <c r="U319" t="s">
        <v>3030</v>
      </c>
      <c r="V319" t="s">
        <v>321</v>
      </c>
      <c r="W319" t="s">
        <v>161</v>
      </c>
      <c r="X319" t="s">
        <v>4163</v>
      </c>
      <c r="Y319" t="s">
        <v>93</v>
      </c>
      <c r="Z319" t="s">
        <v>182</v>
      </c>
      <c r="AA319" t="s">
        <v>4164</v>
      </c>
      <c r="AB319" t="s">
        <v>2911</v>
      </c>
      <c r="AC319" t="s">
        <v>4165</v>
      </c>
      <c r="AD319" t="s">
        <v>182</v>
      </c>
      <c r="AE319" t="s">
        <v>4164</v>
      </c>
      <c r="AF319" t="s">
        <v>2911</v>
      </c>
      <c r="AG319" t="s">
        <v>4165</v>
      </c>
      <c r="AH319" t="s">
        <v>4166</v>
      </c>
      <c r="AI319" t="s">
        <v>4167</v>
      </c>
      <c r="AJ319" t="s">
        <v>182</v>
      </c>
      <c r="AK319" t="s">
        <v>99</v>
      </c>
      <c r="AL319" t="s">
        <v>4168</v>
      </c>
      <c r="AM319" t="s">
        <v>4169</v>
      </c>
      <c r="AN319" t="s">
        <v>2555</v>
      </c>
      <c r="AR319" t="s">
        <v>125</v>
      </c>
      <c r="AT319" t="s">
        <v>4170</v>
      </c>
      <c r="AV319" t="s">
        <v>128</v>
      </c>
      <c r="AZ319" t="s">
        <v>80</v>
      </c>
    </row>
    <row r="320" spans="1:52" hidden="1" x14ac:dyDescent="0.25">
      <c r="A320" t="s">
        <v>4171</v>
      </c>
      <c r="B320" t="s">
        <v>4172</v>
      </c>
      <c r="C320" t="s">
        <v>4173</v>
      </c>
      <c r="D320" t="s">
        <v>2544</v>
      </c>
      <c r="E320" t="s">
        <v>4174</v>
      </c>
      <c r="F320" t="s">
        <v>4175</v>
      </c>
      <c r="G320" t="s">
        <v>4175</v>
      </c>
      <c r="J320" t="s">
        <v>80</v>
      </c>
      <c r="K320" t="s">
        <v>110</v>
      </c>
      <c r="L320" t="s">
        <v>111</v>
      </c>
      <c r="M320">
        <v>69650</v>
      </c>
      <c r="P320" t="s">
        <v>154</v>
      </c>
      <c r="Q320" t="s">
        <v>539</v>
      </c>
      <c r="R320" t="s">
        <v>540</v>
      </c>
      <c r="S320" t="s">
        <v>541</v>
      </c>
      <c r="T320" t="s">
        <v>4176</v>
      </c>
      <c r="U320" t="s">
        <v>1432</v>
      </c>
      <c r="V320" t="s">
        <v>2808</v>
      </c>
      <c r="W320" t="s">
        <v>3528</v>
      </c>
      <c r="X320" t="s">
        <v>4177</v>
      </c>
      <c r="Y320" t="s">
        <v>93</v>
      </c>
      <c r="Z320" t="s">
        <v>699</v>
      </c>
      <c r="AA320" t="s">
        <v>4178</v>
      </c>
      <c r="AB320" t="s">
        <v>119</v>
      </c>
      <c r="AC320" t="s">
        <v>4179</v>
      </c>
      <c r="AD320" t="s">
        <v>699</v>
      </c>
      <c r="AE320" t="s">
        <v>4178</v>
      </c>
      <c r="AF320" t="s">
        <v>119</v>
      </c>
      <c r="AG320" t="s">
        <v>4179</v>
      </c>
      <c r="AI320" t="s">
        <v>4180</v>
      </c>
      <c r="AJ320" t="s">
        <v>699</v>
      </c>
      <c r="AK320" t="s">
        <v>99</v>
      </c>
      <c r="AL320" t="s">
        <v>4181</v>
      </c>
      <c r="AM320" t="s">
        <v>4182</v>
      </c>
      <c r="AN320" t="s">
        <v>2578</v>
      </c>
      <c r="AR320" t="s">
        <v>125</v>
      </c>
      <c r="AT320" t="s">
        <v>4183</v>
      </c>
      <c r="AV320" t="s">
        <v>128</v>
      </c>
      <c r="AZ320" t="s">
        <v>80</v>
      </c>
    </row>
    <row r="321" spans="1:52" hidden="1" x14ac:dyDescent="0.25">
      <c r="A321" t="s">
        <v>4184</v>
      </c>
      <c r="B321" t="s">
        <v>4185</v>
      </c>
      <c r="C321" t="s">
        <v>4186</v>
      </c>
      <c r="D321" t="s">
        <v>2544</v>
      </c>
      <c r="E321" t="s">
        <v>4187</v>
      </c>
      <c r="F321" t="s">
        <v>4188</v>
      </c>
      <c r="G321" t="s">
        <v>4188</v>
      </c>
      <c r="J321" t="s">
        <v>80</v>
      </c>
      <c r="K321" t="s">
        <v>110</v>
      </c>
      <c r="L321" t="s">
        <v>111</v>
      </c>
      <c r="M321">
        <v>69480</v>
      </c>
      <c r="N321" t="s">
        <v>4189</v>
      </c>
      <c r="P321" t="s">
        <v>2905</v>
      </c>
      <c r="Q321" t="s">
        <v>3044</v>
      </c>
      <c r="R321" t="s">
        <v>444</v>
      </c>
      <c r="S321" t="s">
        <v>313</v>
      </c>
      <c r="T321" t="s">
        <v>3045</v>
      </c>
      <c r="U321" t="s">
        <v>3046</v>
      </c>
      <c r="V321" t="s">
        <v>3047</v>
      </c>
      <c r="W321" t="s">
        <v>161</v>
      </c>
      <c r="X321" t="s">
        <v>4190</v>
      </c>
      <c r="Y321" t="s">
        <v>93</v>
      </c>
      <c r="Z321" t="s">
        <v>3050</v>
      </c>
      <c r="AA321" t="s">
        <v>4191</v>
      </c>
      <c r="AB321" t="s">
        <v>3052</v>
      </c>
      <c r="AC321" t="s">
        <v>4192</v>
      </c>
      <c r="AD321" t="s">
        <v>3050</v>
      </c>
      <c r="AE321" t="s">
        <v>4191</v>
      </c>
      <c r="AF321" t="s">
        <v>3052</v>
      </c>
      <c r="AG321" t="s">
        <v>4192</v>
      </c>
      <c r="AH321" t="s">
        <v>3054</v>
      </c>
      <c r="AI321" t="s">
        <v>4193</v>
      </c>
      <c r="AJ321" t="s">
        <v>3050</v>
      </c>
      <c r="AK321" t="s">
        <v>99</v>
      </c>
      <c r="AL321" t="s">
        <v>4194</v>
      </c>
      <c r="AM321" t="s">
        <v>4195</v>
      </c>
      <c r="AN321" t="s">
        <v>2555</v>
      </c>
      <c r="AR321" t="s">
        <v>125</v>
      </c>
      <c r="AT321" t="s">
        <v>4196</v>
      </c>
      <c r="AV321" t="s">
        <v>128</v>
      </c>
      <c r="AZ321" t="s">
        <v>80</v>
      </c>
    </row>
    <row r="322" spans="1:52" hidden="1" x14ac:dyDescent="0.25">
      <c r="A322" t="s">
        <v>4197</v>
      </c>
      <c r="B322" t="s">
        <v>2500</v>
      </c>
      <c r="C322" t="s">
        <v>4198</v>
      </c>
      <c r="D322" t="s">
        <v>2544</v>
      </c>
      <c r="E322" t="s">
        <v>4199</v>
      </c>
      <c r="F322" t="s">
        <v>2481</v>
      </c>
      <c r="G322" t="s">
        <v>2481</v>
      </c>
      <c r="J322" t="s">
        <v>80</v>
      </c>
      <c r="K322" t="s">
        <v>110</v>
      </c>
      <c r="L322" t="s">
        <v>111</v>
      </c>
      <c r="M322">
        <v>69287</v>
      </c>
      <c r="P322" t="s">
        <v>154</v>
      </c>
      <c r="Q322" t="s">
        <v>731</v>
      </c>
      <c r="R322" t="s">
        <v>732</v>
      </c>
      <c r="S322" t="s">
        <v>541</v>
      </c>
      <c r="T322" t="s">
        <v>824</v>
      </c>
      <c r="U322" t="s">
        <v>1833</v>
      </c>
      <c r="V322" t="s">
        <v>2456</v>
      </c>
      <c r="W322" t="s">
        <v>4200</v>
      </c>
      <c r="X322" t="s">
        <v>4201</v>
      </c>
      <c r="Y322" t="s">
        <v>93</v>
      </c>
      <c r="Z322" t="s">
        <v>119</v>
      </c>
      <c r="AA322" t="s">
        <v>2459</v>
      </c>
      <c r="AB322" t="s">
        <v>829</v>
      </c>
      <c r="AC322" t="s">
        <v>1118</v>
      </c>
      <c r="AD322" t="s">
        <v>119</v>
      </c>
      <c r="AE322" t="s">
        <v>2459</v>
      </c>
      <c r="AF322" t="s">
        <v>829</v>
      </c>
      <c r="AG322" t="s">
        <v>1118</v>
      </c>
      <c r="AI322" t="s">
        <v>2460</v>
      </c>
      <c r="AJ322" t="s">
        <v>119</v>
      </c>
      <c r="AK322" t="s">
        <v>99</v>
      </c>
      <c r="AL322" t="s">
        <v>4202</v>
      </c>
      <c r="AM322" t="s">
        <v>4203</v>
      </c>
      <c r="AR322" t="s">
        <v>125</v>
      </c>
      <c r="AT322" t="s">
        <v>4204</v>
      </c>
      <c r="AV322" t="s">
        <v>128</v>
      </c>
      <c r="AZ322" t="s">
        <v>80</v>
      </c>
    </row>
    <row r="323" spans="1:52" hidden="1" x14ac:dyDescent="0.25">
      <c r="A323" t="s">
        <v>4205</v>
      </c>
      <c r="B323" t="s">
        <v>2594</v>
      </c>
      <c r="C323" t="s">
        <v>4198</v>
      </c>
      <c r="D323" t="s">
        <v>2544</v>
      </c>
      <c r="E323" t="s">
        <v>4206</v>
      </c>
      <c r="F323" t="s">
        <v>4207</v>
      </c>
      <c r="G323" t="s">
        <v>4207</v>
      </c>
      <c r="J323" t="s">
        <v>80</v>
      </c>
      <c r="K323" t="s">
        <v>110</v>
      </c>
      <c r="L323" t="s">
        <v>111</v>
      </c>
      <c r="M323">
        <v>69285</v>
      </c>
      <c r="P323" t="s">
        <v>154</v>
      </c>
      <c r="Q323" t="s">
        <v>731</v>
      </c>
      <c r="R323" t="s">
        <v>732</v>
      </c>
      <c r="S323" t="s">
        <v>541</v>
      </c>
      <c r="T323" t="s">
        <v>542</v>
      </c>
      <c r="U323" t="s">
        <v>675</v>
      </c>
      <c r="V323" t="s">
        <v>2598</v>
      </c>
      <c r="W323" t="s">
        <v>4208</v>
      </c>
      <c r="X323" t="s">
        <v>4209</v>
      </c>
      <c r="Y323" t="s">
        <v>93</v>
      </c>
      <c r="Z323" t="s">
        <v>119</v>
      </c>
      <c r="AA323" t="s">
        <v>2459</v>
      </c>
      <c r="AB323" t="s">
        <v>548</v>
      </c>
      <c r="AC323" t="s">
        <v>2601</v>
      </c>
      <c r="AD323" t="s">
        <v>119</v>
      </c>
      <c r="AE323" t="s">
        <v>2459</v>
      </c>
      <c r="AF323" t="s">
        <v>548</v>
      </c>
      <c r="AG323" t="s">
        <v>2601</v>
      </c>
      <c r="AI323" t="s">
        <v>2460</v>
      </c>
      <c r="AJ323" t="s">
        <v>119</v>
      </c>
      <c r="AK323" t="s">
        <v>99</v>
      </c>
      <c r="AL323" t="s">
        <v>4210</v>
      </c>
      <c r="AM323" t="s">
        <v>4203</v>
      </c>
      <c r="AR323" t="s">
        <v>125</v>
      </c>
      <c r="AT323" t="s">
        <v>4211</v>
      </c>
      <c r="AV323" t="s">
        <v>128</v>
      </c>
      <c r="AZ323" t="s">
        <v>80</v>
      </c>
    </row>
    <row r="324" spans="1:52" hidden="1" x14ac:dyDescent="0.25">
      <c r="A324" t="s">
        <v>4212</v>
      </c>
      <c r="B324" t="s">
        <v>3420</v>
      </c>
      <c r="C324" t="s">
        <v>4213</v>
      </c>
      <c r="D324" t="s">
        <v>2544</v>
      </c>
      <c r="E324" t="s">
        <v>4214</v>
      </c>
      <c r="F324" t="s">
        <v>3423</v>
      </c>
      <c r="G324" t="s">
        <v>3424</v>
      </c>
      <c r="J324" t="s">
        <v>80</v>
      </c>
      <c r="K324" t="s">
        <v>597</v>
      </c>
      <c r="L324" t="s">
        <v>111</v>
      </c>
      <c r="M324" t="s">
        <v>3425</v>
      </c>
      <c r="O324" t="s">
        <v>3426</v>
      </c>
      <c r="P324" t="s">
        <v>1819</v>
      </c>
      <c r="Q324" t="s">
        <v>2687</v>
      </c>
      <c r="R324" t="s">
        <v>1441</v>
      </c>
      <c r="S324" t="s">
        <v>748</v>
      </c>
      <c r="T324" t="s">
        <v>3427</v>
      </c>
      <c r="U324" t="s">
        <v>526</v>
      </c>
      <c r="V324" t="s">
        <v>2926</v>
      </c>
      <c r="W324" t="s">
        <v>4215</v>
      </c>
      <c r="X324" t="s">
        <v>4216</v>
      </c>
      <c r="Y324" t="s">
        <v>93</v>
      </c>
      <c r="Z324" t="s">
        <v>2986</v>
      </c>
      <c r="AA324" t="s">
        <v>3430</v>
      </c>
      <c r="AB324" t="s">
        <v>119</v>
      </c>
      <c r="AC324" t="s">
        <v>680</v>
      </c>
      <c r="AD324" t="s">
        <v>2986</v>
      </c>
      <c r="AE324" t="s">
        <v>3430</v>
      </c>
      <c r="AF324" t="s">
        <v>119</v>
      </c>
      <c r="AG324" t="s">
        <v>680</v>
      </c>
      <c r="AI324" t="s">
        <v>4217</v>
      </c>
      <c r="AJ324" t="s">
        <v>2986</v>
      </c>
      <c r="AK324" t="s">
        <v>99</v>
      </c>
      <c r="AL324" t="s">
        <v>4218</v>
      </c>
      <c r="AM324" t="s">
        <v>3433</v>
      </c>
      <c r="AR324" t="s">
        <v>125</v>
      </c>
      <c r="AT324" t="s">
        <v>4219</v>
      </c>
      <c r="AV324" t="s">
        <v>190</v>
      </c>
      <c r="AZ324" t="s">
        <v>80</v>
      </c>
    </row>
    <row r="325" spans="1:52" hidden="1" x14ac:dyDescent="0.25">
      <c r="A325" t="s">
        <v>4220</v>
      </c>
      <c r="B325" t="s">
        <v>3420</v>
      </c>
      <c r="C325" t="s">
        <v>4213</v>
      </c>
      <c r="D325" t="s">
        <v>2544</v>
      </c>
      <c r="E325" t="s">
        <v>4221</v>
      </c>
      <c r="F325" t="s">
        <v>3423</v>
      </c>
      <c r="G325" t="s">
        <v>3424</v>
      </c>
      <c r="J325" t="s">
        <v>80</v>
      </c>
      <c r="K325" t="s">
        <v>597</v>
      </c>
      <c r="L325" t="s">
        <v>111</v>
      </c>
      <c r="M325" t="s">
        <v>3425</v>
      </c>
      <c r="O325" t="s">
        <v>3426</v>
      </c>
      <c r="P325" t="s">
        <v>1819</v>
      </c>
      <c r="Q325" t="s">
        <v>2687</v>
      </c>
      <c r="R325" t="s">
        <v>1441</v>
      </c>
      <c r="S325" t="s">
        <v>748</v>
      </c>
      <c r="T325" t="s">
        <v>3427</v>
      </c>
      <c r="U325" t="s">
        <v>526</v>
      </c>
      <c r="V325" t="s">
        <v>2926</v>
      </c>
      <c r="W325" t="s">
        <v>4222</v>
      </c>
      <c r="X325" t="s">
        <v>4223</v>
      </c>
      <c r="Y325" t="s">
        <v>93</v>
      </c>
      <c r="Z325" t="s">
        <v>2986</v>
      </c>
      <c r="AA325" t="s">
        <v>3430</v>
      </c>
      <c r="AB325" t="s">
        <v>119</v>
      </c>
      <c r="AC325" t="s">
        <v>680</v>
      </c>
      <c r="AD325" t="s">
        <v>2986</v>
      </c>
      <c r="AE325" t="s">
        <v>3430</v>
      </c>
      <c r="AF325" t="s">
        <v>119</v>
      </c>
      <c r="AG325" t="s">
        <v>680</v>
      </c>
      <c r="AI325" t="s">
        <v>3431</v>
      </c>
      <c r="AJ325" t="s">
        <v>2986</v>
      </c>
      <c r="AK325" t="s">
        <v>99</v>
      </c>
      <c r="AL325" t="s">
        <v>4224</v>
      </c>
      <c r="AM325" t="s">
        <v>3433</v>
      </c>
      <c r="AR325" t="s">
        <v>125</v>
      </c>
      <c r="AT325" t="s">
        <v>4225</v>
      </c>
      <c r="AV325" t="s">
        <v>190</v>
      </c>
      <c r="AZ325" t="s">
        <v>80</v>
      </c>
    </row>
    <row r="326" spans="1:52" hidden="1" x14ac:dyDescent="0.25">
      <c r="A326" t="s">
        <v>4226</v>
      </c>
      <c r="B326" t="s">
        <v>3420</v>
      </c>
      <c r="C326" t="s">
        <v>4213</v>
      </c>
      <c r="D326" t="s">
        <v>2544</v>
      </c>
      <c r="E326" t="s">
        <v>4227</v>
      </c>
      <c r="F326" t="s">
        <v>3423</v>
      </c>
      <c r="G326" t="s">
        <v>3424</v>
      </c>
      <c r="J326" t="s">
        <v>80</v>
      </c>
      <c r="K326" t="s">
        <v>597</v>
      </c>
      <c r="L326" t="s">
        <v>111</v>
      </c>
      <c r="M326" t="s">
        <v>3425</v>
      </c>
      <c r="O326" t="s">
        <v>3426</v>
      </c>
      <c r="P326" t="s">
        <v>1819</v>
      </c>
      <c r="Q326" t="s">
        <v>2687</v>
      </c>
      <c r="R326" t="s">
        <v>1441</v>
      </c>
      <c r="S326" t="s">
        <v>748</v>
      </c>
      <c r="T326" t="s">
        <v>3427</v>
      </c>
      <c r="U326" t="s">
        <v>526</v>
      </c>
      <c r="V326" t="s">
        <v>2926</v>
      </c>
      <c r="W326" t="s">
        <v>3302</v>
      </c>
      <c r="X326" t="s">
        <v>3429</v>
      </c>
      <c r="Y326" t="s">
        <v>93</v>
      </c>
      <c r="Z326" t="s">
        <v>2986</v>
      </c>
      <c r="AA326" t="s">
        <v>3430</v>
      </c>
      <c r="AB326" t="s">
        <v>119</v>
      </c>
      <c r="AC326" t="s">
        <v>680</v>
      </c>
      <c r="AD326" t="s">
        <v>2986</v>
      </c>
      <c r="AE326" t="s">
        <v>3430</v>
      </c>
      <c r="AF326" t="s">
        <v>119</v>
      </c>
      <c r="AG326" t="s">
        <v>680</v>
      </c>
      <c r="AI326" t="s">
        <v>4217</v>
      </c>
      <c r="AJ326" t="s">
        <v>2986</v>
      </c>
      <c r="AK326" t="s">
        <v>99</v>
      </c>
      <c r="AL326" t="s">
        <v>4228</v>
      </c>
      <c r="AM326" t="s">
        <v>4229</v>
      </c>
      <c r="AR326" t="s">
        <v>125</v>
      </c>
      <c r="AT326" t="s">
        <v>4230</v>
      </c>
      <c r="AV326" t="s">
        <v>190</v>
      </c>
      <c r="AZ326" t="s">
        <v>80</v>
      </c>
    </row>
    <row r="327" spans="1:52" hidden="1" x14ac:dyDescent="0.25">
      <c r="A327" t="s">
        <v>4231</v>
      </c>
      <c r="B327" t="s">
        <v>3420</v>
      </c>
      <c r="C327" t="s">
        <v>4213</v>
      </c>
      <c r="D327" t="s">
        <v>2544</v>
      </c>
      <c r="E327" t="s">
        <v>4232</v>
      </c>
      <c r="F327" t="s">
        <v>3423</v>
      </c>
      <c r="G327" t="s">
        <v>3424</v>
      </c>
      <c r="J327" t="s">
        <v>80</v>
      </c>
      <c r="K327" t="s">
        <v>597</v>
      </c>
      <c r="L327" t="s">
        <v>111</v>
      </c>
      <c r="M327" t="s">
        <v>3425</v>
      </c>
      <c r="O327" t="s">
        <v>3426</v>
      </c>
      <c r="P327" t="s">
        <v>1819</v>
      </c>
      <c r="Q327" t="s">
        <v>2687</v>
      </c>
      <c r="R327" t="s">
        <v>1441</v>
      </c>
      <c r="S327" t="s">
        <v>748</v>
      </c>
      <c r="T327" t="s">
        <v>3427</v>
      </c>
      <c r="U327" t="s">
        <v>526</v>
      </c>
      <c r="V327" t="s">
        <v>2926</v>
      </c>
      <c r="W327" t="s">
        <v>1233</v>
      </c>
      <c r="X327" t="s">
        <v>4233</v>
      </c>
      <c r="Y327" t="s">
        <v>93</v>
      </c>
      <c r="Z327" t="s">
        <v>2986</v>
      </c>
      <c r="AA327" t="s">
        <v>3430</v>
      </c>
      <c r="AB327" t="s">
        <v>119</v>
      </c>
      <c r="AC327" t="s">
        <v>680</v>
      </c>
      <c r="AD327" t="s">
        <v>2986</v>
      </c>
      <c r="AE327" t="s">
        <v>3430</v>
      </c>
      <c r="AF327" t="s">
        <v>119</v>
      </c>
      <c r="AG327" t="s">
        <v>680</v>
      </c>
      <c r="AI327" t="s">
        <v>3431</v>
      </c>
      <c r="AJ327" t="s">
        <v>2986</v>
      </c>
      <c r="AK327" t="s">
        <v>99</v>
      </c>
      <c r="AL327" t="s">
        <v>4234</v>
      </c>
      <c r="AM327" t="s">
        <v>4229</v>
      </c>
      <c r="AR327" t="s">
        <v>125</v>
      </c>
      <c r="AT327" t="s">
        <v>4235</v>
      </c>
      <c r="AV327" t="s">
        <v>190</v>
      </c>
      <c r="AZ327" t="s">
        <v>80</v>
      </c>
    </row>
    <row r="328" spans="1:52" hidden="1" x14ac:dyDescent="0.25">
      <c r="A328" t="s">
        <v>4236</v>
      </c>
      <c r="B328" t="s">
        <v>3420</v>
      </c>
      <c r="C328" t="s">
        <v>4237</v>
      </c>
      <c r="D328" t="s">
        <v>2544</v>
      </c>
      <c r="E328" t="s">
        <v>4238</v>
      </c>
      <c r="F328" t="s">
        <v>3423</v>
      </c>
      <c r="G328" t="s">
        <v>3424</v>
      </c>
      <c r="J328" t="s">
        <v>80</v>
      </c>
      <c r="K328" t="s">
        <v>597</v>
      </c>
      <c r="L328" t="s">
        <v>111</v>
      </c>
      <c r="M328" t="s">
        <v>3425</v>
      </c>
      <c r="O328" t="s">
        <v>3426</v>
      </c>
      <c r="P328" t="s">
        <v>1819</v>
      </c>
      <c r="Q328" t="s">
        <v>2687</v>
      </c>
      <c r="R328" t="s">
        <v>1441</v>
      </c>
      <c r="S328" t="s">
        <v>748</v>
      </c>
      <c r="T328" t="s">
        <v>3427</v>
      </c>
      <c r="U328" t="s">
        <v>526</v>
      </c>
      <c r="V328" t="s">
        <v>2926</v>
      </c>
      <c r="W328" t="s">
        <v>1242</v>
      </c>
      <c r="X328" t="s">
        <v>4239</v>
      </c>
      <c r="Y328" t="s">
        <v>93</v>
      </c>
      <c r="Z328" t="s">
        <v>2986</v>
      </c>
      <c r="AA328" t="s">
        <v>3430</v>
      </c>
      <c r="AB328" t="s">
        <v>119</v>
      </c>
      <c r="AC328" t="s">
        <v>680</v>
      </c>
      <c r="AD328" t="s">
        <v>2986</v>
      </c>
      <c r="AE328" t="s">
        <v>3430</v>
      </c>
      <c r="AF328" t="s">
        <v>119</v>
      </c>
      <c r="AG328" t="s">
        <v>680</v>
      </c>
      <c r="AI328" t="s">
        <v>3431</v>
      </c>
      <c r="AJ328" t="s">
        <v>2986</v>
      </c>
      <c r="AK328" t="s">
        <v>99</v>
      </c>
      <c r="AL328" t="s">
        <v>4240</v>
      </c>
      <c r="AM328" t="s">
        <v>4229</v>
      </c>
      <c r="AR328" t="s">
        <v>125</v>
      </c>
      <c r="AT328" t="s">
        <v>4241</v>
      </c>
      <c r="AV328" t="s">
        <v>190</v>
      </c>
      <c r="AZ328" t="s">
        <v>80</v>
      </c>
    </row>
    <row r="329" spans="1:52" hidden="1" x14ac:dyDescent="0.25">
      <c r="A329" t="s">
        <v>4242</v>
      </c>
      <c r="B329" t="s">
        <v>4243</v>
      </c>
      <c r="C329" t="s">
        <v>4237</v>
      </c>
      <c r="D329" t="s">
        <v>2544</v>
      </c>
      <c r="E329" t="s">
        <v>4244</v>
      </c>
      <c r="F329" t="s">
        <v>4245</v>
      </c>
      <c r="G329" t="s">
        <v>4246</v>
      </c>
      <c r="J329" t="s">
        <v>80</v>
      </c>
      <c r="K329" t="s">
        <v>597</v>
      </c>
      <c r="L329" t="s">
        <v>111</v>
      </c>
      <c r="M329" t="s">
        <v>4247</v>
      </c>
      <c r="O329" t="s">
        <v>3426</v>
      </c>
      <c r="P329" t="s">
        <v>1819</v>
      </c>
      <c r="Q329" t="s">
        <v>2687</v>
      </c>
      <c r="R329" t="s">
        <v>1441</v>
      </c>
      <c r="S329" t="s">
        <v>748</v>
      </c>
      <c r="T329" t="s">
        <v>3427</v>
      </c>
      <c r="U329" t="s">
        <v>4248</v>
      </c>
      <c r="V329" t="s">
        <v>90</v>
      </c>
      <c r="W329" t="s">
        <v>1225</v>
      </c>
      <c r="X329" t="s">
        <v>4223</v>
      </c>
      <c r="Y329" t="s">
        <v>93</v>
      </c>
      <c r="Z329" t="s">
        <v>119</v>
      </c>
      <c r="AA329" t="s">
        <v>4249</v>
      </c>
      <c r="AB329" t="s">
        <v>2986</v>
      </c>
      <c r="AC329" t="s">
        <v>3501</v>
      </c>
      <c r="AD329" t="s">
        <v>119</v>
      </c>
      <c r="AE329" t="s">
        <v>4249</v>
      </c>
      <c r="AF329" t="s">
        <v>2986</v>
      </c>
      <c r="AG329" t="s">
        <v>3501</v>
      </c>
      <c r="AI329" t="s">
        <v>4250</v>
      </c>
      <c r="AJ329" t="s">
        <v>119</v>
      </c>
      <c r="AK329" t="s">
        <v>99</v>
      </c>
      <c r="AL329" t="s">
        <v>4251</v>
      </c>
      <c r="AM329" t="s">
        <v>4252</v>
      </c>
      <c r="AR329" t="s">
        <v>125</v>
      </c>
      <c r="AT329" t="s">
        <v>4253</v>
      </c>
      <c r="AV329" t="s">
        <v>190</v>
      </c>
      <c r="AZ329" t="s">
        <v>80</v>
      </c>
    </row>
    <row r="330" spans="1:52" hidden="1" x14ac:dyDescent="0.25">
      <c r="A330" t="s">
        <v>4254</v>
      </c>
      <c r="B330" t="s">
        <v>4243</v>
      </c>
      <c r="C330" t="s">
        <v>4237</v>
      </c>
      <c r="D330" t="s">
        <v>2544</v>
      </c>
      <c r="E330" t="s">
        <v>4255</v>
      </c>
      <c r="F330" t="s">
        <v>4245</v>
      </c>
      <c r="G330" t="s">
        <v>4246</v>
      </c>
      <c r="J330" t="s">
        <v>80</v>
      </c>
      <c r="K330" t="s">
        <v>597</v>
      </c>
      <c r="L330" t="s">
        <v>111</v>
      </c>
      <c r="M330" t="s">
        <v>4247</v>
      </c>
      <c r="O330" t="s">
        <v>3426</v>
      </c>
      <c r="P330" t="s">
        <v>1819</v>
      </c>
      <c r="Q330" t="s">
        <v>2687</v>
      </c>
      <c r="R330" t="s">
        <v>1441</v>
      </c>
      <c r="S330" t="s">
        <v>748</v>
      </c>
      <c r="T330" t="s">
        <v>3427</v>
      </c>
      <c r="U330" t="s">
        <v>4248</v>
      </c>
      <c r="V330" t="s">
        <v>90</v>
      </c>
      <c r="W330" t="s">
        <v>1242</v>
      </c>
      <c r="X330" t="s">
        <v>4239</v>
      </c>
      <c r="Y330" t="s">
        <v>93</v>
      </c>
      <c r="Z330" t="s">
        <v>119</v>
      </c>
      <c r="AA330" t="s">
        <v>4249</v>
      </c>
      <c r="AB330" t="s">
        <v>2986</v>
      </c>
      <c r="AC330" t="s">
        <v>3501</v>
      </c>
      <c r="AD330" t="s">
        <v>119</v>
      </c>
      <c r="AE330" t="s">
        <v>4249</v>
      </c>
      <c r="AF330" t="s">
        <v>2986</v>
      </c>
      <c r="AG330" t="s">
        <v>3501</v>
      </c>
      <c r="AI330" t="s">
        <v>4250</v>
      </c>
      <c r="AJ330" t="s">
        <v>119</v>
      </c>
      <c r="AK330" t="s">
        <v>99</v>
      </c>
      <c r="AL330" t="s">
        <v>4256</v>
      </c>
      <c r="AM330" t="s">
        <v>4257</v>
      </c>
      <c r="AR330" t="s">
        <v>125</v>
      </c>
      <c r="AT330" t="s">
        <v>4258</v>
      </c>
      <c r="AV330" t="s">
        <v>190</v>
      </c>
      <c r="AZ330" t="s">
        <v>80</v>
      </c>
    </row>
    <row r="331" spans="1:52" hidden="1" x14ac:dyDescent="0.25">
      <c r="A331" t="s">
        <v>4259</v>
      </c>
      <c r="B331" t="s">
        <v>4243</v>
      </c>
      <c r="C331" t="s">
        <v>4237</v>
      </c>
      <c r="D331" t="s">
        <v>2544</v>
      </c>
      <c r="E331" t="s">
        <v>4260</v>
      </c>
      <c r="F331" t="s">
        <v>4245</v>
      </c>
      <c r="G331" t="s">
        <v>4246</v>
      </c>
      <c r="J331" t="s">
        <v>80</v>
      </c>
      <c r="K331" t="s">
        <v>597</v>
      </c>
      <c r="L331" t="s">
        <v>111</v>
      </c>
      <c r="M331" t="s">
        <v>4247</v>
      </c>
      <c r="O331" t="s">
        <v>3426</v>
      </c>
      <c r="P331" t="s">
        <v>1819</v>
      </c>
      <c r="Q331" t="s">
        <v>2687</v>
      </c>
      <c r="R331" t="s">
        <v>1441</v>
      </c>
      <c r="S331" t="s">
        <v>748</v>
      </c>
      <c r="T331" t="s">
        <v>3427</v>
      </c>
      <c r="U331" t="s">
        <v>4248</v>
      </c>
      <c r="V331" t="s">
        <v>90</v>
      </c>
      <c r="W331" t="s">
        <v>1209</v>
      </c>
      <c r="X331" t="s">
        <v>4261</v>
      </c>
      <c r="Y331" t="s">
        <v>93</v>
      </c>
      <c r="Z331" t="s">
        <v>119</v>
      </c>
      <c r="AA331" t="s">
        <v>4249</v>
      </c>
      <c r="AB331" t="s">
        <v>2986</v>
      </c>
      <c r="AC331" t="s">
        <v>3501</v>
      </c>
      <c r="AD331" t="s">
        <v>119</v>
      </c>
      <c r="AE331" t="s">
        <v>4249</v>
      </c>
      <c r="AF331" t="s">
        <v>2986</v>
      </c>
      <c r="AG331" t="s">
        <v>3501</v>
      </c>
      <c r="AI331" t="s">
        <v>4250</v>
      </c>
      <c r="AJ331" t="s">
        <v>119</v>
      </c>
      <c r="AK331" t="s">
        <v>99</v>
      </c>
      <c r="AL331" t="s">
        <v>4262</v>
      </c>
      <c r="AM331" t="s">
        <v>4257</v>
      </c>
      <c r="AR331" t="s">
        <v>125</v>
      </c>
      <c r="AT331" t="s">
        <v>4263</v>
      </c>
      <c r="AV331" t="s">
        <v>190</v>
      </c>
      <c r="AZ331" t="s">
        <v>80</v>
      </c>
    </row>
    <row r="332" spans="1:52" hidden="1" x14ac:dyDescent="0.25">
      <c r="A332" t="s">
        <v>4264</v>
      </c>
      <c r="B332" t="s">
        <v>4243</v>
      </c>
      <c r="C332" t="s">
        <v>4265</v>
      </c>
      <c r="D332" t="s">
        <v>2544</v>
      </c>
      <c r="E332" t="s">
        <v>4266</v>
      </c>
      <c r="F332" t="s">
        <v>4245</v>
      </c>
      <c r="G332" t="s">
        <v>4246</v>
      </c>
      <c r="J332" t="s">
        <v>80</v>
      </c>
      <c r="K332" t="s">
        <v>597</v>
      </c>
      <c r="L332" t="s">
        <v>111</v>
      </c>
      <c r="M332" t="s">
        <v>4247</v>
      </c>
      <c r="O332" t="s">
        <v>3426</v>
      </c>
      <c r="P332" t="s">
        <v>1819</v>
      </c>
      <c r="Q332" t="s">
        <v>2687</v>
      </c>
      <c r="R332" t="s">
        <v>1441</v>
      </c>
      <c r="S332" t="s">
        <v>748</v>
      </c>
      <c r="T332" t="s">
        <v>3427</v>
      </c>
      <c r="U332" t="s">
        <v>4248</v>
      </c>
      <c r="V332" t="s">
        <v>90</v>
      </c>
      <c r="W332" t="s">
        <v>1233</v>
      </c>
      <c r="X332" t="s">
        <v>4233</v>
      </c>
      <c r="Y332" t="s">
        <v>93</v>
      </c>
      <c r="Z332" t="s">
        <v>119</v>
      </c>
      <c r="AA332" t="s">
        <v>4249</v>
      </c>
      <c r="AB332" t="s">
        <v>2986</v>
      </c>
      <c r="AC332" t="s">
        <v>3501</v>
      </c>
      <c r="AD332" t="s">
        <v>119</v>
      </c>
      <c r="AE332" t="s">
        <v>4249</v>
      </c>
      <c r="AF332" t="s">
        <v>2986</v>
      </c>
      <c r="AG332" t="s">
        <v>3501</v>
      </c>
      <c r="AI332" t="s">
        <v>4250</v>
      </c>
      <c r="AJ332" t="s">
        <v>119</v>
      </c>
      <c r="AK332" t="s">
        <v>99</v>
      </c>
      <c r="AL332" t="s">
        <v>4267</v>
      </c>
      <c r="AM332" t="s">
        <v>4268</v>
      </c>
      <c r="AR332" t="s">
        <v>125</v>
      </c>
      <c r="AT332" t="s">
        <v>4269</v>
      </c>
      <c r="AV332" t="s">
        <v>190</v>
      </c>
      <c r="AZ332" t="s">
        <v>80</v>
      </c>
    </row>
    <row r="333" spans="1:52" hidden="1" x14ac:dyDescent="0.25">
      <c r="A333" t="s">
        <v>4270</v>
      </c>
      <c r="B333" t="s">
        <v>4271</v>
      </c>
      <c r="C333" t="s">
        <v>4272</v>
      </c>
      <c r="D333" t="s">
        <v>2544</v>
      </c>
      <c r="E333" t="s">
        <v>4273</v>
      </c>
      <c r="F333" t="s">
        <v>4274</v>
      </c>
      <c r="G333" t="s">
        <v>4275</v>
      </c>
      <c r="J333" t="s">
        <v>80</v>
      </c>
      <c r="K333" t="s">
        <v>538</v>
      </c>
      <c r="L333" t="s">
        <v>111</v>
      </c>
      <c r="M333">
        <v>69244</v>
      </c>
      <c r="P333" t="s">
        <v>154</v>
      </c>
      <c r="Q333" t="s">
        <v>731</v>
      </c>
      <c r="R333" t="s">
        <v>732</v>
      </c>
      <c r="S333" t="s">
        <v>87</v>
      </c>
      <c r="T333" t="s">
        <v>734</v>
      </c>
      <c r="U333" t="s">
        <v>563</v>
      </c>
      <c r="V333" t="s">
        <v>2241</v>
      </c>
      <c r="W333" t="s">
        <v>737</v>
      </c>
      <c r="X333" t="s">
        <v>738</v>
      </c>
      <c r="Y333" t="s">
        <v>93</v>
      </c>
      <c r="Z333" t="s">
        <v>739</v>
      </c>
      <c r="AA333" t="s">
        <v>2665</v>
      </c>
      <c r="AB333" t="s">
        <v>119</v>
      </c>
      <c r="AC333" t="s">
        <v>1765</v>
      </c>
      <c r="AD333" t="s">
        <v>739</v>
      </c>
      <c r="AE333" t="s">
        <v>2665</v>
      </c>
      <c r="AF333" t="s">
        <v>119</v>
      </c>
      <c r="AG333" t="s">
        <v>1765</v>
      </c>
      <c r="AI333" t="s">
        <v>4276</v>
      </c>
      <c r="AJ333" t="s">
        <v>739</v>
      </c>
      <c r="AK333" t="s">
        <v>99</v>
      </c>
      <c r="AL333" t="s">
        <v>4277</v>
      </c>
      <c r="AM333" t="s">
        <v>4278</v>
      </c>
      <c r="AR333" t="s">
        <v>125</v>
      </c>
      <c r="AT333" t="s">
        <v>4279</v>
      </c>
      <c r="AV333" t="s">
        <v>128</v>
      </c>
      <c r="AZ333" t="s">
        <v>80</v>
      </c>
    </row>
    <row r="334" spans="1:52" hidden="1" x14ac:dyDescent="0.25">
      <c r="A334" t="s">
        <v>4280</v>
      </c>
      <c r="B334" t="s">
        <v>4271</v>
      </c>
      <c r="C334" t="s">
        <v>4272</v>
      </c>
      <c r="D334" t="s">
        <v>2544</v>
      </c>
      <c r="E334" t="s">
        <v>4281</v>
      </c>
      <c r="F334" t="s">
        <v>4274</v>
      </c>
      <c r="G334" t="s">
        <v>4275</v>
      </c>
      <c r="J334" t="s">
        <v>80</v>
      </c>
      <c r="K334" t="s">
        <v>538</v>
      </c>
      <c r="L334" t="s">
        <v>111</v>
      </c>
      <c r="M334">
        <v>69244</v>
      </c>
      <c r="P334" t="s">
        <v>154</v>
      </c>
      <c r="Q334" t="s">
        <v>731</v>
      </c>
      <c r="R334" t="s">
        <v>732</v>
      </c>
      <c r="S334" t="s">
        <v>87</v>
      </c>
      <c r="T334" t="s">
        <v>734</v>
      </c>
      <c r="U334" t="s">
        <v>563</v>
      </c>
      <c r="V334" t="s">
        <v>2241</v>
      </c>
      <c r="W334" t="s">
        <v>752</v>
      </c>
      <c r="X334" t="s">
        <v>753</v>
      </c>
      <c r="Y334" t="s">
        <v>93</v>
      </c>
      <c r="Z334" t="s">
        <v>739</v>
      </c>
      <c r="AA334" t="s">
        <v>2665</v>
      </c>
      <c r="AB334" t="s">
        <v>119</v>
      </c>
      <c r="AC334" t="s">
        <v>1765</v>
      </c>
      <c r="AD334" t="s">
        <v>739</v>
      </c>
      <c r="AE334" t="s">
        <v>2665</v>
      </c>
      <c r="AF334" t="s">
        <v>119</v>
      </c>
      <c r="AG334" t="s">
        <v>1765</v>
      </c>
      <c r="AI334" t="s">
        <v>4282</v>
      </c>
      <c r="AJ334" t="s">
        <v>739</v>
      </c>
      <c r="AK334" t="s">
        <v>99</v>
      </c>
      <c r="AL334" t="s">
        <v>4283</v>
      </c>
      <c r="AM334" t="s">
        <v>4278</v>
      </c>
      <c r="AR334" t="s">
        <v>125</v>
      </c>
      <c r="AT334" t="s">
        <v>4284</v>
      </c>
      <c r="AV334" t="s">
        <v>128</v>
      </c>
      <c r="AZ334" t="s">
        <v>80</v>
      </c>
    </row>
    <row r="335" spans="1:52" hidden="1" x14ac:dyDescent="0.25">
      <c r="A335" t="s">
        <v>4285</v>
      </c>
      <c r="B335" t="s">
        <v>2994</v>
      </c>
      <c r="C335" t="s">
        <v>4272</v>
      </c>
      <c r="D335" t="s">
        <v>2544</v>
      </c>
      <c r="E335" t="s">
        <v>4286</v>
      </c>
      <c r="F335" t="s">
        <v>2997</v>
      </c>
      <c r="G335" t="s">
        <v>2998</v>
      </c>
      <c r="J335" t="s">
        <v>80</v>
      </c>
      <c r="K335" t="s">
        <v>538</v>
      </c>
      <c r="L335" t="s">
        <v>111</v>
      </c>
      <c r="M335">
        <v>69118</v>
      </c>
      <c r="O335" t="s">
        <v>2027</v>
      </c>
      <c r="P335" t="s">
        <v>212</v>
      </c>
      <c r="Q335" t="s">
        <v>1284</v>
      </c>
      <c r="R335" t="s">
        <v>1285</v>
      </c>
      <c r="S335" t="s">
        <v>1124</v>
      </c>
      <c r="T335" t="s">
        <v>2030</v>
      </c>
      <c r="U335" t="s">
        <v>1465</v>
      </c>
      <c r="V335" t="s">
        <v>2999</v>
      </c>
      <c r="W335" t="s">
        <v>2129</v>
      </c>
      <c r="X335" t="s">
        <v>4287</v>
      </c>
      <c r="Y335" t="s">
        <v>93</v>
      </c>
      <c r="Z335" t="s">
        <v>1213</v>
      </c>
      <c r="AA335" t="s">
        <v>3001</v>
      </c>
      <c r="AB335" t="s">
        <v>119</v>
      </c>
      <c r="AC335" t="s">
        <v>3002</v>
      </c>
      <c r="AD335" t="s">
        <v>1213</v>
      </c>
      <c r="AE335" t="s">
        <v>3001</v>
      </c>
      <c r="AF335" t="s">
        <v>119</v>
      </c>
      <c r="AG335" t="s">
        <v>3002</v>
      </c>
      <c r="AI335" t="s">
        <v>4288</v>
      </c>
      <c r="AJ335" t="s">
        <v>1213</v>
      </c>
      <c r="AK335" t="s">
        <v>99</v>
      </c>
      <c r="AL335" t="s">
        <v>4289</v>
      </c>
      <c r="AM335" t="s">
        <v>3005</v>
      </c>
      <c r="AR335" t="s">
        <v>125</v>
      </c>
      <c r="AT335" t="s">
        <v>4290</v>
      </c>
      <c r="AV335" t="s">
        <v>190</v>
      </c>
      <c r="AZ335" t="s">
        <v>80</v>
      </c>
    </row>
    <row r="336" spans="1:52" hidden="1" x14ac:dyDescent="0.25">
      <c r="A336" t="s">
        <v>4291</v>
      </c>
      <c r="B336" t="s">
        <v>532</v>
      </c>
      <c r="C336" t="s">
        <v>4292</v>
      </c>
      <c r="D336" t="s">
        <v>2544</v>
      </c>
      <c r="E336" t="s">
        <v>4293</v>
      </c>
      <c r="F336" t="s">
        <v>535</v>
      </c>
      <c r="G336" t="s">
        <v>536</v>
      </c>
      <c r="J336" t="s">
        <v>80</v>
      </c>
      <c r="K336" t="s">
        <v>538</v>
      </c>
      <c r="L336" t="s">
        <v>111</v>
      </c>
      <c r="M336">
        <v>69293</v>
      </c>
      <c r="P336" t="s">
        <v>154</v>
      </c>
      <c r="Q336" t="s">
        <v>1284</v>
      </c>
      <c r="R336" t="s">
        <v>1285</v>
      </c>
      <c r="S336" t="s">
        <v>1124</v>
      </c>
      <c r="T336" t="s">
        <v>542</v>
      </c>
      <c r="U336" t="s">
        <v>543</v>
      </c>
      <c r="V336" t="s">
        <v>544</v>
      </c>
      <c r="W336" t="s">
        <v>4294</v>
      </c>
      <c r="X336" t="s">
        <v>602</v>
      </c>
      <c r="Y336" t="s">
        <v>93</v>
      </c>
      <c r="Z336" t="s">
        <v>119</v>
      </c>
      <c r="AA336" t="s">
        <v>547</v>
      </c>
      <c r="AB336" t="s">
        <v>548</v>
      </c>
      <c r="AC336" t="s">
        <v>549</v>
      </c>
      <c r="AD336" t="s">
        <v>119</v>
      </c>
      <c r="AE336" t="s">
        <v>547</v>
      </c>
      <c r="AF336" t="s">
        <v>548</v>
      </c>
      <c r="AG336" t="s">
        <v>549</v>
      </c>
      <c r="AI336" t="s">
        <v>4295</v>
      </c>
      <c r="AJ336" t="s">
        <v>119</v>
      </c>
      <c r="AK336" t="s">
        <v>99</v>
      </c>
      <c r="AL336" t="s">
        <v>4296</v>
      </c>
      <c r="AM336" t="s">
        <v>4297</v>
      </c>
      <c r="AR336" t="s">
        <v>125</v>
      </c>
      <c r="AT336" t="s">
        <v>4298</v>
      </c>
      <c r="AV336" t="s">
        <v>128</v>
      </c>
      <c r="AZ336" t="s">
        <v>80</v>
      </c>
    </row>
    <row r="337" spans="1:52" hidden="1" x14ac:dyDescent="0.25">
      <c r="A337" t="s">
        <v>4299</v>
      </c>
      <c r="B337" t="s">
        <v>4300</v>
      </c>
      <c r="C337" t="s">
        <v>4292</v>
      </c>
      <c r="D337" t="s">
        <v>2544</v>
      </c>
      <c r="E337" t="s">
        <v>4301</v>
      </c>
      <c r="F337" t="s">
        <v>4302</v>
      </c>
      <c r="G337" t="s">
        <v>4303</v>
      </c>
      <c r="J337" t="s">
        <v>80</v>
      </c>
      <c r="K337" t="s">
        <v>538</v>
      </c>
      <c r="L337" t="s">
        <v>111</v>
      </c>
      <c r="M337">
        <v>69238</v>
      </c>
      <c r="P337" t="s">
        <v>154</v>
      </c>
      <c r="Q337" t="s">
        <v>539</v>
      </c>
      <c r="R337" t="s">
        <v>540</v>
      </c>
      <c r="S337" t="s">
        <v>733</v>
      </c>
      <c r="T337" t="s">
        <v>2030</v>
      </c>
      <c r="U337" t="s">
        <v>4304</v>
      </c>
      <c r="V337" t="s">
        <v>852</v>
      </c>
      <c r="W337" t="s">
        <v>797</v>
      </c>
      <c r="X337" t="s">
        <v>2031</v>
      </c>
      <c r="Y337" t="s">
        <v>93</v>
      </c>
      <c r="Z337" t="s">
        <v>1213</v>
      </c>
      <c r="AA337" t="s">
        <v>4305</v>
      </c>
      <c r="AB337" t="s">
        <v>119</v>
      </c>
      <c r="AC337" t="s">
        <v>4306</v>
      </c>
      <c r="AD337" t="s">
        <v>1213</v>
      </c>
      <c r="AE337" t="s">
        <v>4305</v>
      </c>
      <c r="AF337" t="s">
        <v>119</v>
      </c>
      <c r="AG337" t="s">
        <v>4306</v>
      </c>
      <c r="AI337" t="s">
        <v>4307</v>
      </c>
      <c r="AJ337" t="s">
        <v>1213</v>
      </c>
      <c r="AK337" t="s">
        <v>99</v>
      </c>
      <c r="AL337" t="s">
        <v>4308</v>
      </c>
      <c r="AM337" t="s">
        <v>4297</v>
      </c>
      <c r="AR337" t="s">
        <v>125</v>
      </c>
      <c r="AT337" t="s">
        <v>4309</v>
      </c>
      <c r="AV337" t="s">
        <v>128</v>
      </c>
      <c r="AZ337" t="s">
        <v>80</v>
      </c>
    </row>
    <row r="338" spans="1:52" hidden="1" x14ac:dyDescent="0.25">
      <c r="A338" t="s">
        <v>4310</v>
      </c>
      <c r="B338" t="s">
        <v>4311</v>
      </c>
      <c r="C338" t="s">
        <v>4292</v>
      </c>
      <c r="D338" t="s">
        <v>2544</v>
      </c>
      <c r="E338" t="s">
        <v>4312</v>
      </c>
      <c r="F338" t="s">
        <v>4313</v>
      </c>
      <c r="G338" t="s">
        <v>4314</v>
      </c>
      <c r="J338" t="s">
        <v>80</v>
      </c>
      <c r="K338" t="s">
        <v>538</v>
      </c>
      <c r="L338" t="s">
        <v>111</v>
      </c>
      <c r="M338">
        <v>69283</v>
      </c>
      <c r="P338" t="s">
        <v>154</v>
      </c>
      <c r="Q338" t="s">
        <v>539</v>
      </c>
      <c r="R338" t="s">
        <v>540</v>
      </c>
      <c r="S338" t="s">
        <v>1124</v>
      </c>
      <c r="T338" t="s">
        <v>542</v>
      </c>
      <c r="U338" t="s">
        <v>600</v>
      </c>
      <c r="V338" t="s">
        <v>544</v>
      </c>
      <c r="W338" t="s">
        <v>797</v>
      </c>
      <c r="X338" t="s">
        <v>602</v>
      </c>
      <c r="Y338" t="s">
        <v>93</v>
      </c>
      <c r="Z338" t="s">
        <v>119</v>
      </c>
      <c r="AA338" t="s">
        <v>4315</v>
      </c>
      <c r="AB338" t="s">
        <v>548</v>
      </c>
      <c r="AC338" t="s">
        <v>4316</v>
      </c>
      <c r="AD338" t="s">
        <v>119</v>
      </c>
      <c r="AE338" t="s">
        <v>4315</v>
      </c>
      <c r="AF338" t="s">
        <v>548</v>
      </c>
      <c r="AG338" t="s">
        <v>4316</v>
      </c>
      <c r="AI338" t="s">
        <v>4317</v>
      </c>
      <c r="AJ338" t="s">
        <v>119</v>
      </c>
      <c r="AK338" t="s">
        <v>99</v>
      </c>
      <c r="AL338" t="s">
        <v>4318</v>
      </c>
      <c r="AM338" t="s">
        <v>4319</v>
      </c>
      <c r="AR338" t="s">
        <v>125</v>
      </c>
      <c r="AT338" t="s">
        <v>4320</v>
      </c>
      <c r="AV338" t="s">
        <v>128</v>
      </c>
      <c r="AZ338" t="s">
        <v>80</v>
      </c>
    </row>
    <row r="339" spans="1:52" hidden="1" x14ac:dyDescent="0.25">
      <c r="A339" t="s">
        <v>4321</v>
      </c>
      <c r="B339" t="s">
        <v>4322</v>
      </c>
      <c r="C339" t="s">
        <v>4292</v>
      </c>
      <c r="D339" t="s">
        <v>2544</v>
      </c>
      <c r="E339" t="s">
        <v>4323</v>
      </c>
      <c r="F339" t="s">
        <v>4324</v>
      </c>
      <c r="G339" t="s">
        <v>4325</v>
      </c>
      <c r="J339" t="s">
        <v>80</v>
      </c>
      <c r="K339" t="s">
        <v>538</v>
      </c>
      <c r="L339" t="s">
        <v>111</v>
      </c>
      <c r="M339">
        <v>69277</v>
      </c>
      <c r="P339" t="s">
        <v>154</v>
      </c>
      <c r="Q339" t="s">
        <v>1284</v>
      </c>
      <c r="R339" t="s">
        <v>1285</v>
      </c>
      <c r="S339" t="s">
        <v>1124</v>
      </c>
      <c r="T339" t="s">
        <v>2030</v>
      </c>
      <c r="U339" t="s">
        <v>4326</v>
      </c>
      <c r="V339" t="s">
        <v>1140</v>
      </c>
      <c r="W339" t="s">
        <v>797</v>
      </c>
      <c r="X339" t="s">
        <v>2031</v>
      </c>
      <c r="Y339" t="s">
        <v>93</v>
      </c>
      <c r="Z339" t="s">
        <v>119</v>
      </c>
      <c r="AA339" t="s">
        <v>4327</v>
      </c>
      <c r="AB339" t="s">
        <v>1213</v>
      </c>
      <c r="AC339" t="s">
        <v>2826</v>
      </c>
      <c r="AD339" t="s">
        <v>119</v>
      </c>
      <c r="AE339" t="s">
        <v>4327</v>
      </c>
      <c r="AF339" t="s">
        <v>1213</v>
      </c>
      <c r="AG339" t="s">
        <v>2826</v>
      </c>
      <c r="AI339" t="s">
        <v>4328</v>
      </c>
      <c r="AJ339" t="s">
        <v>119</v>
      </c>
      <c r="AK339" t="s">
        <v>99</v>
      </c>
      <c r="AL339" t="s">
        <v>4329</v>
      </c>
      <c r="AM339" t="s">
        <v>4319</v>
      </c>
      <c r="AR339" t="s">
        <v>125</v>
      </c>
      <c r="AT339" t="s">
        <v>4330</v>
      </c>
      <c r="AV339" t="s">
        <v>128</v>
      </c>
      <c r="AZ339" t="s">
        <v>80</v>
      </c>
    </row>
    <row r="340" spans="1:52" hidden="1" x14ac:dyDescent="0.25">
      <c r="A340" t="s">
        <v>4331</v>
      </c>
      <c r="B340" t="s">
        <v>4332</v>
      </c>
      <c r="C340" t="s">
        <v>4292</v>
      </c>
      <c r="D340" t="s">
        <v>2544</v>
      </c>
      <c r="E340" t="s">
        <v>4333</v>
      </c>
      <c r="F340" t="s">
        <v>4334</v>
      </c>
      <c r="G340" t="s">
        <v>4335</v>
      </c>
      <c r="J340" t="s">
        <v>80</v>
      </c>
      <c r="K340" t="s">
        <v>538</v>
      </c>
      <c r="L340" t="s">
        <v>111</v>
      </c>
      <c r="M340">
        <v>69234</v>
      </c>
      <c r="P340" t="s">
        <v>154</v>
      </c>
      <c r="Q340" t="s">
        <v>731</v>
      </c>
      <c r="R340" t="s">
        <v>732</v>
      </c>
      <c r="S340" t="s">
        <v>87</v>
      </c>
      <c r="T340" t="s">
        <v>734</v>
      </c>
      <c r="U340" t="s">
        <v>4336</v>
      </c>
      <c r="V340" t="s">
        <v>4337</v>
      </c>
      <c r="W340" t="s">
        <v>737</v>
      </c>
      <c r="X340" t="s">
        <v>738</v>
      </c>
      <c r="Y340" t="s">
        <v>93</v>
      </c>
      <c r="Z340" t="s">
        <v>739</v>
      </c>
      <c r="AA340" t="s">
        <v>3444</v>
      </c>
      <c r="AB340" t="s">
        <v>119</v>
      </c>
      <c r="AC340" t="s">
        <v>4338</v>
      </c>
      <c r="AD340" t="s">
        <v>739</v>
      </c>
      <c r="AE340" t="s">
        <v>3444</v>
      </c>
      <c r="AF340" t="s">
        <v>119</v>
      </c>
      <c r="AG340" t="s">
        <v>4338</v>
      </c>
      <c r="AI340" t="s">
        <v>3207</v>
      </c>
      <c r="AJ340" t="s">
        <v>739</v>
      </c>
      <c r="AK340" t="s">
        <v>99</v>
      </c>
      <c r="AL340" t="s">
        <v>4339</v>
      </c>
      <c r="AM340" t="s">
        <v>4340</v>
      </c>
      <c r="AR340" t="s">
        <v>125</v>
      </c>
      <c r="AT340" t="s">
        <v>4341</v>
      </c>
      <c r="AV340" t="s">
        <v>128</v>
      </c>
      <c r="AZ340" t="s">
        <v>80</v>
      </c>
    </row>
    <row r="341" spans="1:52" hidden="1" x14ac:dyDescent="0.25">
      <c r="A341" t="s">
        <v>4342</v>
      </c>
      <c r="B341" t="s">
        <v>4332</v>
      </c>
      <c r="C341" t="s">
        <v>4343</v>
      </c>
      <c r="D341" t="s">
        <v>2544</v>
      </c>
      <c r="E341" t="s">
        <v>4344</v>
      </c>
      <c r="F341" t="s">
        <v>4334</v>
      </c>
      <c r="G341" t="s">
        <v>4335</v>
      </c>
      <c r="J341" t="s">
        <v>80</v>
      </c>
      <c r="K341" t="s">
        <v>538</v>
      </c>
      <c r="L341" t="s">
        <v>111</v>
      </c>
      <c r="M341">
        <v>69234</v>
      </c>
      <c r="P341" t="s">
        <v>154</v>
      </c>
      <c r="Q341" t="s">
        <v>731</v>
      </c>
      <c r="R341" t="s">
        <v>732</v>
      </c>
      <c r="S341" t="s">
        <v>87</v>
      </c>
      <c r="T341" t="s">
        <v>734</v>
      </c>
      <c r="U341" t="s">
        <v>4336</v>
      </c>
      <c r="V341" t="s">
        <v>4337</v>
      </c>
      <c r="W341" t="s">
        <v>752</v>
      </c>
      <c r="X341" t="s">
        <v>753</v>
      </c>
      <c r="Y341" t="s">
        <v>93</v>
      </c>
      <c r="Z341" t="s">
        <v>739</v>
      </c>
      <c r="AA341" t="s">
        <v>3444</v>
      </c>
      <c r="AB341" t="s">
        <v>119</v>
      </c>
      <c r="AC341" t="s">
        <v>4338</v>
      </c>
      <c r="AD341" t="s">
        <v>739</v>
      </c>
      <c r="AE341" t="s">
        <v>3444</v>
      </c>
      <c r="AF341" t="s">
        <v>119</v>
      </c>
      <c r="AG341" t="s">
        <v>4338</v>
      </c>
      <c r="AI341" t="s">
        <v>4345</v>
      </c>
      <c r="AJ341" t="s">
        <v>739</v>
      </c>
      <c r="AK341" t="s">
        <v>99</v>
      </c>
      <c r="AL341" t="s">
        <v>4346</v>
      </c>
      <c r="AM341" t="s">
        <v>4319</v>
      </c>
      <c r="AR341" t="s">
        <v>125</v>
      </c>
      <c r="AT341" t="s">
        <v>4347</v>
      </c>
      <c r="AV341" t="s">
        <v>128</v>
      </c>
      <c r="AZ341" t="s">
        <v>80</v>
      </c>
    </row>
    <row r="342" spans="1:52" hidden="1" x14ac:dyDescent="0.25">
      <c r="A342" t="s">
        <v>4348</v>
      </c>
      <c r="B342" t="s">
        <v>4349</v>
      </c>
      <c r="C342" t="s">
        <v>4343</v>
      </c>
      <c r="D342" t="s">
        <v>2544</v>
      </c>
      <c r="E342" t="s">
        <v>4350</v>
      </c>
      <c r="F342" t="s">
        <v>4351</v>
      </c>
      <c r="G342" t="s">
        <v>4352</v>
      </c>
      <c r="J342" t="s">
        <v>80</v>
      </c>
      <c r="K342" t="s">
        <v>538</v>
      </c>
      <c r="L342" t="s">
        <v>111</v>
      </c>
      <c r="M342">
        <v>69275</v>
      </c>
      <c r="P342" t="s">
        <v>154</v>
      </c>
      <c r="Q342" t="s">
        <v>731</v>
      </c>
      <c r="R342" t="s">
        <v>732</v>
      </c>
      <c r="S342" t="s">
        <v>87</v>
      </c>
      <c r="T342" t="s">
        <v>734</v>
      </c>
      <c r="U342" t="s">
        <v>4038</v>
      </c>
      <c r="V342" t="s">
        <v>4353</v>
      </c>
      <c r="W342" t="s">
        <v>752</v>
      </c>
      <c r="X342" t="s">
        <v>753</v>
      </c>
      <c r="Y342" t="s">
        <v>93</v>
      </c>
      <c r="Z342" t="s">
        <v>119</v>
      </c>
      <c r="AA342" t="s">
        <v>4354</v>
      </c>
      <c r="AB342" t="s">
        <v>739</v>
      </c>
      <c r="AC342" t="s">
        <v>4355</v>
      </c>
      <c r="AD342" t="s">
        <v>119</v>
      </c>
      <c r="AE342" t="s">
        <v>4354</v>
      </c>
      <c r="AF342" t="s">
        <v>739</v>
      </c>
      <c r="AG342" t="s">
        <v>4355</v>
      </c>
      <c r="AI342" t="s">
        <v>4356</v>
      </c>
      <c r="AJ342" t="s">
        <v>119</v>
      </c>
      <c r="AK342" t="s">
        <v>99</v>
      </c>
      <c r="AL342" t="s">
        <v>4357</v>
      </c>
      <c r="AM342" t="s">
        <v>4340</v>
      </c>
      <c r="AR342" t="s">
        <v>125</v>
      </c>
      <c r="AT342" t="s">
        <v>4358</v>
      </c>
      <c r="AV342" t="s">
        <v>128</v>
      </c>
      <c r="AZ342" t="s">
        <v>80</v>
      </c>
    </row>
    <row r="343" spans="1:52" hidden="1" x14ac:dyDescent="0.25">
      <c r="A343" t="s">
        <v>4359</v>
      </c>
      <c r="B343" t="s">
        <v>4349</v>
      </c>
      <c r="C343" t="s">
        <v>4343</v>
      </c>
      <c r="D343" t="s">
        <v>2544</v>
      </c>
      <c r="E343" t="s">
        <v>4360</v>
      </c>
      <c r="F343" t="s">
        <v>4351</v>
      </c>
      <c r="G343" t="s">
        <v>4352</v>
      </c>
      <c r="J343" t="s">
        <v>80</v>
      </c>
      <c r="K343" t="s">
        <v>538</v>
      </c>
      <c r="L343" t="s">
        <v>111</v>
      </c>
      <c r="M343">
        <v>69275</v>
      </c>
      <c r="P343" t="s">
        <v>154</v>
      </c>
      <c r="Q343" t="s">
        <v>731</v>
      </c>
      <c r="R343" t="s">
        <v>732</v>
      </c>
      <c r="S343" t="s">
        <v>87</v>
      </c>
      <c r="T343" t="s">
        <v>734</v>
      </c>
      <c r="U343" t="s">
        <v>4038</v>
      </c>
      <c r="V343" t="s">
        <v>4353</v>
      </c>
      <c r="W343" t="s">
        <v>737</v>
      </c>
      <c r="X343" t="s">
        <v>738</v>
      </c>
      <c r="Y343" t="s">
        <v>93</v>
      </c>
      <c r="Z343" t="s">
        <v>119</v>
      </c>
      <c r="AA343" t="s">
        <v>4354</v>
      </c>
      <c r="AB343" t="s">
        <v>739</v>
      </c>
      <c r="AC343" t="s">
        <v>4355</v>
      </c>
      <c r="AD343" t="s">
        <v>119</v>
      </c>
      <c r="AE343" t="s">
        <v>4354</v>
      </c>
      <c r="AF343" t="s">
        <v>739</v>
      </c>
      <c r="AG343" t="s">
        <v>4355</v>
      </c>
      <c r="AI343" t="s">
        <v>4356</v>
      </c>
      <c r="AJ343" t="s">
        <v>119</v>
      </c>
      <c r="AK343" t="s">
        <v>99</v>
      </c>
      <c r="AL343" t="s">
        <v>4361</v>
      </c>
      <c r="AM343" t="s">
        <v>4340</v>
      </c>
      <c r="AR343" t="s">
        <v>125</v>
      </c>
      <c r="AT343" t="s">
        <v>4362</v>
      </c>
      <c r="AV343" t="s">
        <v>128</v>
      </c>
      <c r="AZ343" t="s">
        <v>80</v>
      </c>
    </row>
    <row r="344" spans="1:52" hidden="1" x14ac:dyDescent="0.25">
      <c r="A344" t="s">
        <v>4363</v>
      </c>
      <c r="B344" t="s">
        <v>3257</v>
      </c>
      <c r="C344" t="s">
        <v>4364</v>
      </c>
      <c r="D344" t="s">
        <v>2544</v>
      </c>
      <c r="E344" t="s">
        <v>4365</v>
      </c>
      <c r="F344" t="s">
        <v>4366</v>
      </c>
      <c r="G344" t="s">
        <v>4367</v>
      </c>
      <c r="J344" t="s">
        <v>80</v>
      </c>
      <c r="K344" t="s">
        <v>538</v>
      </c>
      <c r="L344" t="s">
        <v>111</v>
      </c>
      <c r="M344">
        <v>69271</v>
      </c>
      <c r="P344" t="s">
        <v>154</v>
      </c>
      <c r="Q344" t="s">
        <v>731</v>
      </c>
      <c r="R344" t="s">
        <v>732</v>
      </c>
      <c r="S344" t="s">
        <v>87</v>
      </c>
      <c r="T344" t="s">
        <v>734</v>
      </c>
      <c r="U344" t="s">
        <v>3261</v>
      </c>
      <c r="V344" t="s">
        <v>2090</v>
      </c>
      <c r="W344" t="s">
        <v>2116</v>
      </c>
      <c r="X344" t="s">
        <v>4368</v>
      </c>
      <c r="Y344" t="s">
        <v>93</v>
      </c>
      <c r="Z344" t="s">
        <v>119</v>
      </c>
      <c r="AA344" t="s">
        <v>3264</v>
      </c>
      <c r="AB344" t="s">
        <v>739</v>
      </c>
      <c r="AC344" t="s">
        <v>3265</v>
      </c>
      <c r="AD344" t="s">
        <v>119</v>
      </c>
      <c r="AE344" t="s">
        <v>3264</v>
      </c>
      <c r="AF344" t="s">
        <v>739</v>
      </c>
      <c r="AG344" t="s">
        <v>3265</v>
      </c>
      <c r="AI344" t="s">
        <v>3755</v>
      </c>
      <c r="AJ344" t="s">
        <v>119</v>
      </c>
      <c r="AK344" t="s">
        <v>99</v>
      </c>
      <c r="AL344" t="s">
        <v>4369</v>
      </c>
      <c r="AM344" t="s">
        <v>4370</v>
      </c>
      <c r="AR344" t="s">
        <v>125</v>
      </c>
      <c r="AT344" t="s">
        <v>4371</v>
      </c>
      <c r="AV344" t="s">
        <v>128</v>
      </c>
      <c r="AZ344" t="s">
        <v>80</v>
      </c>
    </row>
    <row r="345" spans="1:52" hidden="1" x14ac:dyDescent="0.25">
      <c r="A345" t="s">
        <v>4372</v>
      </c>
      <c r="B345" t="s">
        <v>3257</v>
      </c>
      <c r="C345" t="s">
        <v>4364</v>
      </c>
      <c r="D345" t="s">
        <v>2544</v>
      </c>
      <c r="E345" t="s">
        <v>4373</v>
      </c>
      <c r="F345" t="s">
        <v>4366</v>
      </c>
      <c r="G345" t="s">
        <v>4367</v>
      </c>
      <c r="J345" t="s">
        <v>80</v>
      </c>
      <c r="K345" t="s">
        <v>538</v>
      </c>
      <c r="L345" t="s">
        <v>111</v>
      </c>
      <c r="M345">
        <v>69271</v>
      </c>
      <c r="P345" t="s">
        <v>154</v>
      </c>
      <c r="Q345" t="s">
        <v>731</v>
      </c>
      <c r="R345" t="s">
        <v>732</v>
      </c>
      <c r="S345" t="s">
        <v>87</v>
      </c>
      <c r="T345" t="s">
        <v>734</v>
      </c>
      <c r="U345" t="s">
        <v>3261</v>
      </c>
      <c r="V345" t="s">
        <v>2090</v>
      </c>
      <c r="W345" t="s">
        <v>2129</v>
      </c>
      <c r="X345" t="s">
        <v>4374</v>
      </c>
      <c r="Y345" t="s">
        <v>93</v>
      </c>
      <c r="Z345" t="s">
        <v>119</v>
      </c>
      <c r="AA345" t="s">
        <v>3264</v>
      </c>
      <c r="AB345" t="s">
        <v>739</v>
      </c>
      <c r="AC345" t="s">
        <v>3265</v>
      </c>
      <c r="AD345" t="s">
        <v>119</v>
      </c>
      <c r="AE345" t="s">
        <v>3264</v>
      </c>
      <c r="AF345" t="s">
        <v>739</v>
      </c>
      <c r="AG345" t="s">
        <v>3265</v>
      </c>
      <c r="AI345" t="s">
        <v>3755</v>
      </c>
      <c r="AJ345" t="s">
        <v>119</v>
      </c>
      <c r="AK345" t="s">
        <v>99</v>
      </c>
      <c r="AL345" t="s">
        <v>4375</v>
      </c>
      <c r="AM345" t="s">
        <v>4370</v>
      </c>
      <c r="AR345" t="s">
        <v>125</v>
      </c>
      <c r="AT345" t="s">
        <v>4376</v>
      </c>
      <c r="AV345" t="s">
        <v>128</v>
      </c>
      <c r="AZ345" t="s">
        <v>80</v>
      </c>
    </row>
    <row r="346" spans="1:52" hidden="1" x14ac:dyDescent="0.25">
      <c r="A346" t="s">
        <v>4377</v>
      </c>
      <c r="B346" t="s">
        <v>4378</v>
      </c>
      <c r="C346" t="s">
        <v>4379</v>
      </c>
      <c r="D346" t="s">
        <v>2544</v>
      </c>
      <c r="E346" t="s">
        <v>4380</v>
      </c>
      <c r="F346" t="s">
        <v>4381</v>
      </c>
      <c r="G346" t="s">
        <v>4382</v>
      </c>
      <c r="J346" t="s">
        <v>80</v>
      </c>
      <c r="K346" t="s">
        <v>538</v>
      </c>
      <c r="L346" t="s">
        <v>111</v>
      </c>
      <c r="M346">
        <v>69255</v>
      </c>
      <c r="P346" t="s">
        <v>154</v>
      </c>
      <c r="Q346" t="s">
        <v>731</v>
      </c>
      <c r="R346" t="s">
        <v>732</v>
      </c>
      <c r="S346" t="s">
        <v>87</v>
      </c>
      <c r="T346" t="s">
        <v>734</v>
      </c>
      <c r="U346" t="s">
        <v>1348</v>
      </c>
      <c r="V346" t="s">
        <v>246</v>
      </c>
      <c r="W346" t="s">
        <v>752</v>
      </c>
      <c r="X346" t="s">
        <v>753</v>
      </c>
      <c r="Y346" t="s">
        <v>93</v>
      </c>
      <c r="Z346" t="s">
        <v>119</v>
      </c>
      <c r="AA346" t="s">
        <v>4383</v>
      </c>
      <c r="AB346" t="s">
        <v>739</v>
      </c>
      <c r="AC346" t="s">
        <v>4384</v>
      </c>
      <c r="AD346" t="s">
        <v>119</v>
      </c>
      <c r="AE346" t="s">
        <v>4383</v>
      </c>
      <c r="AF346" t="s">
        <v>739</v>
      </c>
      <c r="AG346" t="s">
        <v>4384</v>
      </c>
      <c r="AI346" t="s">
        <v>4385</v>
      </c>
      <c r="AJ346" t="s">
        <v>119</v>
      </c>
      <c r="AK346" t="s">
        <v>99</v>
      </c>
      <c r="AL346" t="s">
        <v>4386</v>
      </c>
      <c r="AM346" t="s">
        <v>4387</v>
      </c>
      <c r="AR346" t="s">
        <v>125</v>
      </c>
      <c r="AT346" t="s">
        <v>4388</v>
      </c>
      <c r="AV346" t="s">
        <v>128</v>
      </c>
      <c r="AZ346" t="s">
        <v>80</v>
      </c>
    </row>
    <row r="347" spans="1:52" hidden="1" x14ac:dyDescent="0.25">
      <c r="A347" t="s">
        <v>4389</v>
      </c>
      <c r="B347" t="s">
        <v>4378</v>
      </c>
      <c r="C347" t="s">
        <v>4379</v>
      </c>
      <c r="D347" t="s">
        <v>2544</v>
      </c>
      <c r="E347" t="s">
        <v>4390</v>
      </c>
      <c r="F347" t="s">
        <v>4381</v>
      </c>
      <c r="G347" t="s">
        <v>4382</v>
      </c>
      <c r="J347" t="s">
        <v>80</v>
      </c>
      <c r="K347" t="s">
        <v>538</v>
      </c>
      <c r="L347" t="s">
        <v>111</v>
      </c>
      <c r="M347">
        <v>69255</v>
      </c>
      <c r="P347" t="s">
        <v>154</v>
      </c>
      <c r="Q347" t="s">
        <v>731</v>
      </c>
      <c r="R347" t="s">
        <v>732</v>
      </c>
      <c r="S347" t="s">
        <v>87</v>
      </c>
      <c r="T347" t="s">
        <v>734</v>
      </c>
      <c r="U347" t="s">
        <v>1348</v>
      </c>
      <c r="V347" t="s">
        <v>246</v>
      </c>
      <c r="W347" t="s">
        <v>737</v>
      </c>
      <c r="X347" t="s">
        <v>738</v>
      </c>
      <c r="Y347" t="s">
        <v>93</v>
      </c>
      <c r="Z347" t="s">
        <v>119</v>
      </c>
      <c r="AA347" t="s">
        <v>4383</v>
      </c>
      <c r="AB347" t="s">
        <v>739</v>
      </c>
      <c r="AC347" t="s">
        <v>4384</v>
      </c>
      <c r="AD347" t="s">
        <v>119</v>
      </c>
      <c r="AE347" t="s">
        <v>4383</v>
      </c>
      <c r="AF347" t="s">
        <v>739</v>
      </c>
      <c r="AG347" t="s">
        <v>4384</v>
      </c>
      <c r="AI347" t="s">
        <v>4385</v>
      </c>
      <c r="AJ347" t="s">
        <v>119</v>
      </c>
      <c r="AK347" t="s">
        <v>99</v>
      </c>
      <c r="AL347" t="s">
        <v>4391</v>
      </c>
      <c r="AM347" t="s">
        <v>4387</v>
      </c>
      <c r="AR347" t="s">
        <v>125</v>
      </c>
      <c r="AT347" t="s">
        <v>4392</v>
      </c>
      <c r="AV347" t="s">
        <v>128</v>
      </c>
      <c r="AZ347" t="s">
        <v>80</v>
      </c>
    </row>
    <row r="348" spans="1:52" hidden="1" x14ac:dyDescent="0.25">
      <c r="A348" t="s">
        <v>4393</v>
      </c>
      <c r="B348" t="s">
        <v>4394</v>
      </c>
      <c r="C348" t="s">
        <v>4395</v>
      </c>
      <c r="D348" t="s">
        <v>2544</v>
      </c>
      <c r="E348" t="s">
        <v>4396</v>
      </c>
      <c r="F348" t="s">
        <v>4397</v>
      </c>
      <c r="G348" t="s">
        <v>4398</v>
      </c>
      <c r="J348" t="s">
        <v>80</v>
      </c>
      <c r="K348" t="s">
        <v>538</v>
      </c>
      <c r="L348" t="s">
        <v>111</v>
      </c>
      <c r="M348">
        <v>69226</v>
      </c>
      <c r="P348" t="s">
        <v>154</v>
      </c>
      <c r="Q348" t="s">
        <v>731</v>
      </c>
      <c r="R348" t="s">
        <v>732</v>
      </c>
      <c r="S348" t="s">
        <v>1124</v>
      </c>
      <c r="T348" t="s">
        <v>542</v>
      </c>
      <c r="U348" t="s">
        <v>4399</v>
      </c>
      <c r="V348" t="s">
        <v>2598</v>
      </c>
      <c r="W348" t="s">
        <v>797</v>
      </c>
      <c r="X348" t="s">
        <v>602</v>
      </c>
      <c r="Y348" t="s">
        <v>93</v>
      </c>
      <c r="Z348" t="s">
        <v>548</v>
      </c>
      <c r="AA348" t="s">
        <v>120</v>
      </c>
      <c r="AB348" t="s">
        <v>119</v>
      </c>
      <c r="AC348" t="s">
        <v>2677</v>
      </c>
      <c r="AD348" t="s">
        <v>548</v>
      </c>
      <c r="AE348" t="s">
        <v>120</v>
      </c>
      <c r="AF348" t="s">
        <v>119</v>
      </c>
      <c r="AG348" t="s">
        <v>2677</v>
      </c>
      <c r="AI348" t="s">
        <v>4400</v>
      </c>
      <c r="AJ348" t="s">
        <v>548</v>
      </c>
      <c r="AK348" t="s">
        <v>99</v>
      </c>
      <c r="AL348" t="s">
        <v>4401</v>
      </c>
      <c r="AM348" t="s">
        <v>4402</v>
      </c>
      <c r="AR348" t="s">
        <v>125</v>
      </c>
      <c r="AT348" t="s">
        <v>4403</v>
      </c>
      <c r="AV348" t="s">
        <v>128</v>
      </c>
      <c r="AZ348" t="s">
        <v>80</v>
      </c>
    </row>
    <row r="349" spans="1:52" hidden="1" x14ac:dyDescent="0.25">
      <c r="A349" t="s">
        <v>4404</v>
      </c>
      <c r="B349" t="s">
        <v>710</v>
      </c>
      <c r="C349" t="s">
        <v>4405</v>
      </c>
      <c r="D349" t="s">
        <v>2544</v>
      </c>
      <c r="E349" t="s">
        <v>4406</v>
      </c>
      <c r="F349" t="s">
        <v>713</v>
      </c>
      <c r="G349" t="s">
        <v>714</v>
      </c>
      <c r="J349" t="s">
        <v>80</v>
      </c>
      <c r="K349" t="s">
        <v>538</v>
      </c>
      <c r="L349" t="s">
        <v>111</v>
      </c>
      <c r="M349">
        <v>69220</v>
      </c>
      <c r="P349" t="s">
        <v>154</v>
      </c>
      <c r="Q349" t="s">
        <v>1284</v>
      </c>
      <c r="R349" t="s">
        <v>1285</v>
      </c>
      <c r="S349" t="s">
        <v>1124</v>
      </c>
      <c r="T349" t="s">
        <v>542</v>
      </c>
      <c r="U349" t="s">
        <v>543</v>
      </c>
      <c r="V349" t="s">
        <v>716</v>
      </c>
      <c r="W349" t="s">
        <v>601</v>
      </c>
      <c r="X349" t="s">
        <v>602</v>
      </c>
      <c r="Y349" t="s">
        <v>93</v>
      </c>
      <c r="Z349" t="s">
        <v>548</v>
      </c>
      <c r="AA349" t="s">
        <v>717</v>
      </c>
      <c r="AB349" t="s">
        <v>119</v>
      </c>
      <c r="AC349" t="s">
        <v>718</v>
      </c>
      <c r="AD349" t="s">
        <v>548</v>
      </c>
      <c r="AE349" t="s">
        <v>717</v>
      </c>
      <c r="AF349" t="s">
        <v>119</v>
      </c>
      <c r="AG349" t="s">
        <v>718</v>
      </c>
      <c r="AI349" t="s">
        <v>3987</v>
      </c>
      <c r="AJ349" t="s">
        <v>548</v>
      </c>
      <c r="AK349" t="s">
        <v>99</v>
      </c>
      <c r="AL349" t="s">
        <v>4407</v>
      </c>
      <c r="AM349" t="s">
        <v>4408</v>
      </c>
      <c r="AR349" t="s">
        <v>125</v>
      </c>
      <c r="AT349" t="s">
        <v>4409</v>
      </c>
      <c r="AV349" t="s">
        <v>128</v>
      </c>
      <c r="AZ349" t="s">
        <v>80</v>
      </c>
    </row>
    <row r="350" spans="1:52" hidden="1" x14ac:dyDescent="0.25">
      <c r="A350" t="s">
        <v>4410</v>
      </c>
      <c r="B350" t="s">
        <v>4411</v>
      </c>
      <c r="C350" t="s">
        <v>4412</v>
      </c>
      <c r="D350" t="s">
        <v>2544</v>
      </c>
      <c r="E350" t="s">
        <v>4413</v>
      </c>
      <c r="F350" t="s">
        <v>4414</v>
      </c>
      <c r="G350" t="s">
        <v>4415</v>
      </c>
      <c r="J350" t="s">
        <v>80</v>
      </c>
      <c r="K350" t="s">
        <v>538</v>
      </c>
      <c r="L350" t="s">
        <v>111</v>
      </c>
      <c r="M350" t="s">
        <v>4416</v>
      </c>
      <c r="P350" t="s">
        <v>154</v>
      </c>
      <c r="Q350" t="s">
        <v>3469</v>
      </c>
      <c r="R350" t="s">
        <v>2488</v>
      </c>
      <c r="S350" t="s">
        <v>1016</v>
      </c>
      <c r="T350" t="s">
        <v>1363</v>
      </c>
      <c r="U350" t="s">
        <v>4417</v>
      </c>
      <c r="V350" t="s">
        <v>1834</v>
      </c>
      <c r="W350" t="s">
        <v>797</v>
      </c>
      <c r="X350" t="s">
        <v>1366</v>
      </c>
      <c r="Y350" t="s">
        <v>93</v>
      </c>
      <c r="Z350" t="s">
        <v>427</v>
      </c>
      <c r="AA350" t="s">
        <v>3578</v>
      </c>
      <c r="AB350" t="s">
        <v>678</v>
      </c>
      <c r="AC350" t="s">
        <v>4418</v>
      </c>
      <c r="AD350" t="s">
        <v>427</v>
      </c>
      <c r="AE350" t="s">
        <v>3578</v>
      </c>
      <c r="AF350" t="s">
        <v>678</v>
      </c>
      <c r="AG350" t="s">
        <v>4418</v>
      </c>
      <c r="AI350" t="s">
        <v>4419</v>
      </c>
      <c r="AJ350" t="s">
        <v>427</v>
      </c>
      <c r="AK350" t="s">
        <v>99</v>
      </c>
      <c r="AL350" t="s">
        <v>4420</v>
      </c>
      <c r="AM350" t="s">
        <v>4421</v>
      </c>
      <c r="AR350" t="s">
        <v>125</v>
      </c>
      <c r="AT350" t="s">
        <v>4422</v>
      </c>
      <c r="AV350" t="s">
        <v>128</v>
      </c>
      <c r="AZ350" t="s">
        <v>80</v>
      </c>
    </row>
    <row r="351" spans="1:52" hidden="1" x14ac:dyDescent="0.25">
      <c r="A351" t="s">
        <v>4423</v>
      </c>
      <c r="B351" t="s">
        <v>4424</v>
      </c>
      <c r="C351" t="s">
        <v>4425</v>
      </c>
      <c r="D351" t="s">
        <v>2544</v>
      </c>
      <c r="E351" t="s">
        <v>4426</v>
      </c>
      <c r="F351" t="s">
        <v>4427</v>
      </c>
      <c r="G351" t="s">
        <v>4428</v>
      </c>
      <c r="J351" t="s">
        <v>80</v>
      </c>
      <c r="K351" t="s">
        <v>538</v>
      </c>
      <c r="L351" t="s">
        <v>111</v>
      </c>
      <c r="M351" t="s">
        <v>4429</v>
      </c>
      <c r="P351" t="s">
        <v>154</v>
      </c>
      <c r="Q351" t="s">
        <v>3469</v>
      </c>
      <c r="R351" t="s">
        <v>2488</v>
      </c>
      <c r="S351" t="s">
        <v>1016</v>
      </c>
      <c r="T351" t="s">
        <v>1363</v>
      </c>
      <c r="U351" t="s">
        <v>1746</v>
      </c>
      <c r="V351" t="s">
        <v>852</v>
      </c>
      <c r="W351" t="s">
        <v>161</v>
      </c>
      <c r="X351" t="s">
        <v>4430</v>
      </c>
      <c r="Y351" t="s">
        <v>93</v>
      </c>
      <c r="Z351" t="s">
        <v>427</v>
      </c>
      <c r="AA351" t="s">
        <v>3691</v>
      </c>
      <c r="AB351" t="s">
        <v>678</v>
      </c>
      <c r="AC351" t="s">
        <v>2827</v>
      </c>
      <c r="AD351" t="s">
        <v>427</v>
      </c>
      <c r="AE351" t="s">
        <v>3691</v>
      </c>
      <c r="AF351" t="s">
        <v>678</v>
      </c>
      <c r="AG351" t="s">
        <v>2827</v>
      </c>
      <c r="AI351" t="s">
        <v>4431</v>
      </c>
      <c r="AJ351" t="s">
        <v>427</v>
      </c>
      <c r="AK351" t="s">
        <v>99</v>
      </c>
      <c r="AL351" t="s">
        <v>4432</v>
      </c>
      <c r="AM351" t="s">
        <v>4433</v>
      </c>
      <c r="AR351" t="s">
        <v>125</v>
      </c>
      <c r="AT351" t="s">
        <v>4434</v>
      </c>
      <c r="AV351" t="s">
        <v>128</v>
      </c>
      <c r="AZ351" t="s">
        <v>80</v>
      </c>
    </row>
    <row r="352" spans="1:52" hidden="1" x14ac:dyDescent="0.25">
      <c r="A352" t="s">
        <v>4435</v>
      </c>
      <c r="B352" t="s">
        <v>4436</v>
      </c>
      <c r="C352" t="s">
        <v>4437</v>
      </c>
      <c r="D352" t="s">
        <v>2544</v>
      </c>
      <c r="E352" t="s">
        <v>4438</v>
      </c>
      <c r="F352" t="s">
        <v>4439</v>
      </c>
      <c r="G352" t="s">
        <v>4440</v>
      </c>
      <c r="J352" t="s">
        <v>80</v>
      </c>
      <c r="K352" t="s">
        <v>538</v>
      </c>
      <c r="L352" t="s">
        <v>111</v>
      </c>
      <c r="M352" t="s">
        <v>4441</v>
      </c>
      <c r="N352" t="s">
        <v>4442</v>
      </c>
      <c r="P352" t="s">
        <v>1306</v>
      </c>
      <c r="Q352" t="s">
        <v>539</v>
      </c>
      <c r="R352" t="s">
        <v>540</v>
      </c>
      <c r="S352" t="s">
        <v>541</v>
      </c>
      <c r="T352" t="s">
        <v>1414</v>
      </c>
      <c r="U352" t="s">
        <v>4443</v>
      </c>
      <c r="V352" t="s">
        <v>1365</v>
      </c>
      <c r="W352" t="s">
        <v>161</v>
      </c>
      <c r="X352" t="s">
        <v>4444</v>
      </c>
      <c r="Y352" t="s">
        <v>93</v>
      </c>
      <c r="Z352" t="s">
        <v>427</v>
      </c>
      <c r="AA352" t="s">
        <v>4445</v>
      </c>
      <c r="AB352" t="s">
        <v>1312</v>
      </c>
      <c r="AC352" t="s">
        <v>1805</v>
      </c>
      <c r="AD352" t="s">
        <v>427</v>
      </c>
      <c r="AE352" t="s">
        <v>4445</v>
      </c>
      <c r="AF352" t="s">
        <v>1312</v>
      </c>
      <c r="AG352" t="s">
        <v>1805</v>
      </c>
      <c r="AH352" t="s">
        <v>4446</v>
      </c>
      <c r="AI352" t="s">
        <v>4447</v>
      </c>
      <c r="AJ352" t="s">
        <v>427</v>
      </c>
      <c r="AK352" t="s">
        <v>99</v>
      </c>
      <c r="AL352" t="s">
        <v>4448</v>
      </c>
      <c r="AM352" t="s">
        <v>4449</v>
      </c>
      <c r="AR352" t="s">
        <v>125</v>
      </c>
      <c r="AT352" t="s">
        <v>4450</v>
      </c>
      <c r="AV352" t="s">
        <v>128</v>
      </c>
      <c r="AZ352" t="s">
        <v>80</v>
      </c>
    </row>
    <row r="353" spans="1:52" hidden="1" x14ac:dyDescent="0.25">
      <c r="A353" t="s">
        <v>4451</v>
      </c>
      <c r="B353" t="s">
        <v>4452</v>
      </c>
      <c r="C353" t="s">
        <v>4453</v>
      </c>
      <c r="D353" t="s">
        <v>2544</v>
      </c>
      <c r="E353" t="s">
        <v>4454</v>
      </c>
      <c r="F353" t="s">
        <v>4455</v>
      </c>
      <c r="G353" t="s">
        <v>4456</v>
      </c>
      <c r="J353" t="s">
        <v>80</v>
      </c>
      <c r="K353" t="s">
        <v>538</v>
      </c>
      <c r="L353" t="s">
        <v>111</v>
      </c>
      <c r="M353" t="s">
        <v>4457</v>
      </c>
      <c r="N353" t="s">
        <v>4458</v>
      </c>
      <c r="P353" t="s">
        <v>1306</v>
      </c>
      <c r="Q353" t="s">
        <v>731</v>
      </c>
      <c r="R353" t="s">
        <v>732</v>
      </c>
      <c r="S353" t="s">
        <v>733</v>
      </c>
      <c r="T353" t="s">
        <v>1414</v>
      </c>
      <c r="U353" t="s">
        <v>2638</v>
      </c>
      <c r="V353" t="s">
        <v>2623</v>
      </c>
      <c r="W353" t="s">
        <v>161</v>
      </c>
      <c r="X353" t="s">
        <v>4444</v>
      </c>
      <c r="Y353" t="s">
        <v>93</v>
      </c>
      <c r="Z353" t="s">
        <v>427</v>
      </c>
      <c r="AA353" t="s">
        <v>4459</v>
      </c>
      <c r="AB353" t="s">
        <v>1312</v>
      </c>
      <c r="AC353" t="s">
        <v>766</v>
      </c>
      <c r="AD353" t="s">
        <v>427</v>
      </c>
      <c r="AE353" t="s">
        <v>4459</v>
      </c>
      <c r="AF353" t="s">
        <v>1312</v>
      </c>
      <c r="AG353" t="s">
        <v>766</v>
      </c>
      <c r="AH353" t="s">
        <v>4446</v>
      </c>
      <c r="AI353" t="s">
        <v>4460</v>
      </c>
      <c r="AJ353" t="s">
        <v>427</v>
      </c>
      <c r="AK353" t="s">
        <v>99</v>
      </c>
      <c r="AL353" t="s">
        <v>4461</v>
      </c>
      <c r="AM353" t="s">
        <v>4462</v>
      </c>
      <c r="AR353" t="s">
        <v>125</v>
      </c>
      <c r="AT353" t="s">
        <v>4463</v>
      </c>
      <c r="AV353" t="s">
        <v>128</v>
      </c>
      <c r="AZ353" t="s">
        <v>80</v>
      </c>
    </row>
    <row r="354" spans="1:52" hidden="1" x14ac:dyDescent="0.25">
      <c r="A354" t="s">
        <v>4464</v>
      </c>
      <c r="B354" t="s">
        <v>4465</v>
      </c>
      <c r="C354" t="s">
        <v>4466</v>
      </c>
      <c r="D354" t="s">
        <v>2544</v>
      </c>
      <c r="E354" t="s">
        <v>4467</v>
      </c>
      <c r="F354" t="s">
        <v>4468</v>
      </c>
      <c r="G354" t="s">
        <v>4469</v>
      </c>
      <c r="J354" t="s">
        <v>80</v>
      </c>
      <c r="K354" t="s">
        <v>538</v>
      </c>
      <c r="L354" t="s">
        <v>111</v>
      </c>
      <c r="M354" t="s">
        <v>24</v>
      </c>
      <c r="O354" t="s">
        <v>3468</v>
      </c>
      <c r="P354" t="s">
        <v>154</v>
      </c>
      <c r="Q354" t="s">
        <v>1284</v>
      </c>
      <c r="R354" t="s">
        <v>1285</v>
      </c>
      <c r="S354" t="s">
        <v>1124</v>
      </c>
      <c r="T354" t="s">
        <v>2045</v>
      </c>
      <c r="U354" t="s">
        <v>4470</v>
      </c>
      <c r="V354" t="s">
        <v>4471</v>
      </c>
      <c r="W354" t="s">
        <v>797</v>
      </c>
      <c r="X354" t="s">
        <v>2047</v>
      </c>
      <c r="Y354" t="s">
        <v>93</v>
      </c>
      <c r="Z354" t="s">
        <v>427</v>
      </c>
      <c r="AA354" t="s">
        <v>4472</v>
      </c>
      <c r="AB354" t="s">
        <v>2048</v>
      </c>
      <c r="AC354" t="s">
        <v>3899</v>
      </c>
      <c r="AD354" t="s">
        <v>427</v>
      </c>
      <c r="AE354" t="s">
        <v>4472</v>
      </c>
      <c r="AF354" t="s">
        <v>2048</v>
      </c>
      <c r="AG354" t="s">
        <v>3899</v>
      </c>
      <c r="AI354" t="s">
        <v>2989</v>
      </c>
      <c r="AJ354" t="s">
        <v>427</v>
      </c>
      <c r="AK354" t="s">
        <v>99</v>
      </c>
      <c r="AL354" t="s">
        <v>4473</v>
      </c>
      <c r="AM354" t="s">
        <v>4474</v>
      </c>
      <c r="AR354" t="s">
        <v>125</v>
      </c>
      <c r="AT354" t="s">
        <v>4475</v>
      </c>
      <c r="AV354" t="s">
        <v>190</v>
      </c>
      <c r="AZ354" t="s">
        <v>80</v>
      </c>
    </row>
    <row r="355" spans="1:52" hidden="1" x14ac:dyDescent="0.25">
      <c r="A355" t="s">
        <v>4476</v>
      </c>
      <c r="B355" t="s">
        <v>4477</v>
      </c>
      <c r="C355" t="s">
        <v>4478</v>
      </c>
      <c r="D355" t="s">
        <v>2544</v>
      </c>
      <c r="E355" t="s">
        <v>4479</v>
      </c>
      <c r="F355" t="s">
        <v>4480</v>
      </c>
      <c r="G355" t="s">
        <v>4481</v>
      </c>
      <c r="J355" t="s">
        <v>80</v>
      </c>
      <c r="K355" t="s">
        <v>538</v>
      </c>
      <c r="L355" t="s">
        <v>111</v>
      </c>
      <c r="M355" t="s">
        <v>4482</v>
      </c>
      <c r="P355" t="s">
        <v>134</v>
      </c>
      <c r="Q355" t="s">
        <v>1205</v>
      </c>
      <c r="R355" t="s">
        <v>914</v>
      </c>
      <c r="S355" t="s">
        <v>444</v>
      </c>
      <c r="T355" t="s">
        <v>3388</v>
      </c>
      <c r="U355" t="s">
        <v>346</v>
      </c>
      <c r="V355" t="s">
        <v>4483</v>
      </c>
      <c r="W355" t="s">
        <v>4484</v>
      </c>
      <c r="X355" t="s">
        <v>4485</v>
      </c>
      <c r="Y355" t="s">
        <v>93</v>
      </c>
      <c r="Z355" t="s">
        <v>2986</v>
      </c>
      <c r="AA355" t="s">
        <v>4486</v>
      </c>
      <c r="AB355" t="s">
        <v>182</v>
      </c>
      <c r="AC355" t="s">
        <v>4487</v>
      </c>
      <c r="AD355" t="s">
        <v>2986</v>
      </c>
      <c r="AE355" t="s">
        <v>4486</v>
      </c>
      <c r="AF355" t="s">
        <v>182</v>
      </c>
      <c r="AG355" t="s">
        <v>4487</v>
      </c>
      <c r="AI355" t="s">
        <v>4488</v>
      </c>
      <c r="AJ355" t="s">
        <v>2986</v>
      </c>
      <c r="AK355" t="s">
        <v>99</v>
      </c>
      <c r="AL355" t="s">
        <v>4489</v>
      </c>
      <c r="AM355" t="s">
        <v>4490</v>
      </c>
      <c r="AR355" t="s">
        <v>125</v>
      </c>
      <c r="AT355" t="s">
        <v>4491</v>
      </c>
      <c r="AV355" t="s">
        <v>128</v>
      </c>
      <c r="AZ355" t="s">
        <v>80</v>
      </c>
    </row>
    <row r="356" spans="1:52" hidden="1" x14ac:dyDescent="0.25">
      <c r="A356" t="s">
        <v>4492</v>
      </c>
      <c r="B356" t="s">
        <v>4493</v>
      </c>
      <c r="C356" t="s">
        <v>4478</v>
      </c>
      <c r="D356" t="s">
        <v>2544</v>
      </c>
      <c r="E356" t="s">
        <v>4494</v>
      </c>
      <c r="F356" t="s">
        <v>4495</v>
      </c>
      <c r="G356" t="s">
        <v>4496</v>
      </c>
      <c r="J356" t="s">
        <v>80</v>
      </c>
      <c r="K356" t="s">
        <v>538</v>
      </c>
      <c r="L356" t="s">
        <v>111</v>
      </c>
      <c r="M356">
        <v>69821</v>
      </c>
      <c r="P356" t="s">
        <v>134</v>
      </c>
      <c r="Q356" t="s">
        <v>1205</v>
      </c>
      <c r="R356" t="s">
        <v>914</v>
      </c>
      <c r="S356" t="s">
        <v>444</v>
      </c>
      <c r="T356" t="s">
        <v>4497</v>
      </c>
      <c r="U356" t="s">
        <v>3500</v>
      </c>
      <c r="V356" t="s">
        <v>3047</v>
      </c>
      <c r="W356" t="s">
        <v>4484</v>
      </c>
      <c r="X356" t="s">
        <v>4498</v>
      </c>
      <c r="Y356" t="s">
        <v>93</v>
      </c>
      <c r="Z356" t="s">
        <v>2613</v>
      </c>
      <c r="AA356" t="s">
        <v>3488</v>
      </c>
      <c r="AB356" t="s">
        <v>182</v>
      </c>
      <c r="AC356" t="s">
        <v>4499</v>
      </c>
      <c r="AD356" t="s">
        <v>2613</v>
      </c>
      <c r="AE356" t="s">
        <v>3488</v>
      </c>
      <c r="AF356" t="s">
        <v>182</v>
      </c>
      <c r="AG356" t="s">
        <v>4499</v>
      </c>
      <c r="AI356" t="s">
        <v>4500</v>
      </c>
      <c r="AJ356" t="s">
        <v>2613</v>
      </c>
      <c r="AK356" t="s">
        <v>99</v>
      </c>
      <c r="AL356" t="s">
        <v>4501</v>
      </c>
      <c r="AM356" t="s">
        <v>4502</v>
      </c>
      <c r="AR356" t="s">
        <v>125</v>
      </c>
      <c r="AT356" t="s">
        <v>4503</v>
      </c>
      <c r="AV356" t="s">
        <v>128</v>
      </c>
      <c r="AZ356" t="s">
        <v>80</v>
      </c>
    </row>
    <row r="357" spans="1:52" hidden="1" x14ac:dyDescent="0.25">
      <c r="A357" t="s">
        <v>4504</v>
      </c>
      <c r="B357" t="s">
        <v>4505</v>
      </c>
      <c r="C357" t="s">
        <v>4478</v>
      </c>
      <c r="D357" t="s">
        <v>2544</v>
      </c>
      <c r="E357" t="s">
        <v>4506</v>
      </c>
      <c r="F357" t="s">
        <v>4507</v>
      </c>
      <c r="G357" t="s">
        <v>4508</v>
      </c>
      <c r="J357" t="s">
        <v>80</v>
      </c>
      <c r="K357" t="s">
        <v>538</v>
      </c>
      <c r="L357" t="s">
        <v>111</v>
      </c>
      <c r="M357" t="s">
        <v>4509</v>
      </c>
      <c r="P357" t="s">
        <v>134</v>
      </c>
      <c r="Q357" t="s">
        <v>1205</v>
      </c>
      <c r="R357" t="s">
        <v>914</v>
      </c>
      <c r="S357" t="s">
        <v>444</v>
      </c>
      <c r="T357" t="s">
        <v>4510</v>
      </c>
      <c r="U357" t="s">
        <v>4511</v>
      </c>
      <c r="V357" t="s">
        <v>4512</v>
      </c>
      <c r="W357" t="s">
        <v>4484</v>
      </c>
      <c r="X357" t="s">
        <v>4513</v>
      </c>
      <c r="Y357" t="s">
        <v>93</v>
      </c>
      <c r="Z357" t="s">
        <v>678</v>
      </c>
      <c r="AA357" t="s">
        <v>2347</v>
      </c>
      <c r="AB357" t="s">
        <v>182</v>
      </c>
      <c r="AC357" t="s">
        <v>4514</v>
      </c>
      <c r="AD357" t="s">
        <v>678</v>
      </c>
      <c r="AE357" t="s">
        <v>2347</v>
      </c>
      <c r="AF357" t="s">
        <v>182</v>
      </c>
      <c r="AG357" t="s">
        <v>4514</v>
      </c>
      <c r="AI357" t="s">
        <v>4276</v>
      </c>
      <c r="AJ357" t="s">
        <v>678</v>
      </c>
      <c r="AK357" t="s">
        <v>99</v>
      </c>
      <c r="AL357" t="s">
        <v>4515</v>
      </c>
      <c r="AM357" t="s">
        <v>4516</v>
      </c>
      <c r="AR357" t="s">
        <v>125</v>
      </c>
      <c r="AT357" t="s">
        <v>4517</v>
      </c>
      <c r="AV357" t="s">
        <v>128</v>
      </c>
      <c r="AZ357" t="s">
        <v>80</v>
      </c>
    </row>
    <row r="358" spans="1:52" hidden="1" x14ac:dyDescent="0.25">
      <c r="A358" t="s">
        <v>4518</v>
      </c>
      <c r="B358" t="s">
        <v>3382</v>
      </c>
      <c r="C358" t="s">
        <v>4519</v>
      </c>
      <c r="D358" t="s">
        <v>2544</v>
      </c>
      <c r="E358" t="s">
        <v>4520</v>
      </c>
      <c r="F358" t="s">
        <v>3385</v>
      </c>
      <c r="G358" t="s">
        <v>3386</v>
      </c>
      <c r="J358" t="s">
        <v>80</v>
      </c>
      <c r="K358" t="s">
        <v>538</v>
      </c>
      <c r="L358" t="s">
        <v>111</v>
      </c>
      <c r="M358" t="s">
        <v>3387</v>
      </c>
      <c r="P358" t="s">
        <v>134</v>
      </c>
      <c r="Q358" t="s">
        <v>1205</v>
      </c>
      <c r="R358" t="s">
        <v>914</v>
      </c>
      <c r="S358" t="s">
        <v>444</v>
      </c>
      <c r="T358" t="s">
        <v>3388</v>
      </c>
      <c r="U358" t="s">
        <v>346</v>
      </c>
      <c r="V358" t="s">
        <v>3389</v>
      </c>
      <c r="W358" t="s">
        <v>3428</v>
      </c>
      <c r="X358" t="s">
        <v>4521</v>
      </c>
      <c r="Y358" t="s">
        <v>93</v>
      </c>
      <c r="Z358" t="s">
        <v>2986</v>
      </c>
      <c r="AA358" t="s">
        <v>3391</v>
      </c>
      <c r="AB358" t="s">
        <v>182</v>
      </c>
      <c r="AC358" t="s">
        <v>3392</v>
      </c>
      <c r="AD358" t="s">
        <v>2986</v>
      </c>
      <c r="AE358" t="s">
        <v>3391</v>
      </c>
      <c r="AF358" t="s">
        <v>182</v>
      </c>
      <c r="AG358" t="s">
        <v>3392</v>
      </c>
      <c r="AI358" t="s">
        <v>1420</v>
      </c>
      <c r="AJ358" t="s">
        <v>2986</v>
      </c>
      <c r="AK358" t="s">
        <v>99</v>
      </c>
      <c r="AL358" t="s">
        <v>4522</v>
      </c>
      <c r="AM358" t="s">
        <v>3402</v>
      </c>
      <c r="AR358" t="s">
        <v>125</v>
      </c>
      <c r="AT358" t="s">
        <v>4523</v>
      </c>
      <c r="AV358" t="s">
        <v>128</v>
      </c>
      <c r="AZ358" t="s">
        <v>80</v>
      </c>
    </row>
    <row r="359" spans="1:52" hidden="1" x14ac:dyDescent="0.25">
      <c r="A359" t="s">
        <v>4524</v>
      </c>
      <c r="B359" t="s">
        <v>4525</v>
      </c>
      <c r="C359" t="s">
        <v>4519</v>
      </c>
      <c r="D359" t="s">
        <v>2544</v>
      </c>
      <c r="E359" t="s">
        <v>4526</v>
      </c>
      <c r="F359" t="s">
        <v>4527</v>
      </c>
      <c r="G359" t="s">
        <v>4528</v>
      </c>
      <c r="J359" t="s">
        <v>80</v>
      </c>
      <c r="K359" t="s">
        <v>538</v>
      </c>
      <c r="L359" t="s">
        <v>111</v>
      </c>
      <c r="M359" t="s">
        <v>4529</v>
      </c>
      <c r="P359" t="s">
        <v>134</v>
      </c>
      <c r="Q359" t="s">
        <v>1205</v>
      </c>
      <c r="R359" t="s">
        <v>914</v>
      </c>
      <c r="S359" t="s">
        <v>444</v>
      </c>
      <c r="T359" t="s">
        <v>4510</v>
      </c>
      <c r="U359" t="s">
        <v>2907</v>
      </c>
      <c r="V359" t="s">
        <v>2519</v>
      </c>
      <c r="W359" t="s">
        <v>3411</v>
      </c>
      <c r="X359" t="s">
        <v>4530</v>
      </c>
      <c r="Y359" t="s">
        <v>93</v>
      </c>
      <c r="Z359" t="s">
        <v>678</v>
      </c>
      <c r="AA359" t="s">
        <v>4531</v>
      </c>
      <c r="AB359" t="s">
        <v>182</v>
      </c>
      <c r="AC359" t="s">
        <v>4532</v>
      </c>
      <c r="AD359" t="s">
        <v>678</v>
      </c>
      <c r="AE359" t="s">
        <v>4531</v>
      </c>
      <c r="AF359" t="s">
        <v>182</v>
      </c>
      <c r="AG359" t="s">
        <v>4532</v>
      </c>
      <c r="AI359" t="s">
        <v>4533</v>
      </c>
      <c r="AJ359" t="s">
        <v>678</v>
      </c>
      <c r="AK359" t="s">
        <v>99</v>
      </c>
      <c r="AL359" t="s">
        <v>4534</v>
      </c>
      <c r="AM359" t="s">
        <v>4535</v>
      </c>
      <c r="AR359" t="s">
        <v>125</v>
      </c>
      <c r="AT359" t="s">
        <v>4536</v>
      </c>
      <c r="AV359" t="s">
        <v>128</v>
      </c>
      <c r="AZ359" t="s">
        <v>80</v>
      </c>
    </row>
    <row r="360" spans="1:52" hidden="1" x14ac:dyDescent="0.25">
      <c r="A360" t="s">
        <v>4537</v>
      </c>
      <c r="B360" t="s">
        <v>4538</v>
      </c>
      <c r="C360" t="s">
        <v>4519</v>
      </c>
      <c r="D360" t="s">
        <v>2544</v>
      </c>
      <c r="E360" t="s">
        <v>4539</v>
      </c>
      <c r="F360" t="s">
        <v>4540</v>
      </c>
      <c r="G360" t="s">
        <v>4541</v>
      </c>
      <c r="J360" t="s">
        <v>80</v>
      </c>
      <c r="K360" t="s">
        <v>538</v>
      </c>
      <c r="L360" t="s">
        <v>111</v>
      </c>
      <c r="M360">
        <v>69813</v>
      </c>
      <c r="P360" t="s">
        <v>134</v>
      </c>
      <c r="Q360" t="s">
        <v>1205</v>
      </c>
      <c r="R360" t="s">
        <v>914</v>
      </c>
      <c r="S360" t="s">
        <v>444</v>
      </c>
      <c r="T360" t="s">
        <v>4497</v>
      </c>
      <c r="U360" t="s">
        <v>401</v>
      </c>
      <c r="V360" t="s">
        <v>514</v>
      </c>
      <c r="W360" t="s">
        <v>2015</v>
      </c>
      <c r="X360" t="s">
        <v>4498</v>
      </c>
      <c r="Y360" t="s">
        <v>93</v>
      </c>
      <c r="Z360" t="s">
        <v>2613</v>
      </c>
      <c r="AA360" t="s">
        <v>4542</v>
      </c>
      <c r="AB360" t="s">
        <v>182</v>
      </c>
      <c r="AC360" t="s">
        <v>4532</v>
      </c>
      <c r="AD360" t="s">
        <v>2613</v>
      </c>
      <c r="AE360" t="s">
        <v>4542</v>
      </c>
      <c r="AF360" t="s">
        <v>182</v>
      </c>
      <c r="AG360" t="s">
        <v>4532</v>
      </c>
      <c r="AI360" t="s">
        <v>4533</v>
      </c>
      <c r="AJ360" t="s">
        <v>2613</v>
      </c>
      <c r="AK360" t="s">
        <v>99</v>
      </c>
      <c r="AL360" t="s">
        <v>4543</v>
      </c>
      <c r="AM360" t="s">
        <v>4544</v>
      </c>
      <c r="AR360" t="s">
        <v>125</v>
      </c>
      <c r="AT360" t="s">
        <v>4545</v>
      </c>
      <c r="AV360" t="s">
        <v>128</v>
      </c>
      <c r="AZ360" t="s">
        <v>80</v>
      </c>
    </row>
    <row r="361" spans="1:52" hidden="1" x14ac:dyDescent="0.25">
      <c r="A361" t="s">
        <v>4546</v>
      </c>
      <c r="B361" t="s">
        <v>4547</v>
      </c>
      <c r="C361" t="s">
        <v>4519</v>
      </c>
      <c r="D361" t="s">
        <v>2544</v>
      </c>
      <c r="E361" t="s">
        <v>4548</v>
      </c>
      <c r="F361" t="s">
        <v>4549</v>
      </c>
      <c r="G361" t="s">
        <v>4550</v>
      </c>
      <c r="J361" t="s">
        <v>80</v>
      </c>
      <c r="K361" t="s">
        <v>538</v>
      </c>
      <c r="L361" t="s">
        <v>111</v>
      </c>
      <c r="M361">
        <v>69809</v>
      </c>
      <c r="P361" t="s">
        <v>134</v>
      </c>
      <c r="Q361" t="s">
        <v>1205</v>
      </c>
      <c r="R361" t="s">
        <v>914</v>
      </c>
      <c r="S361" t="s">
        <v>444</v>
      </c>
      <c r="T361" t="s">
        <v>4497</v>
      </c>
      <c r="U361" t="s">
        <v>2361</v>
      </c>
      <c r="V361" t="s">
        <v>2779</v>
      </c>
      <c r="W361" t="s">
        <v>2015</v>
      </c>
      <c r="X361" t="s">
        <v>4498</v>
      </c>
      <c r="Y361" t="s">
        <v>93</v>
      </c>
      <c r="Z361" t="s">
        <v>2613</v>
      </c>
      <c r="AA361" t="s">
        <v>4551</v>
      </c>
      <c r="AB361" t="s">
        <v>182</v>
      </c>
      <c r="AC361" t="s">
        <v>2706</v>
      </c>
      <c r="AD361" t="s">
        <v>2613</v>
      </c>
      <c r="AE361" t="s">
        <v>4551</v>
      </c>
      <c r="AF361" t="s">
        <v>182</v>
      </c>
      <c r="AG361" t="s">
        <v>2706</v>
      </c>
      <c r="AI361" t="s">
        <v>4552</v>
      </c>
      <c r="AJ361" t="s">
        <v>2613</v>
      </c>
      <c r="AK361" t="s">
        <v>99</v>
      </c>
      <c r="AL361" t="s">
        <v>4553</v>
      </c>
      <c r="AM361" t="s">
        <v>4544</v>
      </c>
      <c r="AR361" t="s">
        <v>125</v>
      </c>
      <c r="AT361" t="s">
        <v>4554</v>
      </c>
      <c r="AV361" t="s">
        <v>128</v>
      </c>
      <c r="AZ361" t="s">
        <v>80</v>
      </c>
    </row>
    <row r="362" spans="1:52" hidden="1" x14ac:dyDescent="0.25">
      <c r="A362" t="s">
        <v>4555</v>
      </c>
      <c r="B362" t="s">
        <v>4556</v>
      </c>
      <c r="C362" t="s">
        <v>4519</v>
      </c>
      <c r="D362" t="s">
        <v>2544</v>
      </c>
      <c r="E362" t="s">
        <v>4557</v>
      </c>
      <c r="F362" t="s">
        <v>4558</v>
      </c>
      <c r="G362" t="s">
        <v>4559</v>
      </c>
      <c r="J362" t="s">
        <v>80</v>
      </c>
      <c r="K362" t="s">
        <v>538</v>
      </c>
      <c r="L362" t="s">
        <v>111</v>
      </c>
      <c r="M362">
        <v>69809</v>
      </c>
      <c r="P362" t="s">
        <v>134</v>
      </c>
      <c r="Q362" t="s">
        <v>1205</v>
      </c>
      <c r="R362" t="s">
        <v>914</v>
      </c>
      <c r="S362" t="s">
        <v>444</v>
      </c>
      <c r="T362" t="s">
        <v>4497</v>
      </c>
      <c r="U362" t="s">
        <v>2361</v>
      </c>
      <c r="V362" t="s">
        <v>2779</v>
      </c>
      <c r="W362" t="s">
        <v>3411</v>
      </c>
      <c r="X362" t="s">
        <v>4560</v>
      </c>
      <c r="Y362" t="s">
        <v>93</v>
      </c>
      <c r="Z362" t="s">
        <v>2613</v>
      </c>
      <c r="AA362" t="s">
        <v>4551</v>
      </c>
      <c r="AB362" t="s">
        <v>182</v>
      </c>
      <c r="AC362" t="s">
        <v>2706</v>
      </c>
      <c r="AD362" t="s">
        <v>2613</v>
      </c>
      <c r="AE362" t="s">
        <v>4551</v>
      </c>
      <c r="AF362" t="s">
        <v>182</v>
      </c>
      <c r="AG362" t="s">
        <v>2706</v>
      </c>
      <c r="AI362" t="s">
        <v>4552</v>
      </c>
      <c r="AJ362" t="s">
        <v>2613</v>
      </c>
      <c r="AK362" t="s">
        <v>99</v>
      </c>
      <c r="AL362" t="s">
        <v>4561</v>
      </c>
      <c r="AM362" t="s">
        <v>4562</v>
      </c>
      <c r="AR362" t="s">
        <v>125</v>
      </c>
      <c r="AT362" t="s">
        <v>4563</v>
      </c>
      <c r="AV362" t="s">
        <v>128</v>
      </c>
      <c r="AZ362" t="s">
        <v>80</v>
      </c>
    </row>
    <row r="363" spans="1:52" hidden="1" x14ac:dyDescent="0.25">
      <c r="A363" t="s">
        <v>4564</v>
      </c>
      <c r="B363" t="s">
        <v>4565</v>
      </c>
      <c r="C363" t="s">
        <v>4519</v>
      </c>
      <c r="D363" t="s">
        <v>2544</v>
      </c>
      <c r="E363" t="s">
        <v>4566</v>
      </c>
      <c r="F363" t="s">
        <v>4567</v>
      </c>
      <c r="G363" t="s">
        <v>4568</v>
      </c>
      <c r="J363" t="s">
        <v>80</v>
      </c>
      <c r="K363" t="s">
        <v>538</v>
      </c>
      <c r="L363" t="s">
        <v>111</v>
      </c>
      <c r="M363" t="s">
        <v>4569</v>
      </c>
      <c r="P363" t="s">
        <v>134</v>
      </c>
      <c r="Q363" t="s">
        <v>1205</v>
      </c>
      <c r="R363" t="s">
        <v>914</v>
      </c>
      <c r="S363" t="s">
        <v>444</v>
      </c>
      <c r="T363" t="s">
        <v>4510</v>
      </c>
      <c r="U363" t="s">
        <v>4570</v>
      </c>
      <c r="V363" t="s">
        <v>4571</v>
      </c>
      <c r="W363" t="s">
        <v>3411</v>
      </c>
      <c r="X363" t="s">
        <v>4530</v>
      </c>
      <c r="Y363" t="s">
        <v>93</v>
      </c>
      <c r="Z363" t="s">
        <v>678</v>
      </c>
      <c r="AA363" t="s">
        <v>164</v>
      </c>
      <c r="AB363" t="s">
        <v>182</v>
      </c>
      <c r="AC363" t="s">
        <v>2715</v>
      </c>
      <c r="AD363" t="s">
        <v>678</v>
      </c>
      <c r="AE363" t="s">
        <v>164</v>
      </c>
      <c r="AF363" t="s">
        <v>182</v>
      </c>
      <c r="AG363" t="s">
        <v>2715</v>
      </c>
      <c r="AI363" t="s">
        <v>4572</v>
      </c>
      <c r="AJ363" t="s">
        <v>678</v>
      </c>
      <c r="AK363" t="s">
        <v>99</v>
      </c>
      <c r="AL363" t="s">
        <v>4573</v>
      </c>
      <c r="AM363" t="s">
        <v>4574</v>
      </c>
      <c r="AR363" t="s">
        <v>125</v>
      </c>
      <c r="AT363" t="s">
        <v>4575</v>
      </c>
      <c r="AV363" t="s">
        <v>128</v>
      </c>
      <c r="AZ363" t="s">
        <v>80</v>
      </c>
    </row>
    <row r="364" spans="1:52" hidden="1" x14ac:dyDescent="0.25">
      <c r="A364" t="s">
        <v>4576</v>
      </c>
      <c r="B364" t="s">
        <v>4577</v>
      </c>
      <c r="C364" t="s">
        <v>4578</v>
      </c>
      <c r="D364" t="s">
        <v>2544</v>
      </c>
      <c r="E364" t="s">
        <v>4579</v>
      </c>
      <c r="F364" t="s">
        <v>4580</v>
      </c>
      <c r="G364" t="s">
        <v>4581</v>
      </c>
      <c r="J364" t="s">
        <v>80</v>
      </c>
      <c r="K364" t="s">
        <v>538</v>
      </c>
      <c r="L364" t="s">
        <v>111</v>
      </c>
      <c r="M364">
        <v>69805</v>
      </c>
      <c r="P364" t="s">
        <v>134</v>
      </c>
      <c r="Q364" t="s">
        <v>1205</v>
      </c>
      <c r="R364" t="s">
        <v>914</v>
      </c>
      <c r="S364" t="s">
        <v>444</v>
      </c>
      <c r="T364" t="s">
        <v>4497</v>
      </c>
      <c r="U364" t="s">
        <v>114</v>
      </c>
      <c r="V364" t="s">
        <v>4582</v>
      </c>
      <c r="W364" t="s">
        <v>2015</v>
      </c>
      <c r="X364" t="s">
        <v>4498</v>
      </c>
      <c r="Y364" t="s">
        <v>93</v>
      </c>
      <c r="Z364" t="s">
        <v>2613</v>
      </c>
      <c r="AA364" t="s">
        <v>4050</v>
      </c>
      <c r="AB364" t="s">
        <v>182</v>
      </c>
      <c r="AC364" t="s">
        <v>2715</v>
      </c>
      <c r="AD364" t="s">
        <v>2613</v>
      </c>
      <c r="AE364" t="s">
        <v>4050</v>
      </c>
      <c r="AF364" t="s">
        <v>182</v>
      </c>
      <c r="AG364" t="s">
        <v>2715</v>
      </c>
      <c r="AI364" t="s">
        <v>4572</v>
      </c>
      <c r="AJ364" t="s">
        <v>2613</v>
      </c>
      <c r="AK364" t="s">
        <v>99</v>
      </c>
      <c r="AL364" t="s">
        <v>4583</v>
      </c>
      <c r="AM364" t="s">
        <v>4584</v>
      </c>
      <c r="AR364" t="s">
        <v>125</v>
      </c>
      <c r="AT364" t="s">
        <v>4585</v>
      </c>
      <c r="AV364" t="s">
        <v>128</v>
      </c>
      <c r="AZ364" t="s">
        <v>80</v>
      </c>
    </row>
    <row r="365" spans="1:52" hidden="1" x14ac:dyDescent="0.25">
      <c r="A365" t="s">
        <v>1211</v>
      </c>
      <c r="B365" t="s">
        <v>4586</v>
      </c>
      <c r="C365" t="s">
        <v>4587</v>
      </c>
      <c r="D365" t="s">
        <v>2544</v>
      </c>
      <c r="E365" t="s">
        <v>4588</v>
      </c>
      <c r="F365" t="s">
        <v>4589</v>
      </c>
      <c r="G365" t="s">
        <v>4590</v>
      </c>
      <c r="J365" t="s">
        <v>80</v>
      </c>
      <c r="K365" t="s">
        <v>538</v>
      </c>
      <c r="L365" t="s">
        <v>111</v>
      </c>
      <c r="M365" t="s">
        <v>4591</v>
      </c>
      <c r="P365" t="s">
        <v>134</v>
      </c>
      <c r="Q365" t="s">
        <v>1205</v>
      </c>
      <c r="R365" t="s">
        <v>914</v>
      </c>
      <c r="S365" t="s">
        <v>444</v>
      </c>
      <c r="T365" t="s">
        <v>4510</v>
      </c>
      <c r="U365" t="s">
        <v>4570</v>
      </c>
      <c r="V365" t="s">
        <v>4592</v>
      </c>
      <c r="W365" t="s">
        <v>4484</v>
      </c>
      <c r="X365" t="s">
        <v>4513</v>
      </c>
      <c r="Y365" t="s">
        <v>93</v>
      </c>
      <c r="Z365" t="s">
        <v>182</v>
      </c>
      <c r="AA365" t="s">
        <v>603</v>
      </c>
      <c r="AB365" t="s">
        <v>678</v>
      </c>
      <c r="AC365" t="s">
        <v>4593</v>
      </c>
      <c r="AD365" t="s">
        <v>182</v>
      </c>
      <c r="AE365" t="s">
        <v>603</v>
      </c>
      <c r="AF365" t="s">
        <v>678</v>
      </c>
      <c r="AG365" t="s">
        <v>4593</v>
      </c>
      <c r="AI365" t="s">
        <v>605</v>
      </c>
      <c r="AJ365" t="s">
        <v>182</v>
      </c>
      <c r="AK365" t="s">
        <v>99</v>
      </c>
      <c r="AL365" t="s">
        <v>4594</v>
      </c>
      <c r="AM365" t="s">
        <v>4595</v>
      </c>
      <c r="AR365" t="s">
        <v>125</v>
      </c>
      <c r="AT365" t="s">
        <v>4596</v>
      </c>
      <c r="AV365" t="s">
        <v>128</v>
      </c>
      <c r="AZ365" t="s">
        <v>80</v>
      </c>
    </row>
    <row r="366" spans="1:52" hidden="1" x14ac:dyDescent="0.25">
      <c r="A366" t="s">
        <v>4597</v>
      </c>
      <c r="B366" t="s">
        <v>4598</v>
      </c>
      <c r="C366" t="s">
        <v>4599</v>
      </c>
      <c r="D366" t="s">
        <v>2544</v>
      </c>
      <c r="E366" t="s">
        <v>4600</v>
      </c>
      <c r="F366" t="s">
        <v>4601</v>
      </c>
      <c r="G366" t="s">
        <v>4602</v>
      </c>
      <c r="J366" t="s">
        <v>80</v>
      </c>
      <c r="K366" t="s">
        <v>538</v>
      </c>
      <c r="L366" t="s">
        <v>111</v>
      </c>
      <c r="M366">
        <v>69840</v>
      </c>
      <c r="P366" t="s">
        <v>134</v>
      </c>
      <c r="Q366" t="s">
        <v>1205</v>
      </c>
      <c r="R366" t="s">
        <v>914</v>
      </c>
      <c r="S366" t="s">
        <v>444</v>
      </c>
      <c r="T366" t="s">
        <v>4497</v>
      </c>
      <c r="U366" t="s">
        <v>2260</v>
      </c>
      <c r="V366" t="s">
        <v>3971</v>
      </c>
      <c r="W366" t="s">
        <v>4484</v>
      </c>
      <c r="X366" t="s">
        <v>4498</v>
      </c>
      <c r="Y366" t="s">
        <v>93</v>
      </c>
      <c r="Z366" t="s">
        <v>182</v>
      </c>
      <c r="AA366" t="s">
        <v>4354</v>
      </c>
      <c r="AB366" t="s">
        <v>2613</v>
      </c>
      <c r="AC366" t="s">
        <v>4603</v>
      </c>
      <c r="AD366" t="s">
        <v>182</v>
      </c>
      <c r="AE366" t="s">
        <v>4354</v>
      </c>
      <c r="AF366" t="s">
        <v>2613</v>
      </c>
      <c r="AG366" t="s">
        <v>4603</v>
      </c>
      <c r="AI366" t="s">
        <v>3680</v>
      </c>
      <c r="AJ366" t="s">
        <v>182</v>
      </c>
      <c r="AK366" t="s">
        <v>99</v>
      </c>
      <c r="AL366" t="s">
        <v>4604</v>
      </c>
      <c r="AM366" t="s">
        <v>4605</v>
      </c>
      <c r="AR366" t="s">
        <v>125</v>
      </c>
      <c r="AT366" t="s">
        <v>4606</v>
      </c>
      <c r="AV366" t="s">
        <v>128</v>
      </c>
      <c r="AZ366" t="s">
        <v>80</v>
      </c>
    </row>
    <row r="367" spans="1:52" hidden="1" x14ac:dyDescent="0.25">
      <c r="A367" t="s">
        <v>4607</v>
      </c>
      <c r="B367" t="s">
        <v>4608</v>
      </c>
      <c r="C367" t="s">
        <v>4599</v>
      </c>
      <c r="D367" t="s">
        <v>2544</v>
      </c>
      <c r="E367" t="s">
        <v>4609</v>
      </c>
      <c r="F367" t="s">
        <v>4610</v>
      </c>
      <c r="G367" t="s">
        <v>4611</v>
      </c>
      <c r="J367" t="s">
        <v>80</v>
      </c>
      <c r="K367" t="s">
        <v>538</v>
      </c>
      <c r="L367" t="s">
        <v>111</v>
      </c>
      <c r="M367" t="s">
        <v>4612</v>
      </c>
      <c r="P367" t="s">
        <v>134</v>
      </c>
      <c r="Q367" t="s">
        <v>1205</v>
      </c>
      <c r="R367" t="s">
        <v>914</v>
      </c>
      <c r="S367" t="s">
        <v>444</v>
      </c>
      <c r="T367" t="s">
        <v>3388</v>
      </c>
      <c r="U367" t="s">
        <v>4613</v>
      </c>
      <c r="V367" t="s">
        <v>4483</v>
      </c>
      <c r="W367" t="s">
        <v>2520</v>
      </c>
      <c r="X367" t="s">
        <v>4614</v>
      </c>
      <c r="Y367" t="s">
        <v>93</v>
      </c>
      <c r="Z367" t="s">
        <v>182</v>
      </c>
      <c r="AA367" t="s">
        <v>4615</v>
      </c>
      <c r="AB367" t="s">
        <v>2986</v>
      </c>
      <c r="AC367" t="s">
        <v>4603</v>
      </c>
      <c r="AD367" t="s">
        <v>182</v>
      </c>
      <c r="AE367" t="s">
        <v>4615</v>
      </c>
      <c r="AF367" t="s">
        <v>2986</v>
      </c>
      <c r="AG367" t="s">
        <v>4603</v>
      </c>
      <c r="AI367" t="s">
        <v>4616</v>
      </c>
      <c r="AJ367" t="s">
        <v>182</v>
      </c>
      <c r="AK367" t="s">
        <v>99</v>
      </c>
      <c r="AL367" t="s">
        <v>4617</v>
      </c>
      <c r="AM367" t="s">
        <v>4618</v>
      </c>
      <c r="AR367" t="s">
        <v>125</v>
      </c>
      <c r="AT367" t="s">
        <v>4619</v>
      </c>
      <c r="AV367" t="s">
        <v>128</v>
      </c>
      <c r="AZ367" t="s">
        <v>80</v>
      </c>
    </row>
    <row r="368" spans="1:52" hidden="1" x14ac:dyDescent="0.25">
      <c r="A368" t="s">
        <v>4620</v>
      </c>
      <c r="B368" t="s">
        <v>4621</v>
      </c>
      <c r="C368" t="s">
        <v>4599</v>
      </c>
      <c r="D368" t="s">
        <v>2544</v>
      </c>
      <c r="E368" t="s">
        <v>4622</v>
      </c>
      <c r="F368" t="s">
        <v>4623</v>
      </c>
      <c r="G368" t="s">
        <v>4624</v>
      </c>
      <c r="J368" t="s">
        <v>80</v>
      </c>
      <c r="K368" t="s">
        <v>538</v>
      </c>
      <c r="L368" t="s">
        <v>111</v>
      </c>
      <c r="M368" t="s">
        <v>4625</v>
      </c>
      <c r="P368" t="s">
        <v>134</v>
      </c>
      <c r="Q368" t="s">
        <v>1205</v>
      </c>
      <c r="R368" t="s">
        <v>914</v>
      </c>
      <c r="S368" t="s">
        <v>444</v>
      </c>
      <c r="T368" t="s">
        <v>4510</v>
      </c>
      <c r="U368" t="s">
        <v>4626</v>
      </c>
      <c r="V368" t="s">
        <v>2651</v>
      </c>
      <c r="W368" t="s">
        <v>2520</v>
      </c>
      <c r="X368" t="s">
        <v>4627</v>
      </c>
      <c r="Y368" t="s">
        <v>93</v>
      </c>
      <c r="Z368" t="s">
        <v>182</v>
      </c>
      <c r="AA368" t="s">
        <v>4628</v>
      </c>
      <c r="AB368" t="s">
        <v>678</v>
      </c>
      <c r="AC368" t="s">
        <v>4021</v>
      </c>
      <c r="AD368" t="s">
        <v>182</v>
      </c>
      <c r="AE368" t="s">
        <v>4628</v>
      </c>
      <c r="AF368" t="s">
        <v>678</v>
      </c>
      <c r="AG368" t="s">
        <v>4021</v>
      </c>
      <c r="AI368" t="s">
        <v>4629</v>
      </c>
      <c r="AJ368" t="s">
        <v>182</v>
      </c>
      <c r="AK368" t="s">
        <v>99</v>
      </c>
      <c r="AL368" t="s">
        <v>4630</v>
      </c>
      <c r="AM368" t="s">
        <v>4631</v>
      </c>
      <c r="AR368" t="s">
        <v>125</v>
      </c>
      <c r="AT368" t="s">
        <v>4632</v>
      </c>
      <c r="AV368" t="s">
        <v>128</v>
      </c>
      <c r="AZ368" t="s">
        <v>80</v>
      </c>
    </row>
    <row r="369" spans="1:52" hidden="1" x14ac:dyDescent="0.25">
      <c r="A369" t="s">
        <v>4633</v>
      </c>
      <c r="B369" t="s">
        <v>4634</v>
      </c>
      <c r="C369" t="s">
        <v>4599</v>
      </c>
      <c r="D369" t="s">
        <v>2544</v>
      </c>
      <c r="E369" t="s">
        <v>4635</v>
      </c>
      <c r="F369" t="s">
        <v>4636</v>
      </c>
      <c r="G369" t="s">
        <v>4637</v>
      </c>
      <c r="J369" t="s">
        <v>80</v>
      </c>
      <c r="K369" t="s">
        <v>538</v>
      </c>
      <c r="L369" t="s">
        <v>111</v>
      </c>
      <c r="M369">
        <v>69834</v>
      </c>
      <c r="P369" t="s">
        <v>134</v>
      </c>
      <c r="Q369" t="s">
        <v>1205</v>
      </c>
      <c r="R369" t="s">
        <v>914</v>
      </c>
      <c r="S369" t="s">
        <v>444</v>
      </c>
      <c r="T369" t="s">
        <v>4497</v>
      </c>
      <c r="U369" t="s">
        <v>2428</v>
      </c>
      <c r="V369" t="s">
        <v>4638</v>
      </c>
      <c r="W369" t="s">
        <v>2015</v>
      </c>
      <c r="X369" t="s">
        <v>4498</v>
      </c>
      <c r="Y369" t="s">
        <v>93</v>
      </c>
      <c r="Z369" t="s">
        <v>182</v>
      </c>
      <c r="AA369" t="s">
        <v>639</v>
      </c>
      <c r="AB369" t="s">
        <v>2613</v>
      </c>
      <c r="AC369" t="s">
        <v>2400</v>
      </c>
      <c r="AD369" t="s">
        <v>182</v>
      </c>
      <c r="AE369" t="s">
        <v>639</v>
      </c>
      <c r="AF369" t="s">
        <v>2613</v>
      </c>
      <c r="AG369" t="s">
        <v>2400</v>
      </c>
      <c r="AI369" t="s">
        <v>2856</v>
      </c>
      <c r="AJ369" t="s">
        <v>182</v>
      </c>
      <c r="AK369" t="s">
        <v>99</v>
      </c>
      <c r="AL369" t="s">
        <v>4639</v>
      </c>
      <c r="AM369" t="s">
        <v>4640</v>
      </c>
      <c r="AR369" t="s">
        <v>125</v>
      </c>
      <c r="AT369" t="s">
        <v>4641</v>
      </c>
      <c r="AV369" t="s">
        <v>128</v>
      </c>
      <c r="AZ369" t="s">
        <v>80</v>
      </c>
    </row>
    <row r="370" spans="1:52" hidden="1" x14ac:dyDescent="0.25">
      <c r="A370" t="s">
        <v>4642</v>
      </c>
      <c r="B370" t="s">
        <v>4643</v>
      </c>
      <c r="C370" t="s">
        <v>4599</v>
      </c>
      <c r="D370" t="s">
        <v>2544</v>
      </c>
      <c r="E370" t="s">
        <v>4644</v>
      </c>
      <c r="F370" t="s">
        <v>4645</v>
      </c>
      <c r="G370" t="s">
        <v>4646</v>
      </c>
      <c r="J370" t="s">
        <v>80</v>
      </c>
      <c r="K370" t="s">
        <v>538</v>
      </c>
      <c r="L370" t="s">
        <v>111</v>
      </c>
      <c r="M370" t="s">
        <v>4647</v>
      </c>
      <c r="O370" t="s">
        <v>4648</v>
      </c>
      <c r="P370" t="s">
        <v>134</v>
      </c>
      <c r="Q370" t="s">
        <v>1205</v>
      </c>
      <c r="R370" t="s">
        <v>914</v>
      </c>
      <c r="S370" t="s">
        <v>444</v>
      </c>
      <c r="T370" t="s">
        <v>3388</v>
      </c>
      <c r="U370" t="s">
        <v>4649</v>
      </c>
      <c r="V370" t="s">
        <v>4650</v>
      </c>
      <c r="W370" t="s">
        <v>3411</v>
      </c>
      <c r="X370" t="s">
        <v>4521</v>
      </c>
      <c r="Y370" t="s">
        <v>93</v>
      </c>
      <c r="Z370" t="s">
        <v>182</v>
      </c>
      <c r="AA370" t="s">
        <v>1500</v>
      </c>
      <c r="AB370" t="s">
        <v>2986</v>
      </c>
      <c r="AC370" t="s">
        <v>4651</v>
      </c>
      <c r="AD370" t="s">
        <v>182</v>
      </c>
      <c r="AE370" t="s">
        <v>1500</v>
      </c>
      <c r="AF370" t="s">
        <v>2986</v>
      </c>
      <c r="AG370" t="s">
        <v>4651</v>
      </c>
      <c r="AI370" t="s">
        <v>4217</v>
      </c>
      <c r="AJ370" t="s">
        <v>182</v>
      </c>
      <c r="AK370" t="s">
        <v>99</v>
      </c>
      <c r="AL370" t="s">
        <v>4652</v>
      </c>
      <c r="AM370" t="s">
        <v>4640</v>
      </c>
      <c r="AR370" t="s">
        <v>125</v>
      </c>
      <c r="AT370" t="s">
        <v>4653</v>
      </c>
      <c r="AV370" t="s">
        <v>190</v>
      </c>
      <c r="AZ370" t="s">
        <v>80</v>
      </c>
    </row>
    <row r="371" spans="1:52" hidden="1" x14ac:dyDescent="0.25">
      <c r="A371" t="s">
        <v>4654</v>
      </c>
      <c r="B371" t="s">
        <v>4655</v>
      </c>
      <c r="C371" t="s">
        <v>4656</v>
      </c>
      <c r="D371" t="s">
        <v>2544</v>
      </c>
      <c r="E371" t="s">
        <v>4657</v>
      </c>
      <c r="F371" t="s">
        <v>4658</v>
      </c>
      <c r="G371" t="s">
        <v>4659</v>
      </c>
      <c r="J371" t="s">
        <v>80</v>
      </c>
      <c r="K371" t="s">
        <v>538</v>
      </c>
      <c r="L371" t="s">
        <v>111</v>
      </c>
      <c r="M371">
        <v>69830</v>
      </c>
      <c r="P371" t="s">
        <v>134</v>
      </c>
      <c r="Q371" t="s">
        <v>1205</v>
      </c>
      <c r="R371" t="s">
        <v>914</v>
      </c>
      <c r="S371" t="s">
        <v>444</v>
      </c>
      <c r="T371" t="s">
        <v>4497</v>
      </c>
      <c r="U371" t="s">
        <v>401</v>
      </c>
      <c r="V371" t="s">
        <v>231</v>
      </c>
      <c r="W371" t="s">
        <v>3411</v>
      </c>
      <c r="X371" t="s">
        <v>4560</v>
      </c>
      <c r="Y371" t="s">
        <v>93</v>
      </c>
      <c r="Z371" t="s">
        <v>182</v>
      </c>
      <c r="AA371" t="s">
        <v>120</v>
      </c>
      <c r="AB371" t="s">
        <v>2613</v>
      </c>
      <c r="AC371" t="s">
        <v>3280</v>
      </c>
      <c r="AD371" t="s">
        <v>182</v>
      </c>
      <c r="AE371" t="s">
        <v>120</v>
      </c>
      <c r="AF371" t="s">
        <v>2613</v>
      </c>
      <c r="AG371" t="s">
        <v>3280</v>
      </c>
      <c r="AI371" t="s">
        <v>4660</v>
      </c>
      <c r="AJ371" t="s">
        <v>182</v>
      </c>
      <c r="AK371" t="s">
        <v>99</v>
      </c>
      <c r="AL371" t="s">
        <v>4661</v>
      </c>
      <c r="AM371" t="s">
        <v>4662</v>
      </c>
      <c r="AR371" t="s">
        <v>125</v>
      </c>
      <c r="AT371" t="s">
        <v>4663</v>
      </c>
      <c r="AV371" t="s">
        <v>128</v>
      </c>
      <c r="AZ371" t="s">
        <v>80</v>
      </c>
    </row>
    <row r="372" spans="1:52" hidden="1" x14ac:dyDescent="0.25">
      <c r="A372" t="s">
        <v>4664</v>
      </c>
      <c r="B372" t="s">
        <v>4665</v>
      </c>
      <c r="C372" t="s">
        <v>4656</v>
      </c>
      <c r="D372" t="s">
        <v>2544</v>
      </c>
      <c r="E372" t="s">
        <v>4666</v>
      </c>
      <c r="F372" t="s">
        <v>4667</v>
      </c>
      <c r="G372" t="s">
        <v>4668</v>
      </c>
      <c r="J372" t="s">
        <v>80</v>
      </c>
      <c r="K372" t="s">
        <v>538</v>
      </c>
      <c r="L372" t="s">
        <v>111</v>
      </c>
      <c r="M372">
        <v>69830</v>
      </c>
      <c r="P372" t="s">
        <v>134</v>
      </c>
      <c r="Q372" t="s">
        <v>1205</v>
      </c>
      <c r="R372" t="s">
        <v>914</v>
      </c>
      <c r="S372" t="s">
        <v>444</v>
      </c>
      <c r="T372" t="s">
        <v>4497</v>
      </c>
      <c r="U372" t="s">
        <v>401</v>
      </c>
      <c r="V372" t="s">
        <v>231</v>
      </c>
      <c r="W372" t="s">
        <v>2015</v>
      </c>
      <c r="X372" t="s">
        <v>4498</v>
      </c>
      <c r="Y372" t="s">
        <v>93</v>
      </c>
      <c r="Z372" t="s">
        <v>182</v>
      </c>
      <c r="AA372" t="s">
        <v>120</v>
      </c>
      <c r="AB372" t="s">
        <v>2613</v>
      </c>
      <c r="AC372" t="s">
        <v>3280</v>
      </c>
      <c r="AD372" t="s">
        <v>182</v>
      </c>
      <c r="AE372" t="s">
        <v>120</v>
      </c>
      <c r="AF372" t="s">
        <v>2613</v>
      </c>
      <c r="AG372" t="s">
        <v>3280</v>
      </c>
      <c r="AI372" t="s">
        <v>4660</v>
      </c>
      <c r="AJ372" t="s">
        <v>182</v>
      </c>
      <c r="AK372" t="s">
        <v>99</v>
      </c>
      <c r="AL372" t="s">
        <v>4669</v>
      </c>
      <c r="AM372" t="s">
        <v>4670</v>
      </c>
      <c r="AR372" t="s">
        <v>125</v>
      </c>
      <c r="AT372" t="s">
        <v>4671</v>
      </c>
      <c r="AV372" t="s">
        <v>128</v>
      </c>
      <c r="AZ372" t="s">
        <v>80</v>
      </c>
    </row>
    <row r="373" spans="1:52" x14ac:dyDescent="0.25">
      <c r="A373" t="s">
        <v>4672</v>
      </c>
      <c r="B373" t="s">
        <v>4673</v>
      </c>
      <c r="C373" t="s">
        <v>4674</v>
      </c>
      <c r="D373" t="s">
        <v>2544</v>
      </c>
      <c r="E373" t="s">
        <v>4675</v>
      </c>
      <c r="F373" t="s">
        <v>4676</v>
      </c>
      <c r="G373" t="s">
        <v>4677</v>
      </c>
      <c r="J373" t="s">
        <v>80</v>
      </c>
      <c r="K373" t="s">
        <v>538</v>
      </c>
      <c r="L373" t="s">
        <v>111</v>
      </c>
      <c r="M373" t="s">
        <v>4678</v>
      </c>
      <c r="O373" t="s">
        <v>4679</v>
      </c>
      <c r="P373" t="s">
        <v>134</v>
      </c>
      <c r="Q373" t="s">
        <v>1744</v>
      </c>
      <c r="R373" t="s">
        <v>1550</v>
      </c>
      <c r="S373" t="s">
        <v>774</v>
      </c>
      <c r="T373" t="s">
        <v>3014</v>
      </c>
      <c r="U373" t="s">
        <v>4680</v>
      </c>
      <c r="V373" t="s">
        <v>274</v>
      </c>
      <c r="W373" t="s">
        <v>161</v>
      </c>
      <c r="X373" t="s">
        <v>4681</v>
      </c>
      <c r="Y373" t="s">
        <v>93</v>
      </c>
      <c r="Z373" t="s">
        <v>1748</v>
      </c>
      <c r="AA373" t="s">
        <v>4682</v>
      </c>
      <c r="AB373" t="s">
        <v>119</v>
      </c>
      <c r="AC373" t="s">
        <v>4683</v>
      </c>
      <c r="AD373" t="s">
        <v>1748</v>
      </c>
      <c r="AE373" t="s">
        <v>4682</v>
      </c>
      <c r="AF373" t="s">
        <v>119</v>
      </c>
      <c r="AG373" t="s">
        <v>4683</v>
      </c>
      <c r="AI373" t="s">
        <v>4684</v>
      </c>
      <c r="AJ373" t="s">
        <v>1748</v>
      </c>
      <c r="AK373" t="s">
        <v>99</v>
      </c>
      <c r="AL373" t="s">
        <v>4685</v>
      </c>
      <c r="AM373" t="s">
        <v>4686</v>
      </c>
      <c r="AR373" t="s">
        <v>125</v>
      </c>
      <c r="AT373" t="s">
        <v>4687</v>
      </c>
      <c r="AV373" t="s">
        <v>190</v>
      </c>
      <c r="AZ373" t="s">
        <v>80</v>
      </c>
    </row>
    <row r="374" spans="1:52" x14ac:dyDescent="0.25">
      <c r="A374" t="s">
        <v>4688</v>
      </c>
      <c r="B374" t="s">
        <v>4689</v>
      </c>
      <c r="C374" t="s">
        <v>4690</v>
      </c>
      <c r="D374" t="s">
        <v>2544</v>
      </c>
      <c r="E374" t="s">
        <v>4691</v>
      </c>
      <c r="F374" t="s">
        <v>4692</v>
      </c>
      <c r="G374" t="s">
        <v>4693</v>
      </c>
      <c r="J374" t="s">
        <v>80</v>
      </c>
      <c r="K374" t="s">
        <v>538</v>
      </c>
      <c r="L374" t="s">
        <v>111</v>
      </c>
      <c r="M374" t="s">
        <v>4694</v>
      </c>
      <c r="O374" t="s">
        <v>4695</v>
      </c>
      <c r="P374" t="s">
        <v>134</v>
      </c>
      <c r="Q374" t="s">
        <v>1744</v>
      </c>
      <c r="R374" t="s">
        <v>1550</v>
      </c>
      <c r="S374" t="s">
        <v>774</v>
      </c>
      <c r="T374" t="s">
        <v>3014</v>
      </c>
      <c r="U374" t="s">
        <v>198</v>
      </c>
      <c r="V374" t="s">
        <v>274</v>
      </c>
      <c r="W374" t="s">
        <v>697</v>
      </c>
      <c r="X374" t="s">
        <v>4696</v>
      </c>
      <c r="Y374" t="s">
        <v>93</v>
      </c>
      <c r="Z374" t="s">
        <v>1748</v>
      </c>
      <c r="AA374" t="s">
        <v>907</v>
      </c>
      <c r="AB374" t="s">
        <v>119</v>
      </c>
      <c r="AC374" t="s">
        <v>4697</v>
      </c>
      <c r="AD374" t="s">
        <v>1748</v>
      </c>
      <c r="AE374" t="s">
        <v>907</v>
      </c>
      <c r="AF374" t="s">
        <v>119</v>
      </c>
      <c r="AG374" t="s">
        <v>4697</v>
      </c>
      <c r="AI374" t="s">
        <v>4698</v>
      </c>
      <c r="AJ374" t="s">
        <v>1748</v>
      </c>
      <c r="AK374" t="s">
        <v>99</v>
      </c>
      <c r="AL374" t="s">
        <v>4699</v>
      </c>
      <c r="AM374" t="s">
        <v>4700</v>
      </c>
      <c r="AR374" t="s">
        <v>125</v>
      </c>
      <c r="AT374" t="s">
        <v>4701</v>
      </c>
      <c r="AV374" t="s">
        <v>190</v>
      </c>
      <c r="AZ374" t="s">
        <v>80</v>
      </c>
    </row>
    <row r="375" spans="1:52" x14ac:dyDescent="0.25">
      <c r="A375" t="s">
        <v>4702</v>
      </c>
      <c r="B375" t="s">
        <v>4703</v>
      </c>
      <c r="C375" t="s">
        <v>4690</v>
      </c>
      <c r="D375" t="s">
        <v>2544</v>
      </c>
      <c r="E375" t="s">
        <v>4704</v>
      </c>
      <c r="F375" t="s">
        <v>4705</v>
      </c>
      <c r="G375" t="s">
        <v>4706</v>
      </c>
      <c r="J375" t="s">
        <v>80</v>
      </c>
      <c r="K375" t="s">
        <v>538</v>
      </c>
      <c r="L375" t="s">
        <v>111</v>
      </c>
      <c r="M375" t="s">
        <v>4707</v>
      </c>
      <c r="O375" t="s">
        <v>4708</v>
      </c>
      <c r="P375" t="s">
        <v>134</v>
      </c>
      <c r="Q375" t="s">
        <v>1744</v>
      </c>
      <c r="R375" t="s">
        <v>1550</v>
      </c>
      <c r="S375" t="s">
        <v>774</v>
      </c>
      <c r="T375" t="s">
        <v>3014</v>
      </c>
      <c r="U375" t="s">
        <v>4680</v>
      </c>
      <c r="V375" t="s">
        <v>4709</v>
      </c>
      <c r="W375" t="s">
        <v>161</v>
      </c>
      <c r="X375" t="s">
        <v>4681</v>
      </c>
      <c r="Y375" t="s">
        <v>93</v>
      </c>
      <c r="Z375" t="s">
        <v>1748</v>
      </c>
      <c r="AA375" t="s">
        <v>4710</v>
      </c>
      <c r="AB375" t="s">
        <v>119</v>
      </c>
      <c r="AC375" t="s">
        <v>4711</v>
      </c>
      <c r="AD375" t="s">
        <v>1748</v>
      </c>
      <c r="AE375" t="s">
        <v>4710</v>
      </c>
      <c r="AF375" t="s">
        <v>119</v>
      </c>
      <c r="AG375" t="s">
        <v>4711</v>
      </c>
      <c r="AI375" t="s">
        <v>4712</v>
      </c>
      <c r="AJ375" t="s">
        <v>1748</v>
      </c>
      <c r="AK375" t="s">
        <v>99</v>
      </c>
      <c r="AL375" t="s">
        <v>4713</v>
      </c>
      <c r="AM375" t="s">
        <v>4700</v>
      </c>
      <c r="AR375" t="s">
        <v>125</v>
      </c>
      <c r="AT375" t="s">
        <v>4714</v>
      </c>
      <c r="AV375" t="s">
        <v>190</v>
      </c>
      <c r="AZ375" t="s">
        <v>80</v>
      </c>
    </row>
    <row r="376" spans="1:52" x14ac:dyDescent="0.25">
      <c r="A376" t="s">
        <v>4715</v>
      </c>
      <c r="B376" t="s">
        <v>4716</v>
      </c>
      <c r="C376" t="s">
        <v>4717</v>
      </c>
      <c r="D376" t="s">
        <v>2544</v>
      </c>
      <c r="E376" t="s">
        <v>4718</v>
      </c>
      <c r="F376" t="s">
        <v>4719</v>
      </c>
      <c r="G376" t="s">
        <v>4720</v>
      </c>
      <c r="J376" t="s">
        <v>80</v>
      </c>
      <c r="K376" t="s">
        <v>538</v>
      </c>
      <c r="L376" t="s">
        <v>111</v>
      </c>
      <c r="M376" t="s">
        <v>4721</v>
      </c>
      <c r="P376" t="s">
        <v>134</v>
      </c>
      <c r="Q376" t="s">
        <v>2687</v>
      </c>
      <c r="R376" t="s">
        <v>1441</v>
      </c>
      <c r="S376" t="s">
        <v>748</v>
      </c>
      <c r="T376" t="s">
        <v>3014</v>
      </c>
      <c r="U376" t="s">
        <v>4076</v>
      </c>
      <c r="V376" t="s">
        <v>4722</v>
      </c>
      <c r="W376" t="s">
        <v>797</v>
      </c>
      <c r="X376" t="s">
        <v>4723</v>
      </c>
      <c r="Y376" t="s">
        <v>93</v>
      </c>
      <c r="Z376" t="s">
        <v>1748</v>
      </c>
      <c r="AA376" t="s">
        <v>3985</v>
      </c>
      <c r="AB376" t="s">
        <v>119</v>
      </c>
      <c r="AC376" t="s">
        <v>4710</v>
      </c>
      <c r="AD376" t="s">
        <v>1748</v>
      </c>
      <c r="AE376" t="s">
        <v>3985</v>
      </c>
      <c r="AF376" t="s">
        <v>119</v>
      </c>
      <c r="AG376" t="s">
        <v>4710</v>
      </c>
      <c r="AI376" t="s">
        <v>4724</v>
      </c>
      <c r="AJ376" t="s">
        <v>1748</v>
      </c>
      <c r="AK376" t="s">
        <v>99</v>
      </c>
      <c r="AL376" t="s">
        <v>4725</v>
      </c>
      <c r="AM376" t="s">
        <v>4726</v>
      </c>
      <c r="AR376" t="s">
        <v>125</v>
      </c>
      <c r="AT376" t="s">
        <v>4727</v>
      </c>
      <c r="AV376" t="s">
        <v>128</v>
      </c>
      <c r="AZ376" t="s">
        <v>80</v>
      </c>
    </row>
    <row r="377" spans="1:52" x14ac:dyDescent="0.25">
      <c r="A377" t="s">
        <v>4728</v>
      </c>
      <c r="B377" t="s">
        <v>4729</v>
      </c>
      <c r="C377" t="s">
        <v>4730</v>
      </c>
      <c r="D377" t="s">
        <v>2544</v>
      </c>
      <c r="E377" t="s">
        <v>4731</v>
      </c>
      <c r="F377" t="s">
        <v>4732</v>
      </c>
      <c r="G377" t="s">
        <v>4733</v>
      </c>
      <c r="J377" t="s">
        <v>80</v>
      </c>
      <c r="K377" t="s">
        <v>538</v>
      </c>
      <c r="L377" t="s">
        <v>111</v>
      </c>
      <c r="M377">
        <v>69817</v>
      </c>
      <c r="P377" t="s">
        <v>134</v>
      </c>
      <c r="Q377" t="s">
        <v>1744</v>
      </c>
      <c r="R377" t="s">
        <v>1550</v>
      </c>
      <c r="S377" t="s">
        <v>774</v>
      </c>
      <c r="T377" t="s">
        <v>4734</v>
      </c>
      <c r="U377" t="s">
        <v>652</v>
      </c>
      <c r="V377" t="s">
        <v>3389</v>
      </c>
      <c r="W377" t="s">
        <v>3377</v>
      </c>
      <c r="X377" t="s">
        <v>4735</v>
      </c>
      <c r="Y377" t="s">
        <v>93</v>
      </c>
      <c r="Z377" t="s">
        <v>1748</v>
      </c>
      <c r="AA377" t="s">
        <v>907</v>
      </c>
      <c r="AB377" t="s">
        <v>182</v>
      </c>
      <c r="AC377" t="s">
        <v>4603</v>
      </c>
      <c r="AD377" t="s">
        <v>1748</v>
      </c>
      <c r="AE377" t="s">
        <v>907</v>
      </c>
      <c r="AF377" t="s">
        <v>182</v>
      </c>
      <c r="AG377" t="s">
        <v>4603</v>
      </c>
      <c r="AI377" t="s">
        <v>4736</v>
      </c>
      <c r="AJ377" t="s">
        <v>1748</v>
      </c>
      <c r="AK377" t="s">
        <v>99</v>
      </c>
      <c r="AL377" t="s">
        <v>4737</v>
      </c>
      <c r="AM377" t="s">
        <v>4738</v>
      </c>
      <c r="AR377" t="s">
        <v>125</v>
      </c>
      <c r="AT377" t="s">
        <v>4739</v>
      </c>
      <c r="AV377" t="s">
        <v>128</v>
      </c>
      <c r="AZ377" t="s">
        <v>80</v>
      </c>
    </row>
    <row r="378" spans="1:52" x14ac:dyDescent="0.25">
      <c r="A378" t="s">
        <v>4740</v>
      </c>
      <c r="B378" t="s">
        <v>4741</v>
      </c>
      <c r="C378" t="s">
        <v>4730</v>
      </c>
      <c r="D378" t="s">
        <v>2544</v>
      </c>
      <c r="E378" t="s">
        <v>4742</v>
      </c>
      <c r="F378" t="s">
        <v>4743</v>
      </c>
      <c r="G378" t="s">
        <v>4744</v>
      </c>
      <c r="J378" t="s">
        <v>80</v>
      </c>
      <c r="K378" t="s">
        <v>538</v>
      </c>
      <c r="L378" t="s">
        <v>111</v>
      </c>
      <c r="M378">
        <v>69803</v>
      </c>
      <c r="P378" t="s">
        <v>134</v>
      </c>
      <c r="Q378" t="s">
        <v>1205</v>
      </c>
      <c r="R378" t="s">
        <v>914</v>
      </c>
      <c r="S378" t="s">
        <v>444</v>
      </c>
      <c r="T378" t="s">
        <v>4734</v>
      </c>
      <c r="U378" t="s">
        <v>2414</v>
      </c>
      <c r="V378" t="s">
        <v>4745</v>
      </c>
      <c r="W378" t="s">
        <v>2520</v>
      </c>
      <c r="X378" t="s">
        <v>4746</v>
      </c>
      <c r="Y378" t="s">
        <v>93</v>
      </c>
      <c r="Z378" t="s">
        <v>1748</v>
      </c>
      <c r="AA378" t="s">
        <v>2626</v>
      </c>
      <c r="AB378" t="s">
        <v>182</v>
      </c>
      <c r="AC378" t="s">
        <v>234</v>
      </c>
      <c r="AD378" t="s">
        <v>1748</v>
      </c>
      <c r="AE378" t="s">
        <v>2626</v>
      </c>
      <c r="AF378" t="s">
        <v>182</v>
      </c>
      <c r="AG378" t="s">
        <v>234</v>
      </c>
      <c r="AI378" t="s">
        <v>4747</v>
      </c>
      <c r="AJ378" t="s">
        <v>1748</v>
      </c>
      <c r="AK378" t="s">
        <v>99</v>
      </c>
      <c r="AL378" t="s">
        <v>4748</v>
      </c>
      <c r="AM378" t="s">
        <v>4749</v>
      </c>
      <c r="AR378" t="s">
        <v>125</v>
      </c>
      <c r="AT378" t="s">
        <v>4750</v>
      </c>
      <c r="AV378" t="s">
        <v>128</v>
      </c>
      <c r="AZ378" t="s">
        <v>80</v>
      </c>
    </row>
    <row r="379" spans="1:52" hidden="1" x14ac:dyDescent="0.25">
      <c r="A379" t="s">
        <v>4751</v>
      </c>
      <c r="B379" t="s">
        <v>3008</v>
      </c>
      <c r="C379" t="s">
        <v>4752</v>
      </c>
      <c r="D379" t="s">
        <v>2544</v>
      </c>
      <c r="E379" t="s">
        <v>4753</v>
      </c>
      <c r="F379" t="s">
        <v>3011</v>
      </c>
      <c r="G379" t="s">
        <v>3012</v>
      </c>
      <c r="J379" t="s">
        <v>80</v>
      </c>
      <c r="K379" t="s">
        <v>538</v>
      </c>
      <c r="L379" t="s">
        <v>111</v>
      </c>
      <c r="M379" t="s">
        <v>3013</v>
      </c>
      <c r="P379" t="s">
        <v>134</v>
      </c>
      <c r="Q379" t="s">
        <v>1744</v>
      </c>
      <c r="R379" t="s">
        <v>1550</v>
      </c>
      <c r="S379" t="s">
        <v>774</v>
      </c>
      <c r="T379" t="s">
        <v>3014</v>
      </c>
      <c r="U379" t="s">
        <v>3015</v>
      </c>
      <c r="V379" t="s">
        <v>3016</v>
      </c>
      <c r="W379" t="s">
        <v>737</v>
      </c>
      <c r="X379" t="s">
        <v>4754</v>
      </c>
      <c r="Y379" t="s">
        <v>93</v>
      </c>
      <c r="Z379" t="s">
        <v>119</v>
      </c>
      <c r="AA379" t="s">
        <v>3018</v>
      </c>
      <c r="AB379" t="s">
        <v>1748</v>
      </c>
      <c r="AC379" t="s">
        <v>3019</v>
      </c>
      <c r="AD379" t="s">
        <v>119</v>
      </c>
      <c r="AE379" t="s">
        <v>3018</v>
      </c>
      <c r="AF379" t="s">
        <v>1748</v>
      </c>
      <c r="AG379" t="s">
        <v>3019</v>
      </c>
      <c r="AI379" t="s">
        <v>4755</v>
      </c>
      <c r="AJ379" t="s">
        <v>119</v>
      </c>
      <c r="AK379" t="s">
        <v>99</v>
      </c>
      <c r="AL379" t="s">
        <v>4756</v>
      </c>
      <c r="AM379" t="s">
        <v>3022</v>
      </c>
      <c r="AR379" t="s">
        <v>125</v>
      </c>
      <c r="AT379" t="s">
        <v>4757</v>
      </c>
      <c r="AV379" t="s">
        <v>128</v>
      </c>
      <c r="AZ379" t="s">
        <v>80</v>
      </c>
    </row>
    <row r="380" spans="1:52" hidden="1" x14ac:dyDescent="0.25">
      <c r="A380" t="s">
        <v>4758</v>
      </c>
      <c r="B380" t="s">
        <v>4759</v>
      </c>
      <c r="C380" t="s">
        <v>4752</v>
      </c>
      <c r="D380" t="s">
        <v>2544</v>
      </c>
      <c r="E380" t="s">
        <v>4760</v>
      </c>
      <c r="F380" t="s">
        <v>4761</v>
      </c>
      <c r="G380" t="s">
        <v>4762</v>
      </c>
      <c r="J380" t="s">
        <v>80</v>
      </c>
      <c r="K380" t="s">
        <v>538</v>
      </c>
      <c r="L380" t="s">
        <v>111</v>
      </c>
      <c r="M380" t="s">
        <v>4763</v>
      </c>
      <c r="O380" t="s">
        <v>4708</v>
      </c>
      <c r="P380" t="s">
        <v>134</v>
      </c>
      <c r="Q380" t="s">
        <v>1744</v>
      </c>
      <c r="R380" t="s">
        <v>1550</v>
      </c>
      <c r="S380" t="s">
        <v>774</v>
      </c>
      <c r="T380" t="s">
        <v>3014</v>
      </c>
      <c r="U380" t="s">
        <v>4764</v>
      </c>
      <c r="V380" t="s">
        <v>4511</v>
      </c>
      <c r="W380" t="s">
        <v>161</v>
      </c>
      <c r="X380" t="s">
        <v>4681</v>
      </c>
      <c r="Y380" t="s">
        <v>93</v>
      </c>
      <c r="Z380" t="s">
        <v>119</v>
      </c>
      <c r="AA380" t="s">
        <v>4765</v>
      </c>
      <c r="AB380" t="s">
        <v>1748</v>
      </c>
      <c r="AC380" t="s">
        <v>4766</v>
      </c>
      <c r="AD380" t="s">
        <v>119</v>
      </c>
      <c r="AE380" t="s">
        <v>4765</v>
      </c>
      <c r="AF380" t="s">
        <v>1748</v>
      </c>
      <c r="AG380" t="s">
        <v>4766</v>
      </c>
      <c r="AI380" t="s">
        <v>4767</v>
      </c>
      <c r="AJ380" t="s">
        <v>119</v>
      </c>
      <c r="AK380" t="s">
        <v>99</v>
      </c>
      <c r="AL380" t="s">
        <v>4768</v>
      </c>
      <c r="AM380" t="s">
        <v>4769</v>
      </c>
      <c r="AR380" t="s">
        <v>125</v>
      </c>
      <c r="AT380" t="s">
        <v>4770</v>
      </c>
      <c r="AV380" t="s">
        <v>190</v>
      </c>
      <c r="AZ380" t="s">
        <v>80</v>
      </c>
    </row>
    <row r="381" spans="1:52" hidden="1" x14ac:dyDescent="0.25">
      <c r="A381" t="s">
        <v>4771</v>
      </c>
      <c r="B381" t="s">
        <v>4772</v>
      </c>
      <c r="C381" t="s">
        <v>4752</v>
      </c>
      <c r="D381" t="s">
        <v>2544</v>
      </c>
      <c r="E381" t="s">
        <v>4773</v>
      </c>
      <c r="F381" t="s">
        <v>4774</v>
      </c>
      <c r="G381" t="s">
        <v>4775</v>
      </c>
      <c r="J381" t="s">
        <v>80</v>
      </c>
      <c r="K381" t="s">
        <v>538</v>
      </c>
      <c r="L381" t="s">
        <v>111</v>
      </c>
      <c r="M381" t="s">
        <v>4776</v>
      </c>
      <c r="O381" t="s">
        <v>4679</v>
      </c>
      <c r="P381" t="s">
        <v>134</v>
      </c>
      <c r="Q381" t="s">
        <v>1744</v>
      </c>
      <c r="R381" t="s">
        <v>1550</v>
      </c>
      <c r="S381" t="s">
        <v>774</v>
      </c>
      <c r="T381" t="s">
        <v>3014</v>
      </c>
      <c r="U381" t="s">
        <v>1986</v>
      </c>
      <c r="V381" t="s">
        <v>796</v>
      </c>
      <c r="W381" t="s">
        <v>161</v>
      </c>
      <c r="X381" t="s">
        <v>4681</v>
      </c>
      <c r="Y381" t="s">
        <v>93</v>
      </c>
      <c r="Z381" t="s">
        <v>119</v>
      </c>
      <c r="AA381" t="s">
        <v>3853</v>
      </c>
      <c r="AB381" t="s">
        <v>1748</v>
      </c>
      <c r="AC381" t="s">
        <v>3865</v>
      </c>
      <c r="AD381" t="s">
        <v>119</v>
      </c>
      <c r="AE381" t="s">
        <v>3853</v>
      </c>
      <c r="AF381" t="s">
        <v>1748</v>
      </c>
      <c r="AG381" t="s">
        <v>3865</v>
      </c>
      <c r="AI381" t="s">
        <v>4777</v>
      </c>
      <c r="AJ381" t="s">
        <v>119</v>
      </c>
      <c r="AK381" t="s">
        <v>99</v>
      </c>
      <c r="AL381" t="s">
        <v>4778</v>
      </c>
      <c r="AM381" t="s">
        <v>4779</v>
      </c>
      <c r="AR381" t="s">
        <v>125</v>
      </c>
      <c r="AT381" t="s">
        <v>4780</v>
      </c>
      <c r="AV381" t="s">
        <v>190</v>
      </c>
      <c r="AZ381" t="s">
        <v>80</v>
      </c>
    </row>
    <row r="382" spans="1:52" hidden="1" x14ac:dyDescent="0.25">
      <c r="A382" t="s">
        <v>4781</v>
      </c>
      <c r="B382" t="s">
        <v>4782</v>
      </c>
      <c r="C382" t="s">
        <v>4783</v>
      </c>
      <c r="D382" t="s">
        <v>2544</v>
      </c>
      <c r="E382" t="s">
        <v>4784</v>
      </c>
      <c r="F382" t="s">
        <v>4785</v>
      </c>
      <c r="G382" t="s">
        <v>4786</v>
      </c>
      <c r="J382" t="s">
        <v>80</v>
      </c>
      <c r="K382" t="s">
        <v>538</v>
      </c>
      <c r="L382" t="s">
        <v>111</v>
      </c>
      <c r="M382">
        <v>69848</v>
      </c>
      <c r="P382" t="s">
        <v>134</v>
      </c>
      <c r="Q382" t="s">
        <v>1205</v>
      </c>
      <c r="R382" t="s">
        <v>914</v>
      </c>
      <c r="S382" t="s">
        <v>444</v>
      </c>
      <c r="T382" t="s">
        <v>4734</v>
      </c>
      <c r="U382" t="s">
        <v>4787</v>
      </c>
      <c r="V382" t="s">
        <v>4788</v>
      </c>
      <c r="W382" t="s">
        <v>4484</v>
      </c>
      <c r="X382" t="s">
        <v>4789</v>
      </c>
      <c r="Y382" t="s">
        <v>93</v>
      </c>
      <c r="Z382" t="s">
        <v>182</v>
      </c>
      <c r="AA382" t="s">
        <v>4790</v>
      </c>
      <c r="AB382" t="s">
        <v>1748</v>
      </c>
      <c r="AC382" t="s">
        <v>4791</v>
      </c>
      <c r="AD382" t="s">
        <v>182</v>
      </c>
      <c r="AE382" t="s">
        <v>4790</v>
      </c>
      <c r="AF382" t="s">
        <v>1748</v>
      </c>
      <c r="AG382" t="s">
        <v>4791</v>
      </c>
      <c r="AI382" t="s">
        <v>4792</v>
      </c>
      <c r="AJ382" t="s">
        <v>182</v>
      </c>
      <c r="AK382" t="s">
        <v>99</v>
      </c>
      <c r="AL382" t="s">
        <v>4793</v>
      </c>
      <c r="AM382" t="s">
        <v>4779</v>
      </c>
      <c r="AR382" t="s">
        <v>125</v>
      </c>
      <c r="AT382" t="s">
        <v>4794</v>
      </c>
      <c r="AV382" t="s">
        <v>128</v>
      </c>
      <c r="AZ382" t="s">
        <v>80</v>
      </c>
    </row>
    <row r="383" spans="1:52" hidden="1" x14ac:dyDescent="0.25">
      <c r="A383" t="s">
        <v>4795</v>
      </c>
      <c r="B383" t="s">
        <v>4796</v>
      </c>
      <c r="C383" t="s">
        <v>4783</v>
      </c>
      <c r="D383" t="s">
        <v>2544</v>
      </c>
      <c r="E383" t="s">
        <v>4797</v>
      </c>
      <c r="F383" t="s">
        <v>4798</v>
      </c>
      <c r="G383" t="s">
        <v>4799</v>
      </c>
      <c r="J383" t="s">
        <v>80</v>
      </c>
      <c r="K383" t="s">
        <v>538</v>
      </c>
      <c r="L383" t="s">
        <v>111</v>
      </c>
      <c r="M383">
        <v>69842</v>
      </c>
      <c r="P383" t="s">
        <v>134</v>
      </c>
      <c r="Q383" t="s">
        <v>1205</v>
      </c>
      <c r="R383" t="s">
        <v>914</v>
      </c>
      <c r="S383" t="s">
        <v>444</v>
      </c>
      <c r="T383" t="s">
        <v>4734</v>
      </c>
      <c r="U383" t="s">
        <v>246</v>
      </c>
      <c r="V383" t="s">
        <v>3921</v>
      </c>
      <c r="W383" t="s">
        <v>4484</v>
      </c>
      <c r="X383" t="s">
        <v>4789</v>
      </c>
      <c r="Y383" t="s">
        <v>93</v>
      </c>
      <c r="Z383" t="s">
        <v>182</v>
      </c>
      <c r="AA383" t="s">
        <v>3252</v>
      </c>
      <c r="AB383" t="s">
        <v>1748</v>
      </c>
      <c r="AC383" t="s">
        <v>4800</v>
      </c>
      <c r="AD383" t="s">
        <v>182</v>
      </c>
      <c r="AE383" t="s">
        <v>3252</v>
      </c>
      <c r="AF383" t="s">
        <v>1748</v>
      </c>
      <c r="AG383" t="s">
        <v>4800</v>
      </c>
      <c r="AI383" t="s">
        <v>4801</v>
      </c>
      <c r="AJ383" t="s">
        <v>182</v>
      </c>
      <c r="AK383" t="s">
        <v>99</v>
      </c>
      <c r="AL383" t="s">
        <v>4802</v>
      </c>
      <c r="AM383" t="s">
        <v>4803</v>
      </c>
      <c r="AR383" t="s">
        <v>125</v>
      </c>
      <c r="AT383" t="s">
        <v>4804</v>
      </c>
      <c r="AV383" t="s">
        <v>128</v>
      </c>
      <c r="AZ383" t="s">
        <v>80</v>
      </c>
    </row>
    <row r="384" spans="1:52" hidden="1" x14ac:dyDescent="0.25">
      <c r="A384" t="s">
        <v>4805</v>
      </c>
      <c r="B384" t="s">
        <v>4806</v>
      </c>
      <c r="C384" t="s">
        <v>4807</v>
      </c>
      <c r="D384" t="s">
        <v>2544</v>
      </c>
      <c r="E384" t="s">
        <v>4808</v>
      </c>
      <c r="F384" t="s">
        <v>4809</v>
      </c>
      <c r="G384" t="s">
        <v>4810</v>
      </c>
      <c r="J384" t="s">
        <v>80</v>
      </c>
      <c r="K384" t="s">
        <v>538</v>
      </c>
      <c r="L384" t="s">
        <v>111</v>
      </c>
      <c r="M384">
        <v>69828</v>
      </c>
      <c r="P384" t="s">
        <v>134</v>
      </c>
      <c r="Q384" t="s">
        <v>1744</v>
      </c>
      <c r="R384" t="s">
        <v>1550</v>
      </c>
      <c r="S384" t="s">
        <v>774</v>
      </c>
      <c r="T384" t="s">
        <v>4734</v>
      </c>
      <c r="U384" t="s">
        <v>4811</v>
      </c>
      <c r="V384" t="s">
        <v>4812</v>
      </c>
      <c r="W384" t="s">
        <v>2015</v>
      </c>
      <c r="X384" t="s">
        <v>4789</v>
      </c>
      <c r="Y384" t="s">
        <v>93</v>
      </c>
      <c r="Z384" t="s">
        <v>182</v>
      </c>
      <c r="AA384" t="s">
        <v>4813</v>
      </c>
      <c r="AB384" t="s">
        <v>1748</v>
      </c>
      <c r="AC384" t="s">
        <v>878</v>
      </c>
      <c r="AD384" t="s">
        <v>182</v>
      </c>
      <c r="AE384" t="s">
        <v>4813</v>
      </c>
      <c r="AF384" t="s">
        <v>1748</v>
      </c>
      <c r="AG384" t="s">
        <v>878</v>
      </c>
      <c r="AI384" t="s">
        <v>4814</v>
      </c>
      <c r="AJ384" t="s">
        <v>182</v>
      </c>
      <c r="AK384" t="s">
        <v>99</v>
      </c>
      <c r="AL384" t="s">
        <v>4815</v>
      </c>
      <c r="AM384" t="s">
        <v>4803</v>
      </c>
      <c r="AR384" t="s">
        <v>125</v>
      </c>
      <c r="AT384" t="s">
        <v>4816</v>
      </c>
      <c r="AV384" t="s">
        <v>128</v>
      </c>
      <c r="AZ384" t="s">
        <v>80</v>
      </c>
    </row>
    <row r="385" spans="1:52" hidden="1" x14ac:dyDescent="0.25">
      <c r="A385" t="s">
        <v>4817</v>
      </c>
      <c r="B385" t="s">
        <v>4818</v>
      </c>
      <c r="C385" t="s">
        <v>4819</v>
      </c>
      <c r="D385" t="s">
        <v>2544</v>
      </c>
      <c r="E385" t="s">
        <v>4820</v>
      </c>
      <c r="F385" t="s">
        <v>4821</v>
      </c>
      <c r="G385" t="s">
        <v>4821</v>
      </c>
      <c r="J385" t="s">
        <v>80</v>
      </c>
      <c r="K385" t="s">
        <v>110</v>
      </c>
      <c r="L385" t="s">
        <v>111</v>
      </c>
      <c r="M385">
        <v>69122</v>
      </c>
      <c r="O385" t="s">
        <v>4822</v>
      </c>
      <c r="P385" t="s">
        <v>212</v>
      </c>
      <c r="Q385" t="s">
        <v>1284</v>
      </c>
      <c r="R385" t="s">
        <v>1285</v>
      </c>
      <c r="S385" t="s">
        <v>1124</v>
      </c>
      <c r="T385" t="s">
        <v>734</v>
      </c>
      <c r="U385" t="s">
        <v>4823</v>
      </c>
      <c r="V385" t="s">
        <v>564</v>
      </c>
      <c r="W385" t="s">
        <v>4824</v>
      </c>
      <c r="X385" t="s">
        <v>3273</v>
      </c>
      <c r="Y385" t="s">
        <v>93</v>
      </c>
      <c r="Z385" t="s">
        <v>739</v>
      </c>
      <c r="AA385" t="s">
        <v>4825</v>
      </c>
      <c r="AB385" t="s">
        <v>119</v>
      </c>
      <c r="AC385" t="s">
        <v>4826</v>
      </c>
      <c r="AD385" t="s">
        <v>739</v>
      </c>
      <c r="AE385" t="s">
        <v>4825</v>
      </c>
      <c r="AF385" t="s">
        <v>119</v>
      </c>
      <c r="AG385" t="s">
        <v>4826</v>
      </c>
      <c r="AI385" t="s">
        <v>4827</v>
      </c>
      <c r="AJ385" t="s">
        <v>739</v>
      </c>
      <c r="AK385" t="s">
        <v>99</v>
      </c>
      <c r="AL385" t="s">
        <v>4828</v>
      </c>
      <c r="AM385" t="s">
        <v>4829</v>
      </c>
      <c r="AN385" t="s">
        <v>2555</v>
      </c>
      <c r="AR385" t="s">
        <v>125</v>
      </c>
      <c r="AT385" t="s">
        <v>4830</v>
      </c>
      <c r="AV385" t="s">
        <v>190</v>
      </c>
      <c r="AW385" t="s">
        <v>4831</v>
      </c>
      <c r="AZ385" t="s">
        <v>80</v>
      </c>
    </row>
    <row r="386" spans="1:52" hidden="1" x14ac:dyDescent="0.25">
      <c r="A386" t="s">
        <v>4832</v>
      </c>
      <c r="B386" t="s">
        <v>4818</v>
      </c>
      <c r="C386" t="s">
        <v>4833</v>
      </c>
      <c r="D386" t="s">
        <v>2544</v>
      </c>
      <c r="E386" t="s">
        <v>4834</v>
      </c>
      <c r="F386" t="s">
        <v>4821</v>
      </c>
      <c r="G386" t="s">
        <v>4821</v>
      </c>
      <c r="J386" t="s">
        <v>80</v>
      </c>
      <c r="K386" t="s">
        <v>110</v>
      </c>
      <c r="L386" t="s">
        <v>111</v>
      </c>
      <c r="M386">
        <v>69122</v>
      </c>
      <c r="O386" t="s">
        <v>4822</v>
      </c>
      <c r="P386" t="s">
        <v>212</v>
      </c>
      <c r="Q386" t="s">
        <v>1284</v>
      </c>
      <c r="R386" t="s">
        <v>1285</v>
      </c>
      <c r="S386" t="s">
        <v>1124</v>
      </c>
      <c r="T386" t="s">
        <v>734</v>
      </c>
      <c r="U386" t="s">
        <v>4823</v>
      </c>
      <c r="V386" t="s">
        <v>564</v>
      </c>
      <c r="W386" t="s">
        <v>4835</v>
      </c>
      <c r="X386" t="s">
        <v>3263</v>
      </c>
      <c r="Y386" t="s">
        <v>93</v>
      </c>
      <c r="Z386" t="s">
        <v>739</v>
      </c>
      <c r="AA386" t="s">
        <v>4825</v>
      </c>
      <c r="AB386" t="s">
        <v>119</v>
      </c>
      <c r="AC386" t="s">
        <v>4826</v>
      </c>
      <c r="AD386" t="s">
        <v>739</v>
      </c>
      <c r="AE386" t="s">
        <v>4825</v>
      </c>
      <c r="AF386" t="s">
        <v>119</v>
      </c>
      <c r="AG386" t="s">
        <v>4826</v>
      </c>
      <c r="AI386" t="s">
        <v>4836</v>
      </c>
      <c r="AJ386" t="s">
        <v>739</v>
      </c>
      <c r="AK386" t="s">
        <v>99</v>
      </c>
      <c r="AL386" t="s">
        <v>4837</v>
      </c>
      <c r="AM386" t="s">
        <v>4829</v>
      </c>
      <c r="AN386" t="s">
        <v>2555</v>
      </c>
      <c r="AR386" t="s">
        <v>125</v>
      </c>
      <c r="AT386" t="s">
        <v>4838</v>
      </c>
      <c r="AV386" t="s">
        <v>190</v>
      </c>
      <c r="AW386" t="s">
        <v>4831</v>
      </c>
      <c r="AZ386" t="s">
        <v>80</v>
      </c>
    </row>
    <row r="387" spans="1:52" hidden="1" x14ac:dyDescent="0.25">
      <c r="A387" t="s">
        <v>4839</v>
      </c>
      <c r="B387" t="s">
        <v>4840</v>
      </c>
      <c r="C387" t="s">
        <v>4833</v>
      </c>
      <c r="D387" t="s">
        <v>2544</v>
      </c>
      <c r="E387" t="s">
        <v>4841</v>
      </c>
      <c r="F387" t="s">
        <v>4842</v>
      </c>
      <c r="G387" t="s">
        <v>4842</v>
      </c>
      <c r="J387" t="s">
        <v>80</v>
      </c>
      <c r="K387" t="s">
        <v>110</v>
      </c>
      <c r="L387" t="s">
        <v>111</v>
      </c>
      <c r="M387">
        <v>69116</v>
      </c>
      <c r="O387" t="s">
        <v>4843</v>
      </c>
      <c r="P387" t="s">
        <v>212</v>
      </c>
      <c r="Q387" t="s">
        <v>731</v>
      </c>
      <c r="R387" t="s">
        <v>732</v>
      </c>
      <c r="S387" t="s">
        <v>733</v>
      </c>
      <c r="T387" t="s">
        <v>734</v>
      </c>
      <c r="U387" t="s">
        <v>4844</v>
      </c>
      <c r="V387" t="s">
        <v>2414</v>
      </c>
      <c r="W387" t="s">
        <v>4824</v>
      </c>
      <c r="X387" t="s">
        <v>3273</v>
      </c>
      <c r="Y387" t="s">
        <v>93</v>
      </c>
      <c r="Z387" t="s">
        <v>739</v>
      </c>
      <c r="AA387" t="s">
        <v>4845</v>
      </c>
      <c r="AB387" t="s">
        <v>119</v>
      </c>
      <c r="AC387" t="s">
        <v>4846</v>
      </c>
      <c r="AD387" t="s">
        <v>739</v>
      </c>
      <c r="AE387" t="s">
        <v>4845</v>
      </c>
      <c r="AF387" t="s">
        <v>119</v>
      </c>
      <c r="AG387" t="s">
        <v>4846</v>
      </c>
      <c r="AI387" t="s">
        <v>4847</v>
      </c>
      <c r="AJ387" t="s">
        <v>739</v>
      </c>
      <c r="AK387" t="s">
        <v>99</v>
      </c>
      <c r="AL387" t="s">
        <v>4848</v>
      </c>
      <c r="AM387" t="s">
        <v>4849</v>
      </c>
      <c r="AN387" t="s">
        <v>2555</v>
      </c>
      <c r="AR387" t="s">
        <v>125</v>
      </c>
      <c r="AT387" t="s">
        <v>4850</v>
      </c>
      <c r="AV387" t="s">
        <v>190</v>
      </c>
      <c r="AW387" t="s">
        <v>4851</v>
      </c>
      <c r="AZ387" t="s">
        <v>80</v>
      </c>
    </row>
    <row r="388" spans="1:52" hidden="1" x14ac:dyDescent="0.25">
      <c r="A388" t="s">
        <v>4852</v>
      </c>
      <c r="B388" t="s">
        <v>4840</v>
      </c>
      <c r="C388" t="s">
        <v>4833</v>
      </c>
      <c r="D388" t="s">
        <v>2544</v>
      </c>
      <c r="E388" t="s">
        <v>4853</v>
      </c>
      <c r="F388" t="s">
        <v>4842</v>
      </c>
      <c r="G388" t="s">
        <v>4842</v>
      </c>
      <c r="J388" t="s">
        <v>80</v>
      </c>
      <c r="K388" t="s">
        <v>110</v>
      </c>
      <c r="L388" t="s">
        <v>111</v>
      </c>
      <c r="M388">
        <v>69116</v>
      </c>
      <c r="O388" t="s">
        <v>4843</v>
      </c>
      <c r="P388" t="s">
        <v>212</v>
      </c>
      <c r="Q388" t="s">
        <v>731</v>
      </c>
      <c r="R388" t="s">
        <v>732</v>
      </c>
      <c r="S388" t="s">
        <v>733</v>
      </c>
      <c r="T388" t="s">
        <v>734</v>
      </c>
      <c r="U388" t="s">
        <v>4844</v>
      </c>
      <c r="V388" t="s">
        <v>2414</v>
      </c>
      <c r="W388" t="s">
        <v>4835</v>
      </c>
      <c r="X388" t="s">
        <v>3263</v>
      </c>
      <c r="Y388" t="s">
        <v>93</v>
      </c>
      <c r="Z388" t="s">
        <v>739</v>
      </c>
      <c r="AA388" t="s">
        <v>4845</v>
      </c>
      <c r="AB388" t="s">
        <v>119</v>
      </c>
      <c r="AC388" t="s">
        <v>4846</v>
      </c>
      <c r="AD388" t="s">
        <v>739</v>
      </c>
      <c r="AE388" t="s">
        <v>4845</v>
      </c>
      <c r="AF388" t="s">
        <v>119</v>
      </c>
      <c r="AG388" t="s">
        <v>4846</v>
      </c>
      <c r="AI388" t="s">
        <v>3253</v>
      </c>
      <c r="AJ388" t="s">
        <v>739</v>
      </c>
      <c r="AK388" t="s">
        <v>99</v>
      </c>
      <c r="AL388" t="s">
        <v>4854</v>
      </c>
      <c r="AM388" t="s">
        <v>4829</v>
      </c>
      <c r="AN388" t="s">
        <v>2555</v>
      </c>
      <c r="AR388" t="s">
        <v>125</v>
      </c>
      <c r="AT388" t="s">
        <v>4850</v>
      </c>
      <c r="AV388" t="s">
        <v>190</v>
      </c>
      <c r="AW388" t="s">
        <v>4851</v>
      </c>
      <c r="AZ388" t="s">
        <v>80</v>
      </c>
    </row>
    <row r="389" spans="1:52" hidden="1" x14ac:dyDescent="0.25">
      <c r="A389" t="s">
        <v>4855</v>
      </c>
      <c r="B389" t="s">
        <v>4856</v>
      </c>
      <c r="C389" t="s">
        <v>4833</v>
      </c>
      <c r="D389" t="s">
        <v>2544</v>
      </c>
      <c r="E389" t="s">
        <v>4857</v>
      </c>
      <c r="F389" t="s">
        <v>4858</v>
      </c>
      <c r="G389" t="s">
        <v>4858</v>
      </c>
      <c r="J389" t="s">
        <v>80</v>
      </c>
      <c r="K389" t="s">
        <v>110</v>
      </c>
      <c r="L389" t="s">
        <v>111</v>
      </c>
      <c r="M389">
        <v>69103</v>
      </c>
      <c r="O389" t="s">
        <v>4843</v>
      </c>
      <c r="P389" t="s">
        <v>212</v>
      </c>
      <c r="Q389" t="s">
        <v>731</v>
      </c>
      <c r="R389" t="s">
        <v>732</v>
      </c>
      <c r="S389" t="s">
        <v>733</v>
      </c>
      <c r="T389" t="s">
        <v>734</v>
      </c>
      <c r="U389" t="s">
        <v>1140</v>
      </c>
      <c r="V389" t="s">
        <v>513</v>
      </c>
      <c r="W389" t="s">
        <v>4835</v>
      </c>
      <c r="X389" t="s">
        <v>3263</v>
      </c>
      <c r="Y389" t="s">
        <v>93</v>
      </c>
      <c r="Z389" t="s">
        <v>119</v>
      </c>
      <c r="AA389" t="s">
        <v>811</v>
      </c>
      <c r="AB389" t="s">
        <v>739</v>
      </c>
      <c r="AC389" t="s">
        <v>4859</v>
      </c>
      <c r="AD389" t="s">
        <v>119</v>
      </c>
      <c r="AE389" t="s">
        <v>811</v>
      </c>
      <c r="AF389" t="s">
        <v>739</v>
      </c>
      <c r="AG389" t="s">
        <v>4859</v>
      </c>
      <c r="AI389" t="s">
        <v>813</v>
      </c>
      <c r="AJ389" t="s">
        <v>119</v>
      </c>
      <c r="AK389" t="s">
        <v>99</v>
      </c>
      <c r="AL389" t="s">
        <v>4860</v>
      </c>
      <c r="AM389" t="s">
        <v>4849</v>
      </c>
      <c r="AN389" t="s">
        <v>2555</v>
      </c>
      <c r="AR389" t="s">
        <v>125</v>
      </c>
      <c r="AT389" t="s">
        <v>4861</v>
      </c>
      <c r="AV389" t="s">
        <v>190</v>
      </c>
      <c r="AW389" t="s">
        <v>4862</v>
      </c>
      <c r="AZ389" t="s">
        <v>80</v>
      </c>
    </row>
    <row r="390" spans="1:52" hidden="1" x14ac:dyDescent="0.25">
      <c r="A390" t="s">
        <v>4863</v>
      </c>
      <c r="B390" t="s">
        <v>4856</v>
      </c>
      <c r="C390" t="s">
        <v>4864</v>
      </c>
      <c r="D390" t="s">
        <v>2544</v>
      </c>
      <c r="E390" t="s">
        <v>4865</v>
      </c>
      <c r="F390" t="s">
        <v>4858</v>
      </c>
      <c r="G390" t="s">
        <v>4858</v>
      </c>
      <c r="J390" t="s">
        <v>80</v>
      </c>
      <c r="K390" t="s">
        <v>110</v>
      </c>
      <c r="L390" t="s">
        <v>111</v>
      </c>
      <c r="M390">
        <v>69103</v>
      </c>
      <c r="O390" t="s">
        <v>4843</v>
      </c>
      <c r="P390" t="s">
        <v>212</v>
      </c>
      <c r="Q390" t="s">
        <v>731</v>
      </c>
      <c r="R390" t="s">
        <v>732</v>
      </c>
      <c r="S390" t="s">
        <v>733</v>
      </c>
      <c r="T390" t="s">
        <v>734</v>
      </c>
      <c r="U390" t="s">
        <v>1140</v>
      </c>
      <c r="V390" t="s">
        <v>513</v>
      </c>
      <c r="W390" t="s">
        <v>4824</v>
      </c>
      <c r="X390" t="s">
        <v>3273</v>
      </c>
      <c r="Y390" t="s">
        <v>93</v>
      </c>
      <c r="Z390" t="s">
        <v>119</v>
      </c>
      <c r="AA390" t="s">
        <v>811</v>
      </c>
      <c r="AB390" t="s">
        <v>739</v>
      </c>
      <c r="AC390" t="s">
        <v>4859</v>
      </c>
      <c r="AD390" t="s">
        <v>119</v>
      </c>
      <c r="AE390" t="s">
        <v>811</v>
      </c>
      <c r="AF390" t="s">
        <v>739</v>
      </c>
      <c r="AG390" t="s">
        <v>4859</v>
      </c>
      <c r="AI390" t="s">
        <v>4866</v>
      </c>
      <c r="AJ390" t="s">
        <v>119</v>
      </c>
      <c r="AK390" t="s">
        <v>99</v>
      </c>
      <c r="AL390" t="s">
        <v>4867</v>
      </c>
      <c r="AM390" t="s">
        <v>4849</v>
      </c>
      <c r="AN390" t="s">
        <v>2555</v>
      </c>
      <c r="AR390" t="s">
        <v>125</v>
      </c>
      <c r="AT390" t="s">
        <v>4868</v>
      </c>
      <c r="AV390" t="s">
        <v>190</v>
      </c>
      <c r="AW390" t="s">
        <v>4862</v>
      </c>
      <c r="AZ390" t="s">
        <v>80</v>
      </c>
    </row>
    <row r="391" spans="1:52" hidden="1" x14ac:dyDescent="0.25">
      <c r="A391" t="s">
        <v>4869</v>
      </c>
      <c r="B391" t="s">
        <v>4870</v>
      </c>
      <c r="C391" t="s">
        <v>4864</v>
      </c>
      <c r="D391" t="s">
        <v>2544</v>
      </c>
      <c r="E391" t="s">
        <v>4871</v>
      </c>
      <c r="F391" t="s">
        <v>4872</v>
      </c>
      <c r="G391" t="s">
        <v>4872</v>
      </c>
      <c r="J391" t="s">
        <v>80</v>
      </c>
      <c r="K391" t="s">
        <v>110</v>
      </c>
      <c r="L391" t="s">
        <v>111</v>
      </c>
      <c r="M391">
        <v>69101</v>
      </c>
      <c r="O391" t="s">
        <v>4822</v>
      </c>
      <c r="P391" t="s">
        <v>212</v>
      </c>
      <c r="Q391" t="s">
        <v>1284</v>
      </c>
      <c r="R391" t="s">
        <v>1285</v>
      </c>
      <c r="S391" t="s">
        <v>1124</v>
      </c>
      <c r="T391" t="s">
        <v>734</v>
      </c>
      <c r="U391" t="s">
        <v>4873</v>
      </c>
      <c r="V391" t="s">
        <v>4874</v>
      </c>
      <c r="W391" t="s">
        <v>4835</v>
      </c>
      <c r="X391" t="s">
        <v>3263</v>
      </c>
      <c r="Y391" t="s">
        <v>93</v>
      </c>
      <c r="Z391" t="s">
        <v>119</v>
      </c>
      <c r="AA391" t="s">
        <v>4875</v>
      </c>
      <c r="AB391" t="s">
        <v>739</v>
      </c>
      <c r="AC391" t="s">
        <v>4876</v>
      </c>
      <c r="AD391" t="s">
        <v>119</v>
      </c>
      <c r="AE391" t="s">
        <v>4875</v>
      </c>
      <c r="AF391" t="s">
        <v>739</v>
      </c>
      <c r="AG391" t="s">
        <v>4876</v>
      </c>
      <c r="AI391" t="s">
        <v>4877</v>
      </c>
      <c r="AJ391" t="s">
        <v>119</v>
      </c>
      <c r="AK391" t="s">
        <v>99</v>
      </c>
      <c r="AL391" t="s">
        <v>4878</v>
      </c>
      <c r="AM391" t="s">
        <v>4879</v>
      </c>
      <c r="AN391" t="s">
        <v>2555</v>
      </c>
      <c r="AR391" t="s">
        <v>125</v>
      </c>
      <c r="AT391" t="s">
        <v>4880</v>
      </c>
      <c r="AV391" t="s">
        <v>190</v>
      </c>
      <c r="AW391" t="s">
        <v>4862</v>
      </c>
      <c r="AZ391" t="s">
        <v>80</v>
      </c>
    </row>
    <row r="392" spans="1:52" hidden="1" x14ac:dyDescent="0.25">
      <c r="A392" t="s">
        <v>4881</v>
      </c>
      <c r="B392" t="s">
        <v>4870</v>
      </c>
      <c r="C392" t="s">
        <v>4864</v>
      </c>
      <c r="D392" t="s">
        <v>2544</v>
      </c>
      <c r="E392" t="s">
        <v>4882</v>
      </c>
      <c r="F392" t="s">
        <v>4872</v>
      </c>
      <c r="G392" t="s">
        <v>4872</v>
      </c>
      <c r="J392" t="s">
        <v>80</v>
      </c>
      <c r="K392" t="s">
        <v>110</v>
      </c>
      <c r="L392" t="s">
        <v>111</v>
      </c>
      <c r="M392">
        <v>69101</v>
      </c>
      <c r="O392" t="s">
        <v>4822</v>
      </c>
      <c r="P392" t="s">
        <v>212</v>
      </c>
      <c r="Q392" t="s">
        <v>1284</v>
      </c>
      <c r="R392" t="s">
        <v>1285</v>
      </c>
      <c r="S392" t="s">
        <v>1124</v>
      </c>
      <c r="T392" t="s">
        <v>734</v>
      </c>
      <c r="U392" t="s">
        <v>4873</v>
      </c>
      <c r="V392" t="s">
        <v>4874</v>
      </c>
      <c r="W392" t="s">
        <v>4824</v>
      </c>
      <c r="X392" t="s">
        <v>3273</v>
      </c>
      <c r="Y392" t="s">
        <v>93</v>
      </c>
      <c r="Z392" t="s">
        <v>119</v>
      </c>
      <c r="AA392" t="s">
        <v>4875</v>
      </c>
      <c r="AB392" t="s">
        <v>739</v>
      </c>
      <c r="AC392" t="s">
        <v>4876</v>
      </c>
      <c r="AD392" t="s">
        <v>119</v>
      </c>
      <c r="AE392" t="s">
        <v>4875</v>
      </c>
      <c r="AF392" t="s">
        <v>739</v>
      </c>
      <c r="AG392" t="s">
        <v>4876</v>
      </c>
      <c r="AI392" t="s">
        <v>4877</v>
      </c>
      <c r="AJ392" t="s">
        <v>119</v>
      </c>
      <c r="AK392" t="s">
        <v>99</v>
      </c>
      <c r="AL392" t="s">
        <v>4883</v>
      </c>
      <c r="AM392" t="s">
        <v>4879</v>
      </c>
      <c r="AN392" t="s">
        <v>2555</v>
      </c>
      <c r="AR392" t="s">
        <v>125</v>
      </c>
      <c r="AT392" t="s">
        <v>4884</v>
      </c>
      <c r="AV392" t="s">
        <v>190</v>
      </c>
      <c r="AW392" t="s">
        <v>4862</v>
      </c>
      <c r="AZ392" t="s">
        <v>80</v>
      </c>
    </row>
    <row r="393" spans="1:52" hidden="1" x14ac:dyDescent="0.25">
      <c r="A393" t="s">
        <v>4885</v>
      </c>
      <c r="B393" t="s">
        <v>2919</v>
      </c>
      <c r="C393" t="s">
        <v>4886</v>
      </c>
      <c r="D393" t="s">
        <v>2544</v>
      </c>
      <c r="E393" t="s">
        <v>4887</v>
      </c>
      <c r="F393" t="s">
        <v>2922</v>
      </c>
      <c r="G393" t="s">
        <v>2922</v>
      </c>
      <c r="J393" t="s">
        <v>80</v>
      </c>
      <c r="K393" t="s">
        <v>110</v>
      </c>
      <c r="L393" t="s">
        <v>111</v>
      </c>
      <c r="M393" t="s">
        <v>2923</v>
      </c>
      <c r="P393" t="s">
        <v>134</v>
      </c>
      <c r="Q393" t="s">
        <v>1205</v>
      </c>
      <c r="R393" t="s">
        <v>914</v>
      </c>
      <c r="S393" t="s">
        <v>748</v>
      </c>
      <c r="T393" t="s">
        <v>2924</v>
      </c>
      <c r="U393" t="s">
        <v>2925</v>
      </c>
      <c r="V393" t="s">
        <v>2926</v>
      </c>
      <c r="W393" t="s">
        <v>3428</v>
      </c>
      <c r="X393" t="s">
        <v>2927</v>
      </c>
      <c r="Y393" t="s">
        <v>93</v>
      </c>
      <c r="Z393" t="s">
        <v>829</v>
      </c>
      <c r="AA393" t="s">
        <v>2759</v>
      </c>
      <c r="AB393" t="s">
        <v>678</v>
      </c>
      <c r="AC393" t="s">
        <v>1723</v>
      </c>
      <c r="AD393" t="s">
        <v>829</v>
      </c>
      <c r="AE393" t="s">
        <v>2759</v>
      </c>
      <c r="AF393" t="s">
        <v>678</v>
      </c>
      <c r="AG393" t="s">
        <v>1723</v>
      </c>
      <c r="AI393" t="s">
        <v>2856</v>
      </c>
      <c r="AJ393" t="s">
        <v>829</v>
      </c>
      <c r="AK393" t="s">
        <v>99</v>
      </c>
      <c r="AL393" t="s">
        <v>4888</v>
      </c>
      <c r="AM393" t="s">
        <v>2644</v>
      </c>
      <c r="AN393" t="s">
        <v>2578</v>
      </c>
      <c r="AR393" t="s">
        <v>125</v>
      </c>
      <c r="AT393" t="s">
        <v>4889</v>
      </c>
      <c r="AV393" t="s">
        <v>128</v>
      </c>
      <c r="AZ393" t="s">
        <v>80</v>
      </c>
    </row>
    <row r="394" spans="1:52" hidden="1" x14ac:dyDescent="0.25">
      <c r="A394" t="s">
        <v>4890</v>
      </c>
      <c r="B394" t="s">
        <v>2919</v>
      </c>
      <c r="C394" t="s">
        <v>4886</v>
      </c>
      <c r="D394" t="s">
        <v>2544</v>
      </c>
      <c r="E394" t="s">
        <v>4891</v>
      </c>
      <c r="F394" t="s">
        <v>2922</v>
      </c>
      <c r="G394" t="s">
        <v>2922</v>
      </c>
      <c r="J394" t="s">
        <v>80</v>
      </c>
      <c r="K394" t="s">
        <v>110</v>
      </c>
      <c r="L394" t="s">
        <v>111</v>
      </c>
      <c r="M394" t="s">
        <v>2923</v>
      </c>
      <c r="P394" t="s">
        <v>134</v>
      </c>
      <c r="Q394" t="s">
        <v>1205</v>
      </c>
      <c r="R394" t="s">
        <v>914</v>
      </c>
      <c r="S394" t="s">
        <v>748</v>
      </c>
      <c r="T394" t="s">
        <v>2924</v>
      </c>
      <c r="U394" t="s">
        <v>2925</v>
      </c>
      <c r="V394" t="s">
        <v>2926</v>
      </c>
      <c r="W394" t="s">
        <v>4892</v>
      </c>
      <c r="X394" t="s">
        <v>4893</v>
      </c>
      <c r="Y394" t="s">
        <v>93</v>
      </c>
      <c r="Z394" t="s">
        <v>829</v>
      </c>
      <c r="AA394" t="s">
        <v>2759</v>
      </c>
      <c r="AB394" t="s">
        <v>678</v>
      </c>
      <c r="AC394" t="s">
        <v>1723</v>
      </c>
      <c r="AD394" t="s">
        <v>829</v>
      </c>
      <c r="AE394" t="s">
        <v>2759</v>
      </c>
      <c r="AF394" t="s">
        <v>678</v>
      </c>
      <c r="AG394" t="s">
        <v>1723</v>
      </c>
      <c r="AI394" t="s">
        <v>2856</v>
      </c>
      <c r="AJ394" t="s">
        <v>829</v>
      </c>
      <c r="AK394" t="s">
        <v>99</v>
      </c>
      <c r="AL394" t="s">
        <v>4894</v>
      </c>
      <c r="AM394" t="s">
        <v>4895</v>
      </c>
      <c r="AN394" t="s">
        <v>2578</v>
      </c>
      <c r="AR394" t="s">
        <v>125</v>
      </c>
      <c r="AT394" t="s">
        <v>4896</v>
      </c>
      <c r="AV394" t="s">
        <v>128</v>
      </c>
      <c r="AZ394" t="s">
        <v>80</v>
      </c>
    </row>
    <row r="395" spans="1:52" hidden="1" x14ac:dyDescent="0.25">
      <c r="A395" t="s">
        <v>4897</v>
      </c>
      <c r="B395" t="s">
        <v>2919</v>
      </c>
      <c r="C395" t="s">
        <v>4886</v>
      </c>
      <c r="D395" t="s">
        <v>2544</v>
      </c>
      <c r="E395" t="s">
        <v>4898</v>
      </c>
      <c r="F395" t="s">
        <v>2922</v>
      </c>
      <c r="G395" t="s">
        <v>2922</v>
      </c>
      <c r="J395" t="s">
        <v>80</v>
      </c>
      <c r="K395" t="s">
        <v>110</v>
      </c>
      <c r="L395" t="s">
        <v>111</v>
      </c>
      <c r="M395" t="s">
        <v>2923</v>
      </c>
      <c r="P395" t="s">
        <v>134</v>
      </c>
      <c r="Q395" t="s">
        <v>1205</v>
      </c>
      <c r="R395" t="s">
        <v>914</v>
      </c>
      <c r="S395" t="s">
        <v>748</v>
      </c>
      <c r="T395" t="s">
        <v>2924</v>
      </c>
      <c r="U395" t="s">
        <v>2925</v>
      </c>
      <c r="V395" t="s">
        <v>2926</v>
      </c>
      <c r="W395" t="s">
        <v>1209</v>
      </c>
      <c r="X395" t="s">
        <v>4899</v>
      </c>
      <c r="Y395" t="s">
        <v>93</v>
      </c>
      <c r="Z395" t="s">
        <v>829</v>
      </c>
      <c r="AA395" t="s">
        <v>2759</v>
      </c>
      <c r="AB395" t="s">
        <v>678</v>
      </c>
      <c r="AC395" t="s">
        <v>1723</v>
      </c>
      <c r="AD395" t="s">
        <v>829</v>
      </c>
      <c r="AE395" t="s">
        <v>2759</v>
      </c>
      <c r="AF395" t="s">
        <v>678</v>
      </c>
      <c r="AG395" t="s">
        <v>1723</v>
      </c>
      <c r="AI395" t="s">
        <v>2856</v>
      </c>
      <c r="AJ395" t="s">
        <v>829</v>
      </c>
      <c r="AK395" t="s">
        <v>99</v>
      </c>
      <c r="AL395" t="s">
        <v>4900</v>
      </c>
      <c r="AM395" t="s">
        <v>4895</v>
      </c>
      <c r="AN395" t="s">
        <v>2578</v>
      </c>
      <c r="AR395" t="s">
        <v>125</v>
      </c>
      <c r="AT395" t="s">
        <v>4901</v>
      </c>
      <c r="AV395" t="s">
        <v>128</v>
      </c>
      <c r="AZ395" t="s">
        <v>80</v>
      </c>
    </row>
    <row r="396" spans="1:52" hidden="1" x14ac:dyDescent="0.25">
      <c r="A396" t="s">
        <v>4902</v>
      </c>
      <c r="B396" t="s">
        <v>2919</v>
      </c>
      <c r="C396" t="s">
        <v>4886</v>
      </c>
      <c r="D396" t="s">
        <v>2544</v>
      </c>
      <c r="E396" t="s">
        <v>4903</v>
      </c>
      <c r="F396" t="s">
        <v>2922</v>
      </c>
      <c r="G396" t="s">
        <v>2922</v>
      </c>
      <c r="J396" t="s">
        <v>80</v>
      </c>
      <c r="K396" t="s">
        <v>110</v>
      </c>
      <c r="L396" t="s">
        <v>111</v>
      </c>
      <c r="M396" t="s">
        <v>2923</v>
      </c>
      <c r="P396" t="s">
        <v>134</v>
      </c>
      <c r="Q396" t="s">
        <v>1205</v>
      </c>
      <c r="R396" t="s">
        <v>914</v>
      </c>
      <c r="S396" t="s">
        <v>748</v>
      </c>
      <c r="T396" t="s">
        <v>2924</v>
      </c>
      <c r="U396" t="s">
        <v>2925</v>
      </c>
      <c r="V396" t="s">
        <v>2926</v>
      </c>
      <c r="W396" t="s">
        <v>1233</v>
      </c>
      <c r="X396" t="s">
        <v>4904</v>
      </c>
      <c r="Y396" t="s">
        <v>93</v>
      </c>
      <c r="Z396" t="s">
        <v>829</v>
      </c>
      <c r="AA396" t="s">
        <v>2759</v>
      </c>
      <c r="AB396" t="s">
        <v>678</v>
      </c>
      <c r="AC396" t="s">
        <v>1723</v>
      </c>
      <c r="AD396" t="s">
        <v>829</v>
      </c>
      <c r="AE396" t="s">
        <v>2759</v>
      </c>
      <c r="AF396" t="s">
        <v>678</v>
      </c>
      <c r="AG396" t="s">
        <v>1723</v>
      </c>
      <c r="AI396" t="s">
        <v>2856</v>
      </c>
      <c r="AJ396" t="s">
        <v>829</v>
      </c>
      <c r="AK396" t="s">
        <v>99</v>
      </c>
      <c r="AL396" t="s">
        <v>4905</v>
      </c>
      <c r="AM396" t="s">
        <v>4895</v>
      </c>
      <c r="AN396" t="s">
        <v>2578</v>
      </c>
      <c r="AR396" t="s">
        <v>125</v>
      </c>
      <c r="AT396" t="s">
        <v>4906</v>
      </c>
      <c r="AV396" t="s">
        <v>128</v>
      </c>
      <c r="AZ396" t="s">
        <v>80</v>
      </c>
    </row>
    <row r="397" spans="1:52" hidden="1" x14ac:dyDescent="0.25">
      <c r="A397" t="s">
        <v>4907</v>
      </c>
      <c r="B397" t="s">
        <v>2919</v>
      </c>
      <c r="C397" t="s">
        <v>4886</v>
      </c>
      <c r="D397" t="s">
        <v>2544</v>
      </c>
      <c r="E397" t="s">
        <v>4908</v>
      </c>
      <c r="F397" t="s">
        <v>2922</v>
      </c>
      <c r="G397" t="s">
        <v>2922</v>
      </c>
      <c r="J397" t="s">
        <v>80</v>
      </c>
      <c r="K397" t="s">
        <v>110</v>
      </c>
      <c r="L397" t="s">
        <v>111</v>
      </c>
      <c r="M397" t="s">
        <v>2923</v>
      </c>
      <c r="P397" t="s">
        <v>134</v>
      </c>
      <c r="Q397" t="s">
        <v>1205</v>
      </c>
      <c r="R397" t="s">
        <v>914</v>
      </c>
      <c r="S397" t="s">
        <v>748</v>
      </c>
      <c r="T397" t="s">
        <v>2924</v>
      </c>
      <c r="U397" t="s">
        <v>2925</v>
      </c>
      <c r="V397" t="s">
        <v>2926</v>
      </c>
      <c r="W397" t="s">
        <v>3302</v>
      </c>
      <c r="X397" t="s">
        <v>2927</v>
      </c>
      <c r="Y397" t="s">
        <v>93</v>
      </c>
      <c r="Z397" t="s">
        <v>829</v>
      </c>
      <c r="AA397" t="s">
        <v>2759</v>
      </c>
      <c r="AB397" t="s">
        <v>678</v>
      </c>
      <c r="AC397" t="s">
        <v>1723</v>
      </c>
      <c r="AD397" t="s">
        <v>829</v>
      </c>
      <c r="AE397" t="s">
        <v>2759</v>
      </c>
      <c r="AF397" t="s">
        <v>678</v>
      </c>
      <c r="AG397" t="s">
        <v>1723</v>
      </c>
      <c r="AI397" t="s">
        <v>2856</v>
      </c>
      <c r="AJ397" t="s">
        <v>829</v>
      </c>
      <c r="AK397" t="s">
        <v>99</v>
      </c>
      <c r="AL397" t="s">
        <v>4909</v>
      </c>
      <c r="AM397" t="s">
        <v>4895</v>
      </c>
      <c r="AN397" t="s">
        <v>2578</v>
      </c>
      <c r="AR397" t="s">
        <v>125</v>
      </c>
      <c r="AT397" t="s">
        <v>4910</v>
      </c>
      <c r="AV397" t="s">
        <v>128</v>
      </c>
      <c r="AZ397" t="s">
        <v>80</v>
      </c>
    </row>
    <row r="398" spans="1:52" hidden="1" x14ac:dyDescent="0.25">
      <c r="A398" t="s">
        <v>4911</v>
      </c>
      <c r="B398" t="s">
        <v>2919</v>
      </c>
      <c r="C398" t="s">
        <v>4912</v>
      </c>
      <c r="D398" t="s">
        <v>2544</v>
      </c>
      <c r="E398" t="s">
        <v>4913</v>
      </c>
      <c r="F398" t="s">
        <v>2922</v>
      </c>
      <c r="G398" t="s">
        <v>2922</v>
      </c>
      <c r="J398" t="s">
        <v>80</v>
      </c>
      <c r="K398" t="s">
        <v>110</v>
      </c>
      <c r="L398" t="s">
        <v>111</v>
      </c>
      <c r="M398" t="s">
        <v>2923</v>
      </c>
      <c r="P398" t="s">
        <v>134</v>
      </c>
      <c r="Q398" t="s">
        <v>1205</v>
      </c>
      <c r="R398" t="s">
        <v>914</v>
      </c>
      <c r="S398" t="s">
        <v>748</v>
      </c>
      <c r="T398" t="s">
        <v>2924</v>
      </c>
      <c r="U398" t="s">
        <v>2925</v>
      </c>
      <c r="V398" t="s">
        <v>2926</v>
      </c>
      <c r="W398" t="s">
        <v>4914</v>
      </c>
      <c r="X398" t="s">
        <v>4915</v>
      </c>
      <c r="Y398" t="s">
        <v>93</v>
      </c>
      <c r="Z398" t="s">
        <v>829</v>
      </c>
      <c r="AA398" t="s">
        <v>2759</v>
      </c>
      <c r="AB398" t="s">
        <v>678</v>
      </c>
      <c r="AC398" t="s">
        <v>1723</v>
      </c>
      <c r="AD398" t="s">
        <v>829</v>
      </c>
      <c r="AE398" t="s">
        <v>2759</v>
      </c>
      <c r="AF398" t="s">
        <v>678</v>
      </c>
      <c r="AG398" t="s">
        <v>1723</v>
      </c>
      <c r="AI398" t="s">
        <v>2856</v>
      </c>
      <c r="AJ398" t="s">
        <v>829</v>
      </c>
      <c r="AK398" t="s">
        <v>99</v>
      </c>
      <c r="AL398" t="s">
        <v>4916</v>
      </c>
      <c r="AM398" t="s">
        <v>3417</v>
      </c>
      <c r="AN398" t="s">
        <v>2578</v>
      </c>
      <c r="AR398" t="s">
        <v>125</v>
      </c>
      <c r="AT398" t="s">
        <v>4917</v>
      </c>
      <c r="AV398" t="s">
        <v>128</v>
      </c>
      <c r="AZ398" t="s">
        <v>80</v>
      </c>
    </row>
    <row r="399" spans="1:52" hidden="1" x14ac:dyDescent="0.25">
      <c r="A399" t="s">
        <v>4918</v>
      </c>
      <c r="B399" t="s">
        <v>4919</v>
      </c>
      <c r="C399" t="s">
        <v>4920</v>
      </c>
      <c r="D399" t="s">
        <v>2544</v>
      </c>
      <c r="E399" t="s">
        <v>4921</v>
      </c>
      <c r="F399" t="s">
        <v>4922</v>
      </c>
      <c r="G399" t="s">
        <v>4922</v>
      </c>
      <c r="J399" t="s">
        <v>80</v>
      </c>
      <c r="K399" t="s">
        <v>110</v>
      </c>
      <c r="L399" t="s">
        <v>111</v>
      </c>
      <c r="M399">
        <v>69242</v>
      </c>
      <c r="P399" t="s">
        <v>154</v>
      </c>
      <c r="Q399" t="s">
        <v>1284</v>
      </c>
      <c r="R399" t="s">
        <v>1285</v>
      </c>
      <c r="S399" t="s">
        <v>733</v>
      </c>
      <c r="T399" t="s">
        <v>824</v>
      </c>
      <c r="U399" t="s">
        <v>4923</v>
      </c>
      <c r="V399" t="s">
        <v>2936</v>
      </c>
      <c r="W399" t="s">
        <v>2129</v>
      </c>
      <c r="X399" t="s">
        <v>4924</v>
      </c>
      <c r="Y399" t="s">
        <v>93</v>
      </c>
      <c r="Z399" t="s">
        <v>829</v>
      </c>
      <c r="AA399" t="s">
        <v>4925</v>
      </c>
      <c r="AB399" t="s">
        <v>119</v>
      </c>
      <c r="AC399" t="s">
        <v>1824</v>
      </c>
      <c r="AD399" t="s">
        <v>829</v>
      </c>
      <c r="AE399" t="s">
        <v>4925</v>
      </c>
      <c r="AF399" t="s">
        <v>119</v>
      </c>
      <c r="AG399" t="s">
        <v>1824</v>
      </c>
      <c r="AI399" t="s">
        <v>4926</v>
      </c>
      <c r="AJ399" t="s">
        <v>829</v>
      </c>
      <c r="AK399" t="s">
        <v>99</v>
      </c>
      <c r="AL399" t="s">
        <v>4927</v>
      </c>
      <c r="AM399" t="s">
        <v>4928</v>
      </c>
      <c r="AN399" t="s">
        <v>2555</v>
      </c>
      <c r="AR399" t="s">
        <v>125</v>
      </c>
      <c r="AT399" t="s">
        <v>4929</v>
      </c>
      <c r="AV399" t="s">
        <v>128</v>
      </c>
      <c r="AZ399" t="s">
        <v>80</v>
      </c>
    </row>
    <row r="400" spans="1:52" hidden="1" x14ac:dyDescent="0.25">
      <c r="A400" t="s">
        <v>4930</v>
      </c>
      <c r="B400" t="s">
        <v>4919</v>
      </c>
      <c r="C400" t="s">
        <v>4931</v>
      </c>
      <c r="D400" t="s">
        <v>2544</v>
      </c>
      <c r="E400" t="s">
        <v>4932</v>
      </c>
      <c r="F400" t="s">
        <v>4922</v>
      </c>
      <c r="G400" t="s">
        <v>4922</v>
      </c>
      <c r="J400" t="s">
        <v>80</v>
      </c>
      <c r="K400" t="s">
        <v>110</v>
      </c>
      <c r="L400" t="s">
        <v>111</v>
      </c>
      <c r="M400">
        <v>69242</v>
      </c>
      <c r="P400" t="s">
        <v>154</v>
      </c>
      <c r="Q400" t="s">
        <v>1284</v>
      </c>
      <c r="R400" t="s">
        <v>1285</v>
      </c>
      <c r="S400" t="s">
        <v>733</v>
      </c>
      <c r="T400" t="s">
        <v>824</v>
      </c>
      <c r="U400" t="s">
        <v>4923</v>
      </c>
      <c r="V400" t="s">
        <v>2936</v>
      </c>
      <c r="W400" t="s">
        <v>2116</v>
      </c>
      <c r="X400" t="s">
        <v>4201</v>
      </c>
      <c r="Y400" t="s">
        <v>93</v>
      </c>
      <c r="Z400" t="s">
        <v>829</v>
      </c>
      <c r="AA400" t="s">
        <v>4925</v>
      </c>
      <c r="AB400" t="s">
        <v>119</v>
      </c>
      <c r="AC400" t="s">
        <v>1824</v>
      </c>
      <c r="AD400" t="s">
        <v>829</v>
      </c>
      <c r="AE400" t="s">
        <v>4925</v>
      </c>
      <c r="AF400" t="s">
        <v>119</v>
      </c>
      <c r="AG400" t="s">
        <v>1824</v>
      </c>
      <c r="AI400" t="s">
        <v>4933</v>
      </c>
      <c r="AJ400" t="s">
        <v>829</v>
      </c>
      <c r="AK400" t="s">
        <v>99</v>
      </c>
      <c r="AL400" t="s">
        <v>4934</v>
      </c>
      <c r="AM400" t="s">
        <v>4935</v>
      </c>
      <c r="AN400" t="s">
        <v>2555</v>
      </c>
      <c r="AR400" t="s">
        <v>125</v>
      </c>
      <c r="AT400" t="s">
        <v>4936</v>
      </c>
      <c r="AV400" t="s">
        <v>128</v>
      </c>
      <c r="AZ400" t="s">
        <v>80</v>
      </c>
    </row>
    <row r="401" spans="1:52" hidden="1" x14ac:dyDescent="0.25">
      <c r="A401" t="s">
        <v>4937</v>
      </c>
      <c r="B401" t="s">
        <v>4938</v>
      </c>
      <c r="C401" t="s">
        <v>4931</v>
      </c>
      <c r="D401" t="s">
        <v>2544</v>
      </c>
      <c r="E401" t="s">
        <v>4939</v>
      </c>
      <c r="F401" t="s">
        <v>4940</v>
      </c>
      <c r="G401" t="s">
        <v>4940</v>
      </c>
      <c r="J401" t="s">
        <v>80</v>
      </c>
      <c r="K401" t="s">
        <v>110</v>
      </c>
      <c r="L401" t="s">
        <v>111</v>
      </c>
      <c r="M401">
        <v>69291</v>
      </c>
      <c r="P401" t="s">
        <v>154</v>
      </c>
      <c r="Q401" t="s">
        <v>539</v>
      </c>
      <c r="R401" t="s">
        <v>540</v>
      </c>
      <c r="S401" t="s">
        <v>541</v>
      </c>
      <c r="T401" t="s">
        <v>824</v>
      </c>
      <c r="U401" t="s">
        <v>4941</v>
      </c>
      <c r="V401" t="s">
        <v>4942</v>
      </c>
      <c r="W401" t="s">
        <v>752</v>
      </c>
      <c r="X401" t="s">
        <v>4943</v>
      </c>
      <c r="Y401" t="s">
        <v>93</v>
      </c>
      <c r="Z401" t="s">
        <v>119</v>
      </c>
      <c r="AA401" t="s">
        <v>4944</v>
      </c>
      <c r="AB401" t="s">
        <v>829</v>
      </c>
      <c r="AC401" t="s">
        <v>4945</v>
      </c>
      <c r="AD401" t="s">
        <v>119</v>
      </c>
      <c r="AE401" t="s">
        <v>4944</v>
      </c>
      <c r="AF401" t="s">
        <v>829</v>
      </c>
      <c r="AG401" t="s">
        <v>4945</v>
      </c>
      <c r="AI401" t="s">
        <v>4946</v>
      </c>
      <c r="AJ401" t="s">
        <v>119</v>
      </c>
      <c r="AK401" t="s">
        <v>99</v>
      </c>
      <c r="AL401" t="s">
        <v>4947</v>
      </c>
      <c r="AM401" t="s">
        <v>4928</v>
      </c>
      <c r="AN401" t="s">
        <v>2578</v>
      </c>
      <c r="AR401" t="s">
        <v>125</v>
      </c>
      <c r="AT401" t="s">
        <v>4948</v>
      </c>
      <c r="AV401" t="s">
        <v>128</v>
      </c>
      <c r="AZ401" t="s">
        <v>80</v>
      </c>
    </row>
    <row r="402" spans="1:52" hidden="1" x14ac:dyDescent="0.25">
      <c r="A402" t="s">
        <v>4949</v>
      </c>
      <c r="B402" t="s">
        <v>4938</v>
      </c>
      <c r="C402" t="s">
        <v>4950</v>
      </c>
      <c r="D402" t="s">
        <v>2544</v>
      </c>
      <c r="E402" t="s">
        <v>4951</v>
      </c>
      <c r="F402" t="s">
        <v>4940</v>
      </c>
      <c r="G402" t="s">
        <v>4940</v>
      </c>
      <c r="J402" t="s">
        <v>80</v>
      </c>
      <c r="K402" t="s">
        <v>110</v>
      </c>
      <c r="L402" t="s">
        <v>111</v>
      </c>
      <c r="M402">
        <v>69291</v>
      </c>
      <c r="P402" t="s">
        <v>154</v>
      </c>
      <c r="Q402" t="s">
        <v>539</v>
      </c>
      <c r="R402" t="s">
        <v>540</v>
      </c>
      <c r="S402" t="s">
        <v>541</v>
      </c>
      <c r="T402" t="s">
        <v>824</v>
      </c>
      <c r="U402" t="s">
        <v>4941</v>
      </c>
      <c r="V402" t="s">
        <v>4942</v>
      </c>
      <c r="W402" t="s">
        <v>737</v>
      </c>
      <c r="X402" t="s">
        <v>4952</v>
      </c>
      <c r="Y402" t="s">
        <v>93</v>
      </c>
      <c r="Z402" t="s">
        <v>119</v>
      </c>
      <c r="AA402" t="s">
        <v>4944</v>
      </c>
      <c r="AB402" t="s">
        <v>829</v>
      </c>
      <c r="AC402" t="s">
        <v>4945</v>
      </c>
      <c r="AD402" t="s">
        <v>119</v>
      </c>
      <c r="AE402" t="s">
        <v>4944</v>
      </c>
      <c r="AF402" t="s">
        <v>829</v>
      </c>
      <c r="AG402" t="s">
        <v>4945</v>
      </c>
      <c r="AI402" t="s">
        <v>4946</v>
      </c>
      <c r="AJ402" t="s">
        <v>119</v>
      </c>
      <c r="AK402" t="s">
        <v>99</v>
      </c>
      <c r="AL402" t="s">
        <v>4953</v>
      </c>
      <c r="AM402" t="s">
        <v>4928</v>
      </c>
      <c r="AN402" t="s">
        <v>2578</v>
      </c>
      <c r="AR402" t="s">
        <v>125</v>
      </c>
      <c r="AT402" t="s">
        <v>4954</v>
      </c>
      <c r="AV402" t="s">
        <v>128</v>
      </c>
      <c r="AZ402" t="s">
        <v>80</v>
      </c>
    </row>
    <row r="403" spans="1:52" hidden="1" x14ac:dyDescent="0.25">
      <c r="A403" t="s">
        <v>4955</v>
      </c>
      <c r="B403" t="s">
        <v>4956</v>
      </c>
      <c r="C403" t="s">
        <v>4957</v>
      </c>
      <c r="D403" t="s">
        <v>2544</v>
      </c>
      <c r="E403" t="s">
        <v>4958</v>
      </c>
      <c r="F403" t="s">
        <v>4959</v>
      </c>
      <c r="G403" t="s">
        <v>4959</v>
      </c>
      <c r="J403" t="s">
        <v>80</v>
      </c>
      <c r="K403" t="s">
        <v>110</v>
      </c>
      <c r="L403" t="s">
        <v>111</v>
      </c>
      <c r="M403">
        <v>69289</v>
      </c>
      <c r="P403" t="s">
        <v>154</v>
      </c>
      <c r="Q403" t="s">
        <v>1284</v>
      </c>
      <c r="R403" t="s">
        <v>1285</v>
      </c>
      <c r="S403" t="s">
        <v>1124</v>
      </c>
      <c r="T403" t="s">
        <v>2891</v>
      </c>
      <c r="U403" t="s">
        <v>4960</v>
      </c>
      <c r="V403" t="s">
        <v>4961</v>
      </c>
      <c r="W403" t="s">
        <v>752</v>
      </c>
      <c r="X403" t="s">
        <v>4962</v>
      </c>
      <c r="Y403" t="s">
        <v>93</v>
      </c>
      <c r="Z403" t="s">
        <v>119</v>
      </c>
      <c r="AA403" t="s">
        <v>4963</v>
      </c>
      <c r="AB403" t="s">
        <v>1486</v>
      </c>
      <c r="AC403" t="s">
        <v>4964</v>
      </c>
      <c r="AD403" t="s">
        <v>119</v>
      </c>
      <c r="AE403" t="s">
        <v>4963</v>
      </c>
      <c r="AF403" t="s">
        <v>1486</v>
      </c>
      <c r="AG403" t="s">
        <v>4964</v>
      </c>
      <c r="AI403" t="s">
        <v>4965</v>
      </c>
      <c r="AJ403" t="s">
        <v>119</v>
      </c>
      <c r="AK403" t="s">
        <v>99</v>
      </c>
      <c r="AL403" t="s">
        <v>4966</v>
      </c>
      <c r="AM403" t="s">
        <v>4967</v>
      </c>
      <c r="AN403" t="s">
        <v>2578</v>
      </c>
      <c r="AR403" t="s">
        <v>125</v>
      </c>
      <c r="AT403" t="s">
        <v>4968</v>
      </c>
      <c r="AV403" t="s">
        <v>128</v>
      </c>
      <c r="AZ403" t="s">
        <v>80</v>
      </c>
    </row>
    <row r="404" spans="1:52" hidden="1" x14ac:dyDescent="0.25">
      <c r="A404" t="s">
        <v>4969</v>
      </c>
      <c r="B404" t="s">
        <v>4956</v>
      </c>
      <c r="C404" t="s">
        <v>4970</v>
      </c>
      <c r="D404" t="s">
        <v>2544</v>
      </c>
      <c r="E404" t="s">
        <v>4971</v>
      </c>
      <c r="F404" t="s">
        <v>4959</v>
      </c>
      <c r="G404" t="s">
        <v>4959</v>
      </c>
      <c r="J404" t="s">
        <v>80</v>
      </c>
      <c r="K404" t="s">
        <v>110</v>
      </c>
      <c r="L404" t="s">
        <v>111</v>
      </c>
      <c r="M404">
        <v>69289</v>
      </c>
      <c r="P404" t="s">
        <v>154</v>
      </c>
      <c r="Q404" t="s">
        <v>1284</v>
      </c>
      <c r="R404" t="s">
        <v>1285</v>
      </c>
      <c r="S404" t="s">
        <v>1124</v>
      </c>
      <c r="T404" t="s">
        <v>2891</v>
      </c>
      <c r="U404" t="s">
        <v>4960</v>
      </c>
      <c r="V404" t="s">
        <v>4961</v>
      </c>
      <c r="W404" t="s">
        <v>737</v>
      </c>
      <c r="X404" t="s">
        <v>4972</v>
      </c>
      <c r="Y404" t="s">
        <v>93</v>
      </c>
      <c r="Z404" t="s">
        <v>119</v>
      </c>
      <c r="AA404" t="s">
        <v>4963</v>
      </c>
      <c r="AB404" t="s">
        <v>1486</v>
      </c>
      <c r="AC404" t="s">
        <v>4964</v>
      </c>
      <c r="AD404" t="s">
        <v>119</v>
      </c>
      <c r="AE404" t="s">
        <v>4963</v>
      </c>
      <c r="AF404" t="s">
        <v>1486</v>
      </c>
      <c r="AG404" t="s">
        <v>4964</v>
      </c>
      <c r="AI404" t="s">
        <v>4965</v>
      </c>
      <c r="AJ404" t="s">
        <v>119</v>
      </c>
      <c r="AK404" t="s">
        <v>99</v>
      </c>
      <c r="AL404" t="s">
        <v>4973</v>
      </c>
      <c r="AM404" t="s">
        <v>4967</v>
      </c>
      <c r="AN404" t="s">
        <v>2578</v>
      </c>
      <c r="AR404" t="s">
        <v>125</v>
      </c>
      <c r="AT404" t="s">
        <v>4974</v>
      </c>
      <c r="AV404" t="s">
        <v>128</v>
      </c>
      <c r="AZ404" t="s">
        <v>80</v>
      </c>
    </row>
    <row r="405" spans="1:52" hidden="1" x14ac:dyDescent="0.25">
      <c r="A405" t="s">
        <v>4975</v>
      </c>
      <c r="B405" t="s">
        <v>2594</v>
      </c>
      <c r="C405" t="s">
        <v>4970</v>
      </c>
      <c r="D405" t="s">
        <v>2544</v>
      </c>
      <c r="E405" t="s">
        <v>4976</v>
      </c>
      <c r="F405" t="s">
        <v>4977</v>
      </c>
      <c r="G405" t="s">
        <v>4977</v>
      </c>
      <c r="J405" t="s">
        <v>80</v>
      </c>
      <c r="K405" t="s">
        <v>110</v>
      </c>
      <c r="L405" t="s">
        <v>111</v>
      </c>
      <c r="M405">
        <v>69285</v>
      </c>
      <c r="P405" t="s">
        <v>154</v>
      </c>
      <c r="Q405" t="s">
        <v>731</v>
      </c>
      <c r="R405" t="s">
        <v>732</v>
      </c>
      <c r="S405" t="s">
        <v>541</v>
      </c>
      <c r="T405" t="s">
        <v>542</v>
      </c>
      <c r="U405" t="s">
        <v>675</v>
      </c>
      <c r="V405" t="s">
        <v>2598</v>
      </c>
      <c r="W405" t="s">
        <v>4978</v>
      </c>
      <c r="X405" t="s">
        <v>4979</v>
      </c>
      <c r="Y405" t="s">
        <v>93</v>
      </c>
      <c r="Z405" t="s">
        <v>119</v>
      </c>
      <c r="AA405" t="s">
        <v>2459</v>
      </c>
      <c r="AB405" t="s">
        <v>548</v>
      </c>
      <c r="AC405" t="s">
        <v>2601</v>
      </c>
      <c r="AD405" t="s">
        <v>119</v>
      </c>
      <c r="AE405" t="s">
        <v>2459</v>
      </c>
      <c r="AF405" t="s">
        <v>548</v>
      </c>
      <c r="AG405" t="s">
        <v>2601</v>
      </c>
      <c r="AI405" t="s">
        <v>2460</v>
      </c>
      <c r="AJ405" t="s">
        <v>119</v>
      </c>
      <c r="AK405" t="s">
        <v>99</v>
      </c>
      <c r="AL405" t="s">
        <v>4980</v>
      </c>
      <c r="AM405" t="s">
        <v>4981</v>
      </c>
      <c r="AN405" t="s">
        <v>2555</v>
      </c>
      <c r="AR405" t="s">
        <v>125</v>
      </c>
      <c r="AT405" t="s">
        <v>4982</v>
      </c>
      <c r="AV405" t="s">
        <v>128</v>
      </c>
      <c r="AZ405" t="s">
        <v>80</v>
      </c>
    </row>
    <row r="406" spans="1:52" hidden="1" x14ac:dyDescent="0.25">
      <c r="A406" t="s">
        <v>4983</v>
      </c>
      <c r="B406" t="s">
        <v>4984</v>
      </c>
      <c r="C406" t="s">
        <v>4985</v>
      </c>
      <c r="D406" t="s">
        <v>2544</v>
      </c>
      <c r="E406" t="s">
        <v>4986</v>
      </c>
      <c r="F406" t="s">
        <v>4987</v>
      </c>
      <c r="G406" t="s">
        <v>4987</v>
      </c>
      <c r="J406" t="s">
        <v>80</v>
      </c>
      <c r="K406" t="s">
        <v>110</v>
      </c>
      <c r="L406" t="s">
        <v>111</v>
      </c>
      <c r="M406">
        <v>69281</v>
      </c>
      <c r="P406" t="s">
        <v>154</v>
      </c>
      <c r="Q406" t="s">
        <v>731</v>
      </c>
      <c r="R406" t="s">
        <v>732</v>
      </c>
      <c r="S406" t="s">
        <v>733</v>
      </c>
      <c r="T406" t="s">
        <v>824</v>
      </c>
      <c r="U406" t="s">
        <v>3470</v>
      </c>
      <c r="V406" t="s">
        <v>4942</v>
      </c>
      <c r="W406" t="s">
        <v>4835</v>
      </c>
      <c r="X406" t="s">
        <v>828</v>
      </c>
      <c r="Y406" t="s">
        <v>93</v>
      </c>
      <c r="Z406" t="s">
        <v>119</v>
      </c>
      <c r="AA406" t="s">
        <v>4988</v>
      </c>
      <c r="AB406" t="s">
        <v>829</v>
      </c>
      <c r="AC406" t="s">
        <v>1786</v>
      </c>
      <c r="AD406" t="s">
        <v>119</v>
      </c>
      <c r="AE406" t="s">
        <v>4988</v>
      </c>
      <c r="AF406" t="s">
        <v>829</v>
      </c>
      <c r="AG406" t="s">
        <v>1786</v>
      </c>
      <c r="AI406" t="s">
        <v>4989</v>
      </c>
      <c r="AJ406" t="s">
        <v>119</v>
      </c>
      <c r="AK406" t="s">
        <v>99</v>
      </c>
      <c r="AL406" t="s">
        <v>4990</v>
      </c>
      <c r="AM406" t="s">
        <v>4991</v>
      </c>
      <c r="AN406" t="s">
        <v>2578</v>
      </c>
      <c r="AR406" t="s">
        <v>125</v>
      </c>
      <c r="AT406" t="s">
        <v>4992</v>
      </c>
      <c r="AV406" t="s">
        <v>128</v>
      </c>
      <c r="AZ406" t="s">
        <v>80</v>
      </c>
    </row>
    <row r="407" spans="1:52" hidden="1" x14ac:dyDescent="0.25">
      <c r="A407" t="s">
        <v>4993</v>
      </c>
      <c r="B407" t="s">
        <v>4984</v>
      </c>
      <c r="C407" t="s">
        <v>4994</v>
      </c>
      <c r="D407" t="s">
        <v>2544</v>
      </c>
      <c r="E407" t="s">
        <v>4995</v>
      </c>
      <c r="F407" t="s">
        <v>4987</v>
      </c>
      <c r="G407" t="s">
        <v>4987</v>
      </c>
      <c r="J407" t="s">
        <v>80</v>
      </c>
      <c r="K407" t="s">
        <v>110</v>
      </c>
      <c r="L407" t="s">
        <v>111</v>
      </c>
      <c r="M407">
        <v>69281</v>
      </c>
      <c r="P407" t="s">
        <v>154</v>
      </c>
      <c r="Q407" t="s">
        <v>731</v>
      </c>
      <c r="R407" t="s">
        <v>732</v>
      </c>
      <c r="S407" t="s">
        <v>733</v>
      </c>
      <c r="T407" t="s">
        <v>824</v>
      </c>
      <c r="U407" t="s">
        <v>3470</v>
      </c>
      <c r="V407" t="s">
        <v>4942</v>
      </c>
      <c r="W407" t="s">
        <v>4824</v>
      </c>
      <c r="X407" t="s">
        <v>842</v>
      </c>
      <c r="Y407" t="s">
        <v>93</v>
      </c>
      <c r="Z407" t="s">
        <v>119</v>
      </c>
      <c r="AA407" t="s">
        <v>4988</v>
      </c>
      <c r="AB407" t="s">
        <v>829</v>
      </c>
      <c r="AC407" t="s">
        <v>1786</v>
      </c>
      <c r="AD407" t="s">
        <v>119</v>
      </c>
      <c r="AE407" t="s">
        <v>4988</v>
      </c>
      <c r="AF407" t="s">
        <v>829</v>
      </c>
      <c r="AG407" t="s">
        <v>1786</v>
      </c>
      <c r="AI407" t="s">
        <v>4989</v>
      </c>
      <c r="AJ407" t="s">
        <v>119</v>
      </c>
      <c r="AK407" t="s">
        <v>99</v>
      </c>
      <c r="AL407" t="s">
        <v>4996</v>
      </c>
      <c r="AM407" t="s">
        <v>4997</v>
      </c>
      <c r="AN407" t="s">
        <v>2578</v>
      </c>
      <c r="AR407" t="s">
        <v>125</v>
      </c>
      <c r="AT407" t="s">
        <v>4998</v>
      </c>
      <c r="AV407" t="s">
        <v>128</v>
      </c>
      <c r="AZ407" t="s">
        <v>80</v>
      </c>
    </row>
    <row r="408" spans="1:52" hidden="1" x14ac:dyDescent="0.25">
      <c r="A408" t="s">
        <v>4999</v>
      </c>
      <c r="B408" t="s">
        <v>5000</v>
      </c>
      <c r="C408" t="s">
        <v>4994</v>
      </c>
      <c r="D408" t="s">
        <v>2544</v>
      </c>
      <c r="E408" t="s">
        <v>5001</v>
      </c>
      <c r="F408" t="s">
        <v>5002</v>
      </c>
      <c r="G408" t="s">
        <v>5002</v>
      </c>
      <c r="J408" t="s">
        <v>80</v>
      </c>
      <c r="K408" t="s">
        <v>110</v>
      </c>
      <c r="L408" t="s">
        <v>111</v>
      </c>
      <c r="M408">
        <v>69279</v>
      </c>
      <c r="P408" t="s">
        <v>154</v>
      </c>
      <c r="Q408" t="s">
        <v>731</v>
      </c>
      <c r="R408" t="s">
        <v>732</v>
      </c>
      <c r="S408" t="s">
        <v>733</v>
      </c>
      <c r="T408" t="s">
        <v>824</v>
      </c>
      <c r="U408" t="s">
        <v>3470</v>
      </c>
      <c r="V408" t="s">
        <v>4942</v>
      </c>
      <c r="W408" t="s">
        <v>2116</v>
      </c>
      <c r="X408" t="s">
        <v>4201</v>
      </c>
      <c r="Y408" t="s">
        <v>93</v>
      </c>
      <c r="Z408" t="s">
        <v>119</v>
      </c>
      <c r="AA408" t="s">
        <v>4988</v>
      </c>
      <c r="AB408" t="s">
        <v>829</v>
      </c>
      <c r="AC408" t="s">
        <v>1786</v>
      </c>
      <c r="AD408" t="s">
        <v>119</v>
      </c>
      <c r="AE408" t="s">
        <v>4988</v>
      </c>
      <c r="AF408" t="s">
        <v>829</v>
      </c>
      <c r="AG408" t="s">
        <v>1786</v>
      </c>
      <c r="AI408" t="s">
        <v>5003</v>
      </c>
      <c r="AJ408" t="s">
        <v>119</v>
      </c>
      <c r="AK408" t="s">
        <v>99</v>
      </c>
      <c r="AL408" t="s">
        <v>5004</v>
      </c>
      <c r="AM408" t="s">
        <v>5005</v>
      </c>
      <c r="AN408" t="s">
        <v>2555</v>
      </c>
      <c r="AR408" t="s">
        <v>125</v>
      </c>
      <c r="AT408" t="s">
        <v>5006</v>
      </c>
      <c r="AV408" t="s">
        <v>128</v>
      </c>
      <c r="AZ408" t="s">
        <v>80</v>
      </c>
    </row>
    <row r="409" spans="1:52" hidden="1" x14ac:dyDescent="0.25">
      <c r="A409" t="s">
        <v>5007</v>
      </c>
      <c r="B409" t="s">
        <v>5000</v>
      </c>
      <c r="C409" t="s">
        <v>4994</v>
      </c>
      <c r="D409" t="s">
        <v>2544</v>
      </c>
      <c r="E409" t="s">
        <v>5008</v>
      </c>
      <c r="F409" t="s">
        <v>5002</v>
      </c>
      <c r="G409" t="s">
        <v>5002</v>
      </c>
      <c r="J409" t="s">
        <v>80</v>
      </c>
      <c r="K409" t="s">
        <v>110</v>
      </c>
      <c r="L409" t="s">
        <v>111</v>
      </c>
      <c r="M409">
        <v>69279</v>
      </c>
      <c r="P409" t="s">
        <v>154</v>
      </c>
      <c r="Q409" t="s">
        <v>731</v>
      </c>
      <c r="R409" t="s">
        <v>732</v>
      </c>
      <c r="S409" t="s">
        <v>733</v>
      </c>
      <c r="T409" t="s">
        <v>824</v>
      </c>
      <c r="U409" t="s">
        <v>3470</v>
      </c>
      <c r="V409" t="s">
        <v>4942</v>
      </c>
      <c r="W409" t="s">
        <v>2129</v>
      </c>
      <c r="X409" t="s">
        <v>4924</v>
      </c>
      <c r="Y409" t="s">
        <v>93</v>
      </c>
      <c r="Z409" t="s">
        <v>119</v>
      </c>
      <c r="AA409" t="s">
        <v>4988</v>
      </c>
      <c r="AB409" t="s">
        <v>829</v>
      </c>
      <c r="AC409" t="s">
        <v>1786</v>
      </c>
      <c r="AD409" t="s">
        <v>119</v>
      </c>
      <c r="AE409" t="s">
        <v>4988</v>
      </c>
      <c r="AF409" t="s">
        <v>829</v>
      </c>
      <c r="AG409" t="s">
        <v>1786</v>
      </c>
      <c r="AI409" t="s">
        <v>5003</v>
      </c>
      <c r="AJ409" t="s">
        <v>119</v>
      </c>
      <c r="AK409" t="s">
        <v>99</v>
      </c>
      <c r="AL409" t="s">
        <v>5009</v>
      </c>
      <c r="AM409" t="s">
        <v>4991</v>
      </c>
      <c r="AN409" t="s">
        <v>2555</v>
      </c>
      <c r="AR409" t="s">
        <v>125</v>
      </c>
      <c r="AT409" t="s">
        <v>5010</v>
      </c>
      <c r="AV409" t="s">
        <v>128</v>
      </c>
      <c r="AZ409" t="s">
        <v>80</v>
      </c>
    </row>
    <row r="410" spans="1:52" hidden="1" x14ac:dyDescent="0.25">
      <c r="A410" t="s">
        <v>5011</v>
      </c>
      <c r="B410" t="s">
        <v>5012</v>
      </c>
      <c r="C410" t="s">
        <v>5013</v>
      </c>
      <c r="D410" t="s">
        <v>2544</v>
      </c>
      <c r="E410" t="s">
        <v>5014</v>
      </c>
      <c r="F410" t="s">
        <v>5015</v>
      </c>
      <c r="G410" t="s">
        <v>5015</v>
      </c>
      <c r="J410" t="s">
        <v>80</v>
      </c>
      <c r="K410" t="s">
        <v>110</v>
      </c>
      <c r="L410" t="s">
        <v>111</v>
      </c>
      <c r="M410">
        <v>69273</v>
      </c>
      <c r="P410" t="s">
        <v>154</v>
      </c>
      <c r="Q410" t="s">
        <v>1284</v>
      </c>
      <c r="R410" t="s">
        <v>1285</v>
      </c>
      <c r="S410" t="s">
        <v>733</v>
      </c>
      <c r="T410" t="s">
        <v>824</v>
      </c>
      <c r="U410" t="s">
        <v>4923</v>
      </c>
      <c r="V410" t="s">
        <v>2456</v>
      </c>
      <c r="W410" t="s">
        <v>2116</v>
      </c>
      <c r="X410" t="s">
        <v>4201</v>
      </c>
      <c r="Y410" t="s">
        <v>93</v>
      </c>
      <c r="Z410" t="s">
        <v>119</v>
      </c>
      <c r="AA410" t="s">
        <v>3109</v>
      </c>
      <c r="AB410" t="s">
        <v>829</v>
      </c>
      <c r="AC410" t="s">
        <v>5016</v>
      </c>
      <c r="AD410" t="s">
        <v>119</v>
      </c>
      <c r="AE410" t="s">
        <v>3109</v>
      </c>
      <c r="AF410" t="s">
        <v>829</v>
      </c>
      <c r="AG410" t="s">
        <v>5016</v>
      </c>
      <c r="AI410" t="s">
        <v>3460</v>
      </c>
      <c r="AJ410" t="s">
        <v>119</v>
      </c>
      <c r="AK410" t="s">
        <v>99</v>
      </c>
      <c r="AL410" t="s">
        <v>5017</v>
      </c>
      <c r="AM410" t="s">
        <v>5018</v>
      </c>
      <c r="AN410" t="s">
        <v>2555</v>
      </c>
      <c r="AR410" t="s">
        <v>125</v>
      </c>
      <c r="AT410" t="s">
        <v>5019</v>
      </c>
      <c r="AV410" t="s">
        <v>128</v>
      </c>
      <c r="AZ410" t="s">
        <v>80</v>
      </c>
    </row>
    <row r="411" spans="1:52" hidden="1" x14ac:dyDescent="0.25">
      <c r="A411" t="s">
        <v>5020</v>
      </c>
      <c r="B411" t="s">
        <v>5012</v>
      </c>
      <c r="C411" t="s">
        <v>5013</v>
      </c>
      <c r="D411" t="s">
        <v>2544</v>
      </c>
      <c r="E411" t="s">
        <v>5021</v>
      </c>
      <c r="F411" t="s">
        <v>5015</v>
      </c>
      <c r="G411" t="s">
        <v>5015</v>
      </c>
      <c r="J411" t="s">
        <v>80</v>
      </c>
      <c r="K411" t="s">
        <v>110</v>
      </c>
      <c r="L411" t="s">
        <v>111</v>
      </c>
      <c r="M411">
        <v>69273</v>
      </c>
      <c r="P411" t="s">
        <v>154</v>
      </c>
      <c r="Q411" t="s">
        <v>1284</v>
      </c>
      <c r="R411" t="s">
        <v>1285</v>
      </c>
      <c r="S411" t="s">
        <v>733</v>
      </c>
      <c r="T411" t="s">
        <v>824</v>
      </c>
      <c r="U411" t="s">
        <v>4923</v>
      </c>
      <c r="V411" t="s">
        <v>2456</v>
      </c>
      <c r="W411" t="s">
        <v>2129</v>
      </c>
      <c r="X411" t="s">
        <v>4924</v>
      </c>
      <c r="Y411" t="s">
        <v>93</v>
      </c>
      <c r="Z411" t="s">
        <v>119</v>
      </c>
      <c r="AA411" t="s">
        <v>3109</v>
      </c>
      <c r="AB411" t="s">
        <v>829</v>
      </c>
      <c r="AC411" t="s">
        <v>5016</v>
      </c>
      <c r="AD411" t="s">
        <v>119</v>
      </c>
      <c r="AE411" t="s">
        <v>3109</v>
      </c>
      <c r="AF411" t="s">
        <v>829</v>
      </c>
      <c r="AG411" t="s">
        <v>5016</v>
      </c>
      <c r="AI411" t="s">
        <v>3460</v>
      </c>
      <c r="AJ411" t="s">
        <v>119</v>
      </c>
      <c r="AK411" t="s">
        <v>99</v>
      </c>
      <c r="AL411" t="s">
        <v>5022</v>
      </c>
      <c r="AM411" t="s">
        <v>5018</v>
      </c>
      <c r="AN411" t="s">
        <v>2555</v>
      </c>
      <c r="AR411" t="s">
        <v>125</v>
      </c>
      <c r="AT411" t="s">
        <v>5023</v>
      </c>
      <c r="AV411" t="s">
        <v>128</v>
      </c>
      <c r="AZ411" t="s">
        <v>80</v>
      </c>
    </row>
    <row r="412" spans="1:52" hidden="1" x14ac:dyDescent="0.25">
      <c r="A412" t="s">
        <v>5024</v>
      </c>
      <c r="B412" t="s">
        <v>5025</v>
      </c>
      <c r="C412" t="s">
        <v>5013</v>
      </c>
      <c r="D412" t="s">
        <v>2544</v>
      </c>
      <c r="E412" t="s">
        <v>5026</v>
      </c>
      <c r="F412" t="s">
        <v>5027</v>
      </c>
      <c r="G412" t="s">
        <v>5027</v>
      </c>
      <c r="J412" t="s">
        <v>80</v>
      </c>
      <c r="K412" t="s">
        <v>110</v>
      </c>
      <c r="L412" t="s">
        <v>111</v>
      </c>
      <c r="M412">
        <v>69112</v>
      </c>
      <c r="O412" t="s">
        <v>1139</v>
      </c>
      <c r="P412" t="s">
        <v>212</v>
      </c>
      <c r="Q412" t="s">
        <v>1284</v>
      </c>
      <c r="R412" t="s">
        <v>1285</v>
      </c>
      <c r="S412" t="s">
        <v>541</v>
      </c>
      <c r="T412" t="s">
        <v>824</v>
      </c>
      <c r="U412" t="s">
        <v>5028</v>
      </c>
      <c r="V412" t="s">
        <v>5029</v>
      </c>
      <c r="W412" t="s">
        <v>737</v>
      </c>
      <c r="X412" t="s">
        <v>4952</v>
      </c>
      <c r="Y412" t="s">
        <v>93</v>
      </c>
      <c r="Z412" t="s">
        <v>829</v>
      </c>
      <c r="AA412" t="s">
        <v>1656</v>
      </c>
      <c r="AB412" t="s">
        <v>119</v>
      </c>
      <c r="AC412" t="s">
        <v>5030</v>
      </c>
      <c r="AD412" t="s">
        <v>829</v>
      </c>
      <c r="AE412" t="s">
        <v>1656</v>
      </c>
      <c r="AF412" t="s">
        <v>119</v>
      </c>
      <c r="AG412" t="s">
        <v>5030</v>
      </c>
      <c r="AI412" t="s">
        <v>801</v>
      </c>
      <c r="AJ412" t="s">
        <v>829</v>
      </c>
      <c r="AK412" t="s">
        <v>99</v>
      </c>
      <c r="AL412" t="s">
        <v>5031</v>
      </c>
      <c r="AM412" t="s">
        <v>5018</v>
      </c>
      <c r="AN412" t="s">
        <v>2555</v>
      </c>
      <c r="AR412" t="s">
        <v>125</v>
      </c>
      <c r="AT412" t="s">
        <v>5032</v>
      </c>
      <c r="AV412" t="s">
        <v>190</v>
      </c>
      <c r="AZ412" t="s">
        <v>80</v>
      </c>
    </row>
    <row r="413" spans="1:52" hidden="1" x14ac:dyDescent="0.25">
      <c r="A413" t="s">
        <v>5033</v>
      </c>
      <c r="B413" t="s">
        <v>5025</v>
      </c>
      <c r="C413" t="s">
        <v>5034</v>
      </c>
      <c r="D413" t="s">
        <v>2544</v>
      </c>
      <c r="E413" t="s">
        <v>5035</v>
      </c>
      <c r="F413" t="s">
        <v>5027</v>
      </c>
      <c r="G413" t="s">
        <v>5027</v>
      </c>
      <c r="J413" t="s">
        <v>80</v>
      </c>
      <c r="K413" t="s">
        <v>110</v>
      </c>
      <c r="L413" t="s">
        <v>111</v>
      </c>
      <c r="M413">
        <v>69112</v>
      </c>
      <c r="O413" t="s">
        <v>1139</v>
      </c>
      <c r="P413" t="s">
        <v>212</v>
      </c>
      <c r="Q413" t="s">
        <v>1284</v>
      </c>
      <c r="R413" t="s">
        <v>1285</v>
      </c>
      <c r="S413" t="s">
        <v>541</v>
      </c>
      <c r="T413" t="s">
        <v>824</v>
      </c>
      <c r="U413" t="s">
        <v>5028</v>
      </c>
      <c r="V413" t="s">
        <v>5029</v>
      </c>
      <c r="W413" t="s">
        <v>752</v>
      </c>
      <c r="X413" t="s">
        <v>4943</v>
      </c>
      <c r="Y413" t="s">
        <v>93</v>
      </c>
      <c r="Z413" t="s">
        <v>829</v>
      </c>
      <c r="AA413" t="s">
        <v>1656</v>
      </c>
      <c r="AB413" t="s">
        <v>119</v>
      </c>
      <c r="AC413" t="s">
        <v>5030</v>
      </c>
      <c r="AD413" t="s">
        <v>829</v>
      </c>
      <c r="AE413" t="s">
        <v>1656</v>
      </c>
      <c r="AF413" t="s">
        <v>119</v>
      </c>
      <c r="AG413" t="s">
        <v>5030</v>
      </c>
      <c r="AI413" t="s">
        <v>1658</v>
      </c>
      <c r="AJ413" t="s">
        <v>829</v>
      </c>
      <c r="AK413" t="s">
        <v>99</v>
      </c>
      <c r="AL413" t="s">
        <v>5036</v>
      </c>
      <c r="AM413" t="s">
        <v>5018</v>
      </c>
      <c r="AN413" t="s">
        <v>2555</v>
      </c>
      <c r="AR413" t="s">
        <v>125</v>
      </c>
      <c r="AT413" t="s">
        <v>5037</v>
      </c>
      <c r="AV413" t="s">
        <v>190</v>
      </c>
      <c r="AZ413" t="s">
        <v>80</v>
      </c>
    </row>
    <row r="414" spans="1:52" hidden="1" x14ac:dyDescent="0.25">
      <c r="A414" t="s">
        <v>5038</v>
      </c>
      <c r="B414" t="s">
        <v>2887</v>
      </c>
      <c r="C414" t="s">
        <v>5039</v>
      </c>
      <c r="D414" t="s">
        <v>2544</v>
      </c>
      <c r="E414" t="s">
        <v>5040</v>
      </c>
      <c r="F414" t="s">
        <v>5041</v>
      </c>
      <c r="G414" t="s">
        <v>5041</v>
      </c>
      <c r="J414" t="s">
        <v>80</v>
      </c>
      <c r="K414" t="s">
        <v>110</v>
      </c>
      <c r="L414" t="s">
        <v>111</v>
      </c>
      <c r="M414">
        <v>69228</v>
      </c>
      <c r="P414" t="s">
        <v>154</v>
      </c>
      <c r="Q414" t="s">
        <v>1284</v>
      </c>
      <c r="R414" t="s">
        <v>1285</v>
      </c>
      <c r="S414" t="s">
        <v>1124</v>
      </c>
      <c r="T414" t="s">
        <v>2891</v>
      </c>
      <c r="U414" t="s">
        <v>2892</v>
      </c>
      <c r="V414" t="s">
        <v>736</v>
      </c>
      <c r="W414" t="s">
        <v>4824</v>
      </c>
      <c r="X414" t="s">
        <v>5042</v>
      </c>
      <c r="Y414" t="s">
        <v>93</v>
      </c>
      <c r="Z414" t="s">
        <v>1486</v>
      </c>
      <c r="AA414" t="s">
        <v>1515</v>
      </c>
      <c r="AB414" t="s">
        <v>119</v>
      </c>
      <c r="AC414" t="s">
        <v>2895</v>
      </c>
      <c r="AD414" t="s">
        <v>1486</v>
      </c>
      <c r="AE414" t="s">
        <v>1515</v>
      </c>
      <c r="AF414" t="s">
        <v>119</v>
      </c>
      <c r="AG414" t="s">
        <v>2895</v>
      </c>
      <c r="AI414" t="s">
        <v>5043</v>
      </c>
      <c r="AJ414" t="s">
        <v>1486</v>
      </c>
      <c r="AK414" t="s">
        <v>99</v>
      </c>
      <c r="AL414" t="s">
        <v>5044</v>
      </c>
      <c r="AM414" t="s">
        <v>5045</v>
      </c>
      <c r="AN414" t="s">
        <v>2578</v>
      </c>
      <c r="AR414" t="s">
        <v>125</v>
      </c>
      <c r="AT414" t="s">
        <v>5046</v>
      </c>
      <c r="AV414" t="s">
        <v>128</v>
      </c>
      <c r="AZ414" t="s">
        <v>80</v>
      </c>
    </row>
    <row r="415" spans="1:52" hidden="1" x14ac:dyDescent="0.25">
      <c r="A415" t="s">
        <v>5047</v>
      </c>
      <c r="B415" t="s">
        <v>2887</v>
      </c>
      <c r="C415" t="s">
        <v>5039</v>
      </c>
      <c r="D415" t="s">
        <v>2544</v>
      </c>
      <c r="E415" t="s">
        <v>5048</v>
      </c>
      <c r="F415" t="s">
        <v>5041</v>
      </c>
      <c r="G415" t="s">
        <v>5041</v>
      </c>
      <c r="J415" t="s">
        <v>80</v>
      </c>
      <c r="K415" t="s">
        <v>110</v>
      </c>
      <c r="L415" t="s">
        <v>111</v>
      </c>
      <c r="M415">
        <v>69228</v>
      </c>
      <c r="P415" t="s">
        <v>154</v>
      </c>
      <c r="Q415" t="s">
        <v>1284</v>
      </c>
      <c r="R415" t="s">
        <v>1285</v>
      </c>
      <c r="S415" t="s">
        <v>1124</v>
      </c>
      <c r="T415" t="s">
        <v>2891</v>
      </c>
      <c r="U415" t="s">
        <v>2892</v>
      </c>
      <c r="V415" t="s">
        <v>736</v>
      </c>
      <c r="W415" t="s">
        <v>4835</v>
      </c>
      <c r="X415" t="s">
        <v>5049</v>
      </c>
      <c r="Y415" t="s">
        <v>93</v>
      </c>
      <c r="Z415" t="s">
        <v>1486</v>
      </c>
      <c r="AA415" t="s">
        <v>1515</v>
      </c>
      <c r="AB415" t="s">
        <v>119</v>
      </c>
      <c r="AC415" t="s">
        <v>2895</v>
      </c>
      <c r="AD415" t="s">
        <v>1486</v>
      </c>
      <c r="AE415" t="s">
        <v>1515</v>
      </c>
      <c r="AF415" t="s">
        <v>119</v>
      </c>
      <c r="AG415" t="s">
        <v>2895</v>
      </c>
      <c r="AI415" t="s">
        <v>5050</v>
      </c>
      <c r="AJ415" t="s">
        <v>1486</v>
      </c>
      <c r="AK415" t="s">
        <v>99</v>
      </c>
      <c r="AL415" t="s">
        <v>5051</v>
      </c>
      <c r="AM415" t="s">
        <v>5045</v>
      </c>
      <c r="AN415" t="s">
        <v>2578</v>
      </c>
      <c r="AR415" t="s">
        <v>125</v>
      </c>
      <c r="AT415" t="s">
        <v>5052</v>
      </c>
      <c r="AV415" t="s">
        <v>128</v>
      </c>
      <c r="AZ415" t="s">
        <v>80</v>
      </c>
    </row>
    <row r="416" spans="1:52" hidden="1" x14ac:dyDescent="0.25">
      <c r="A416" t="s">
        <v>5053</v>
      </c>
      <c r="B416" t="s">
        <v>2932</v>
      </c>
      <c r="C416" t="s">
        <v>5054</v>
      </c>
      <c r="D416" t="s">
        <v>2544</v>
      </c>
      <c r="E416" t="s">
        <v>5055</v>
      </c>
      <c r="F416" t="s">
        <v>2935</v>
      </c>
      <c r="G416" t="s">
        <v>2935</v>
      </c>
      <c r="J416" t="s">
        <v>80</v>
      </c>
      <c r="K416" t="s">
        <v>110</v>
      </c>
      <c r="L416" t="s">
        <v>111</v>
      </c>
      <c r="M416">
        <v>69224</v>
      </c>
      <c r="P416" t="s">
        <v>154</v>
      </c>
      <c r="Q416" t="s">
        <v>731</v>
      </c>
      <c r="R416" t="s">
        <v>732</v>
      </c>
      <c r="S416" t="s">
        <v>733</v>
      </c>
      <c r="T416" t="s">
        <v>824</v>
      </c>
      <c r="U416" t="s">
        <v>1955</v>
      </c>
      <c r="V416" t="s">
        <v>2936</v>
      </c>
      <c r="W416" t="s">
        <v>737</v>
      </c>
      <c r="X416" t="s">
        <v>4952</v>
      </c>
      <c r="Y416" t="s">
        <v>93</v>
      </c>
      <c r="Z416" t="s">
        <v>829</v>
      </c>
      <c r="AA416" t="s">
        <v>2937</v>
      </c>
      <c r="AB416" t="s">
        <v>119</v>
      </c>
      <c r="AC416" t="s">
        <v>2938</v>
      </c>
      <c r="AD416" t="s">
        <v>829</v>
      </c>
      <c r="AE416" t="s">
        <v>2937</v>
      </c>
      <c r="AF416" t="s">
        <v>119</v>
      </c>
      <c r="AG416" t="s">
        <v>2938</v>
      </c>
      <c r="AI416" t="s">
        <v>5056</v>
      </c>
      <c r="AJ416" t="s">
        <v>829</v>
      </c>
      <c r="AK416" t="s">
        <v>99</v>
      </c>
      <c r="AL416" t="s">
        <v>5057</v>
      </c>
      <c r="AM416" t="s">
        <v>2941</v>
      </c>
      <c r="AN416" t="s">
        <v>2578</v>
      </c>
      <c r="AR416" t="s">
        <v>125</v>
      </c>
      <c r="AT416" t="s">
        <v>5058</v>
      </c>
      <c r="AV416" t="s">
        <v>128</v>
      </c>
      <c r="AZ416" t="s">
        <v>80</v>
      </c>
    </row>
    <row r="417" spans="1:52" hidden="1" x14ac:dyDescent="0.25">
      <c r="A417" t="s">
        <v>5059</v>
      </c>
      <c r="B417" t="s">
        <v>2932</v>
      </c>
      <c r="C417" t="s">
        <v>5054</v>
      </c>
      <c r="D417" t="s">
        <v>2544</v>
      </c>
      <c r="E417" t="s">
        <v>5060</v>
      </c>
      <c r="F417" t="s">
        <v>2935</v>
      </c>
      <c r="G417" t="s">
        <v>2935</v>
      </c>
      <c r="J417" t="s">
        <v>80</v>
      </c>
      <c r="K417" t="s">
        <v>110</v>
      </c>
      <c r="L417" t="s">
        <v>111</v>
      </c>
      <c r="M417">
        <v>69224</v>
      </c>
      <c r="P417" t="s">
        <v>154</v>
      </c>
      <c r="Q417" t="s">
        <v>731</v>
      </c>
      <c r="R417" t="s">
        <v>732</v>
      </c>
      <c r="S417" t="s">
        <v>733</v>
      </c>
      <c r="T417" t="s">
        <v>824</v>
      </c>
      <c r="U417" t="s">
        <v>1955</v>
      </c>
      <c r="V417" t="s">
        <v>2936</v>
      </c>
      <c r="W417" t="s">
        <v>896</v>
      </c>
      <c r="X417" t="s">
        <v>2458</v>
      </c>
      <c r="Y417" t="s">
        <v>93</v>
      </c>
      <c r="Z417" t="s">
        <v>829</v>
      </c>
      <c r="AA417" t="s">
        <v>2937</v>
      </c>
      <c r="AB417" t="s">
        <v>119</v>
      </c>
      <c r="AC417" t="s">
        <v>2938</v>
      </c>
      <c r="AD417" t="s">
        <v>829</v>
      </c>
      <c r="AE417" t="s">
        <v>2937</v>
      </c>
      <c r="AF417" t="s">
        <v>119</v>
      </c>
      <c r="AG417" t="s">
        <v>2938</v>
      </c>
      <c r="AI417" t="s">
        <v>5061</v>
      </c>
      <c r="AJ417" t="s">
        <v>829</v>
      </c>
      <c r="AK417" t="s">
        <v>99</v>
      </c>
      <c r="AL417" t="s">
        <v>5062</v>
      </c>
      <c r="AM417" t="s">
        <v>2941</v>
      </c>
      <c r="AN417" t="s">
        <v>2578</v>
      </c>
      <c r="AR417" t="s">
        <v>125</v>
      </c>
      <c r="AT417" t="s">
        <v>5063</v>
      </c>
      <c r="AV417" t="s">
        <v>128</v>
      </c>
      <c r="AZ417" t="s">
        <v>80</v>
      </c>
    </row>
    <row r="418" spans="1:52" hidden="1" x14ac:dyDescent="0.25">
      <c r="A418" t="s">
        <v>5064</v>
      </c>
      <c r="B418" t="s">
        <v>5065</v>
      </c>
      <c r="C418" t="s">
        <v>5054</v>
      </c>
      <c r="D418" t="s">
        <v>2544</v>
      </c>
      <c r="E418" t="s">
        <v>5066</v>
      </c>
      <c r="F418" t="s">
        <v>5067</v>
      </c>
      <c r="G418" t="s">
        <v>5067</v>
      </c>
      <c r="J418" t="s">
        <v>80</v>
      </c>
      <c r="K418" t="s">
        <v>110</v>
      </c>
      <c r="L418" t="s">
        <v>111</v>
      </c>
      <c r="M418">
        <v>69253</v>
      </c>
      <c r="P418" t="s">
        <v>154</v>
      </c>
      <c r="Q418" t="s">
        <v>1284</v>
      </c>
      <c r="R418" t="s">
        <v>1285</v>
      </c>
      <c r="S418" t="s">
        <v>1124</v>
      </c>
      <c r="T418" t="s">
        <v>824</v>
      </c>
      <c r="U418" t="s">
        <v>795</v>
      </c>
      <c r="V418" t="s">
        <v>2598</v>
      </c>
      <c r="W418" t="s">
        <v>2116</v>
      </c>
      <c r="X418" t="s">
        <v>4201</v>
      </c>
      <c r="Y418" t="s">
        <v>93</v>
      </c>
      <c r="Z418" t="s">
        <v>119</v>
      </c>
      <c r="AA418" t="s">
        <v>4113</v>
      </c>
      <c r="AB418" t="s">
        <v>829</v>
      </c>
      <c r="AC418" t="s">
        <v>1487</v>
      </c>
      <c r="AD418" t="s">
        <v>119</v>
      </c>
      <c r="AE418" t="s">
        <v>4113</v>
      </c>
      <c r="AF418" t="s">
        <v>829</v>
      </c>
      <c r="AG418" t="s">
        <v>1487</v>
      </c>
      <c r="AI418" t="s">
        <v>4877</v>
      </c>
      <c r="AJ418" t="s">
        <v>119</v>
      </c>
      <c r="AK418" t="s">
        <v>99</v>
      </c>
      <c r="AL418" t="s">
        <v>5068</v>
      </c>
      <c r="AM418" t="s">
        <v>5069</v>
      </c>
      <c r="AN418" t="s">
        <v>2555</v>
      </c>
      <c r="AR418" t="s">
        <v>125</v>
      </c>
      <c r="AT418" t="s">
        <v>5070</v>
      </c>
      <c r="AV418" t="s">
        <v>128</v>
      </c>
      <c r="AZ418" t="s">
        <v>80</v>
      </c>
    </row>
    <row r="419" spans="1:52" hidden="1" x14ac:dyDescent="0.25">
      <c r="A419" t="s">
        <v>5071</v>
      </c>
      <c r="B419" t="s">
        <v>5065</v>
      </c>
      <c r="C419" t="s">
        <v>5072</v>
      </c>
      <c r="D419" t="s">
        <v>2544</v>
      </c>
      <c r="E419" t="s">
        <v>5073</v>
      </c>
      <c r="F419" t="s">
        <v>5067</v>
      </c>
      <c r="G419" t="s">
        <v>5067</v>
      </c>
      <c r="J419" t="s">
        <v>80</v>
      </c>
      <c r="K419" t="s">
        <v>110</v>
      </c>
      <c r="L419" t="s">
        <v>111</v>
      </c>
      <c r="M419">
        <v>69253</v>
      </c>
      <c r="P419" t="s">
        <v>154</v>
      </c>
      <c r="Q419" t="s">
        <v>1284</v>
      </c>
      <c r="R419" t="s">
        <v>1285</v>
      </c>
      <c r="S419" t="s">
        <v>1124</v>
      </c>
      <c r="T419" t="s">
        <v>824</v>
      </c>
      <c r="U419" t="s">
        <v>795</v>
      </c>
      <c r="V419" t="s">
        <v>2598</v>
      </c>
      <c r="W419" t="s">
        <v>2129</v>
      </c>
      <c r="X419" t="s">
        <v>4924</v>
      </c>
      <c r="Y419" t="s">
        <v>93</v>
      </c>
      <c r="Z419" t="s">
        <v>119</v>
      </c>
      <c r="AA419" t="s">
        <v>4113</v>
      </c>
      <c r="AB419" t="s">
        <v>829</v>
      </c>
      <c r="AC419" t="s">
        <v>1487</v>
      </c>
      <c r="AD419" t="s">
        <v>119</v>
      </c>
      <c r="AE419" t="s">
        <v>4113</v>
      </c>
      <c r="AF419" t="s">
        <v>829</v>
      </c>
      <c r="AG419" t="s">
        <v>1487</v>
      </c>
      <c r="AI419" t="s">
        <v>4877</v>
      </c>
      <c r="AJ419" t="s">
        <v>119</v>
      </c>
      <c r="AK419" t="s">
        <v>99</v>
      </c>
      <c r="AL419" t="s">
        <v>5074</v>
      </c>
      <c r="AM419" t="s">
        <v>5045</v>
      </c>
      <c r="AN419" t="s">
        <v>2555</v>
      </c>
      <c r="AR419" t="s">
        <v>125</v>
      </c>
      <c r="AT419" t="s">
        <v>5075</v>
      </c>
      <c r="AV419" t="s">
        <v>128</v>
      </c>
      <c r="AZ419" t="s">
        <v>80</v>
      </c>
    </row>
    <row r="420" spans="1:52" hidden="1" x14ac:dyDescent="0.25">
      <c r="A420" t="s">
        <v>5076</v>
      </c>
      <c r="B420" t="s">
        <v>819</v>
      </c>
      <c r="C420" t="s">
        <v>5077</v>
      </c>
      <c r="D420" t="s">
        <v>2544</v>
      </c>
      <c r="E420" t="s">
        <v>5078</v>
      </c>
      <c r="F420" t="s">
        <v>822</v>
      </c>
      <c r="G420" t="s">
        <v>822</v>
      </c>
      <c r="J420" t="s">
        <v>80</v>
      </c>
      <c r="K420" t="s">
        <v>110</v>
      </c>
      <c r="L420" t="s">
        <v>111</v>
      </c>
      <c r="M420">
        <v>69222</v>
      </c>
      <c r="P420" t="s">
        <v>154</v>
      </c>
      <c r="Q420" t="s">
        <v>539</v>
      </c>
      <c r="R420" t="s">
        <v>540</v>
      </c>
      <c r="S420" t="s">
        <v>541</v>
      </c>
      <c r="T420" t="s">
        <v>824</v>
      </c>
      <c r="U420" t="s">
        <v>825</v>
      </c>
      <c r="V420" t="s">
        <v>826</v>
      </c>
      <c r="W420" t="s">
        <v>5079</v>
      </c>
      <c r="X420" t="s">
        <v>4924</v>
      </c>
      <c r="Y420" t="s">
        <v>93</v>
      </c>
      <c r="Z420" t="s">
        <v>829</v>
      </c>
      <c r="AA420" t="s">
        <v>830</v>
      </c>
      <c r="AB420" t="s">
        <v>119</v>
      </c>
      <c r="AC420" t="s">
        <v>164</v>
      </c>
      <c r="AD420" t="s">
        <v>829</v>
      </c>
      <c r="AE420" t="s">
        <v>830</v>
      </c>
      <c r="AF420" t="s">
        <v>119</v>
      </c>
      <c r="AG420" t="s">
        <v>164</v>
      </c>
      <c r="AI420" t="s">
        <v>5080</v>
      </c>
      <c r="AJ420" t="s">
        <v>829</v>
      </c>
      <c r="AK420" t="s">
        <v>99</v>
      </c>
      <c r="AL420" t="s">
        <v>5081</v>
      </c>
      <c r="AM420" t="s">
        <v>2948</v>
      </c>
      <c r="AN420" t="s">
        <v>2578</v>
      </c>
      <c r="AR420" t="s">
        <v>125</v>
      </c>
      <c r="AT420" t="s">
        <v>5082</v>
      </c>
      <c r="AV420" t="s">
        <v>128</v>
      </c>
      <c r="AZ420" t="s">
        <v>80</v>
      </c>
    </row>
    <row r="421" spans="1:52" hidden="1" x14ac:dyDescent="0.25">
      <c r="A421" t="s">
        <v>5083</v>
      </c>
      <c r="B421" t="s">
        <v>819</v>
      </c>
      <c r="C421" t="s">
        <v>5084</v>
      </c>
      <c r="D421" t="s">
        <v>2544</v>
      </c>
      <c r="E421" t="s">
        <v>5085</v>
      </c>
      <c r="F421" t="s">
        <v>822</v>
      </c>
      <c r="G421" t="s">
        <v>822</v>
      </c>
      <c r="J421" t="s">
        <v>80</v>
      </c>
      <c r="K421" t="s">
        <v>110</v>
      </c>
      <c r="L421" t="s">
        <v>111</v>
      </c>
      <c r="M421">
        <v>69222</v>
      </c>
      <c r="P421" t="s">
        <v>154</v>
      </c>
      <c r="Q421" t="s">
        <v>539</v>
      </c>
      <c r="R421" t="s">
        <v>540</v>
      </c>
      <c r="S421" t="s">
        <v>541</v>
      </c>
      <c r="T421" t="s">
        <v>824</v>
      </c>
      <c r="U421" t="s">
        <v>825</v>
      </c>
      <c r="V421" t="s">
        <v>826</v>
      </c>
      <c r="W421" t="s">
        <v>5086</v>
      </c>
      <c r="X421" t="s">
        <v>5087</v>
      </c>
      <c r="Y421" t="s">
        <v>93</v>
      </c>
      <c r="Z421" t="s">
        <v>829</v>
      </c>
      <c r="AA421" t="s">
        <v>830</v>
      </c>
      <c r="AB421" t="s">
        <v>119</v>
      </c>
      <c r="AC421" t="s">
        <v>164</v>
      </c>
      <c r="AD421" t="s">
        <v>829</v>
      </c>
      <c r="AE421" t="s">
        <v>830</v>
      </c>
      <c r="AF421" t="s">
        <v>119</v>
      </c>
      <c r="AG421" t="s">
        <v>164</v>
      </c>
      <c r="AI421" t="s">
        <v>5088</v>
      </c>
      <c r="AJ421" t="s">
        <v>829</v>
      </c>
      <c r="AK421" t="s">
        <v>99</v>
      </c>
      <c r="AL421" t="s">
        <v>5089</v>
      </c>
      <c r="AM421" t="s">
        <v>2941</v>
      </c>
      <c r="AN421" t="s">
        <v>2578</v>
      </c>
      <c r="AR421" t="s">
        <v>125</v>
      </c>
      <c r="AT421" t="s">
        <v>5090</v>
      </c>
      <c r="AV421" t="s">
        <v>128</v>
      </c>
      <c r="AZ421" t="s">
        <v>80</v>
      </c>
    </row>
    <row r="422" spans="1:52" hidden="1" x14ac:dyDescent="0.25">
      <c r="A422" t="s">
        <v>2394</v>
      </c>
      <c r="B422" t="s">
        <v>1875</v>
      </c>
      <c r="C422" t="s">
        <v>2395</v>
      </c>
      <c r="D422" t="s">
        <v>78</v>
      </c>
      <c r="E422" t="s">
        <v>2396</v>
      </c>
      <c r="F422" t="s">
        <v>2397</v>
      </c>
      <c r="G422" t="s">
        <v>2397</v>
      </c>
      <c r="H422" t="s">
        <v>2398</v>
      </c>
      <c r="J422" t="s">
        <v>80</v>
      </c>
      <c r="K422" t="s">
        <v>81</v>
      </c>
      <c r="L422" t="s">
        <v>111</v>
      </c>
      <c r="M422" t="s">
        <v>2399</v>
      </c>
      <c r="O422" t="s">
        <v>2162</v>
      </c>
      <c r="P422" t="s">
        <v>154</v>
      </c>
      <c r="Q422" t="s">
        <v>155</v>
      </c>
      <c r="R422" t="s">
        <v>156</v>
      </c>
      <c r="S422" t="s">
        <v>157</v>
      </c>
      <c r="T422" t="s">
        <v>2318</v>
      </c>
      <c r="U422" t="s">
        <v>2241</v>
      </c>
      <c r="V422" t="s">
        <v>2213</v>
      </c>
      <c r="W422" t="s">
        <v>797</v>
      </c>
      <c r="X422" t="s">
        <v>2319</v>
      </c>
      <c r="Y422" t="s">
        <v>93</v>
      </c>
      <c r="Z422" t="s">
        <v>119</v>
      </c>
      <c r="AA422" t="s">
        <v>2400</v>
      </c>
      <c r="AB422" t="s">
        <v>249</v>
      </c>
      <c r="AC422" t="s">
        <v>2401</v>
      </c>
      <c r="AD422" t="s">
        <v>119</v>
      </c>
      <c r="AE422" t="s">
        <v>2400</v>
      </c>
      <c r="AF422" t="s">
        <v>249</v>
      </c>
      <c r="AG422" t="s">
        <v>2401</v>
      </c>
      <c r="AI422" t="s">
        <v>2402</v>
      </c>
      <c r="AJ422" t="s">
        <v>119</v>
      </c>
      <c r="AK422" t="s">
        <v>99</v>
      </c>
      <c r="AL422" t="s">
        <v>2403</v>
      </c>
      <c r="AM422" t="s">
        <v>2404</v>
      </c>
      <c r="AQ422" t="s">
        <v>2405</v>
      </c>
      <c r="AR422" t="s">
        <v>125</v>
      </c>
      <c r="AT422" t="s">
        <v>2406</v>
      </c>
      <c r="AU422" t="s">
        <v>2173</v>
      </c>
      <c r="AV422" t="s">
        <v>128</v>
      </c>
      <c r="AZ422" t="s">
        <v>80</v>
      </c>
    </row>
    <row r="423" spans="1:52" hidden="1" x14ac:dyDescent="0.25">
      <c r="A423" t="s">
        <v>266</v>
      </c>
      <c r="B423" t="s">
        <v>267</v>
      </c>
      <c r="C423" t="s">
        <v>268</v>
      </c>
      <c r="D423" t="s">
        <v>150</v>
      </c>
      <c r="E423" t="s">
        <v>269</v>
      </c>
      <c r="F423" t="s">
        <v>270</v>
      </c>
      <c r="G423" t="s">
        <v>270</v>
      </c>
      <c r="H423" t="s">
        <v>271</v>
      </c>
      <c r="J423" t="s">
        <v>80</v>
      </c>
      <c r="K423" t="s">
        <v>110</v>
      </c>
      <c r="L423" t="s">
        <v>111</v>
      </c>
      <c r="M423" t="s">
        <v>272</v>
      </c>
      <c r="P423" t="s">
        <v>154</v>
      </c>
      <c r="Q423" t="s">
        <v>155</v>
      </c>
      <c r="R423" t="s">
        <v>156</v>
      </c>
      <c r="S423" t="s">
        <v>157</v>
      </c>
      <c r="T423" t="s">
        <v>273</v>
      </c>
      <c r="U423" t="s">
        <v>274</v>
      </c>
      <c r="V423" t="s">
        <v>246</v>
      </c>
      <c r="W423" t="s">
        <v>247</v>
      </c>
      <c r="X423" t="s">
        <v>275</v>
      </c>
      <c r="Y423" t="s">
        <v>93</v>
      </c>
      <c r="Z423" t="s">
        <v>119</v>
      </c>
      <c r="AA423" t="s">
        <v>276</v>
      </c>
      <c r="AB423" t="s">
        <v>249</v>
      </c>
      <c r="AC423" t="s">
        <v>277</v>
      </c>
      <c r="AD423" t="s">
        <v>119</v>
      </c>
      <c r="AE423" t="s">
        <v>276</v>
      </c>
      <c r="AF423" t="s">
        <v>249</v>
      </c>
      <c r="AG423" t="s">
        <v>277</v>
      </c>
      <c r="AI423" t="s">
        <v>278</v>
      </c>
      <c r="AJ423" t="s">
        <v>119</v>
      </c>
      <c r="AK423" t="s">
        <v>99</v>
      </c>
      <c r="AL423" t="s">
        <v>279</v>
      </c>
      <c r="AM423" t="s">
        <v>280</v>
      </c>
      <c r="AQ423" t="s">
        <v>281</v>
      </c>
      <c r="AR423" t="s">
        <v>125</v>
      </c>
      <c r="AT423" t="s">
        <v>282</v>
      </c>
      <c r="AU423" t="s">
        <v>171</v>
      </c>
      <c r="AV423" t="s">
        <v>128</v>
      </c>
      <c r="AZ423" t="s">
        <v>80</v>
      </c>
    </row>
    <row r="424" spans="1:52" hidden="1" x14ac:dyDescent="0.25">
      <c r="A424" t="s">
        <v>5109</v>
      </c>
      <c r="B424" t="s">
        <v>5110</v>
      </c>
      <c r="C424" t="s">
        <v>5111</v>
      </c>
      <c r="D424" t="s">
        <v>2544</v>
      </c>
      <c r="E424" t="s">
        <v>5112</v>
      </c>
      <c r="F424" t="s">
        <v>5113</v>
      </c>
      <c r="G424" t="s">
        <v>5113</v>
      </c>
      <c r="J424" t="s">
        <v>80</v>
      </c>
      <c r="K424" t="s">
        <v>110</v>
      </c>
      <c r="L424" t="s">
        <v>111</v>
      </c>
      <c r="M424" t="s">
        <v>5114</v>
      </c>
      <c r="P424" t="s">
        <v>154</v>
      </c>
      <c r="Q424" t="s">
        <v>539</v>
      </c>
      <c r="R424" t="s">
        <v>540</v>
      </c>
      <c r="S424" t="s">
        <v>541</v>
      </c>
      <c r="T424" t="s">
        <v>5115</v>
      </c>
      <c r="U424" t="s">
        <v>5116</v>
      </c>
      <c r="V424" t="s">
        <v>5117</v>
      </c>
      <c r="W424" t="s">
        <v>439</v>
      </c>
      <c r="X424" t="s">
        <v>5118</v>
      </c>
      <c r="Y424" t="s">
        <v>93</v>
      </c>
      <c r="Z424" t="s">
        <v>304</v>
      </c>
      <c r="AA424" t="s">
        <v>1787</v>
      </c>
      <c r="AB424" t="s">
        <v>249</v>
      </c>
      <c r="AC424" t="s">
        <v>5119</v>
      </c>
      <c r="AD424" t="s">
        <v>304</v>
      </c>
      <c r="AE424" t="s">
        <v>1787</v>
      </c>
      <c r="AF424" t="s">
        <v>249</v>
      </c>
      <c r="AG424" t="s">
        <v>5119</v>
      </c>
      <c r="AI424" t="s">
        <v>5120</v>
      </c>
      <c r="AJ424" t="s">
        <v>304</v>
      </c>
      <c r="AK424" t="s">
        <v>99</v>
      </c>
      <c r="AL424" t="s">
        <v>5121</v>
      </c>
      <c r="AM424" t="s">
        <v>5122</v>
      </c>
      <c r="AN424" t="s">
        <v>2555</v>
      </c>
      <c r="AR424" t="s">
        <v>125</v>
      </c>
      <c r="AT424" t="s">
        <v>5123</v>
      </c>
      <c r="AV424" t="s">
        <v>128</v>
      </c>
      <c r="AZ424" t="s">
        <v>80</v>
      </c>
    </row>
    <row r="425" spans="1:52" hidden="1" x14ac:dyDescent="0.25">
      <c r="A425" t="s">
        <v>5124</v>
      </c>
      <c r="B425" t="s">
        <v>5110</v>
      </c>
      <c r="C425" t="s">
        <v>5125</v>
      </c>
      <c r="D425" t="s">
        <v>2544</v>
      </c>
      <c r="E425" t="s">
        <v>5126</v>
      </c>
      <c r="F425" t="s">
        <v>5113</v>
      </c>
      <c r="G425" t="s">
        <v>5113</v>
      </c>
      <c r="J425" t="s">
        <v>80</v>
      </c>
      <c r="K425" t="s">
        <v>110</v>
      </c>
      <c r="L425" t="s">
        <v>111</v>
      </c>
      <c r="M425" t="s">
        <v>5114</v>
      </c>
      <c r="P425" t="s">
        <v>154</v>
      </c>
      <c r="Q425" t="s">
        <v>539</v>
      </c>
      <c r="R425" t="s">
        <v>540</v>
      </c>
      <c r="S425" t="s">
        <v>541</v>
      </c>
      <c r="T425" t="s">
        <v>5115</v>
      </c>
      <c r="U425" t="s">
        <v>5116</v>
      </c>
      <c r="V425" t="s">
        <v>5117</v>
      </c>
      <c r="W425" t="s">
        <v>425</v>
      </c>
      <c r="X425" t="s">
        <v>5127</v>
      </c>
      <c r="Y425" t="s">
        <v>93</v>
      </c>
      <c r="Z425" t="s">
        <v>304</v>
      </c>
      <c r="AA425" t="s">
        <v>1787</v>
      </c>
      <c r="AB425" t="s">
        <v>249</v>
      </c>
      <c r="AC425" t="s">
        <v>5119</v>
      </c>
      <c r="AD425" t="s">
        <v>304</v>
      </c>
      <c r="AE425" t="s">
        <v>1787</v>
      </c>
      <c r="AF425" t="s">
        <v>249</v>
      </c>
      <c r="AG425" t="s">
        <v>5119</v>
      </c>
      <c r="AI425" t="s">
        <v>5120</v>
      </c>
      <c r="AJ425" t="s">
        <v>304</v>
      </c>
      <c r="AK425" t="s">
        <v>99</v>
      </c>
      <c r="AL425" t="s">
        <v>5128</v>
      </c>
      <c r="AM425" t="s">
        <v>5122</v>
      </c>
      <c r="AN425" t="s">
        <v>2555</v>
      </c>
      <c r="AR425" t="s">
        <v>125</v>
      </c>
      <c r="AT425" t="s">
        <v>5129</v>
      </c>
      <c r="AV425" t="s">
        <v>128</v>
      </c>
      <c r="AZ425" t="s">
        <v>80</v>
      </c>
    </row>
    <row r="426" spans="1:52" hidden="1" x14ac:dyDescent="0.25">
      <c r="A426" t="s">
        <v>283</v>
      </c>
      <c r="B426" t="s">
        <v>267</v>
      </c>
      <c r="C426" t="s">
        <v>284</v>
      </c>
      <c r="D426" t="s">
        <v>150</v>
      </c>
      <c r="E426" t="s">
        <v>285</v>
      </c>
      <c r="F426" t="s">
        <v>270</v>
      </c>
      <c r="G426" t="s">
        <v>270</v>
      </c>
      <c r="H426" t="s">
        <v>286</v>
      </c>
      <c r="J426" t="s">
        <v>80</v>
      </c>
      <c r="K426" t="s">
        <v>110</v>
      </c>
      <c r="L426" t="s">
        <v>111</v>
      </c>
      <c r="M426" t="s">
        <v>272</v>
      </c>
      <c r="P426" t="s">
        <v>154</v>
      </c>
      <c r="Q426" t="s">
        <v>155</v>
      </c>
      <c r="R426" t="s">
        <v>156</v>
      </c>
      <c r="S426" t="s">
        <v>157</v>
      </c>
      <c r="T426" t="s">
        <v>273</v>
      </c>
      <c r="U426" t="s">
        <v>274</v>
      </c>
      <c r="V426" t="s">
        <v>246</v>
      </c>
      <c r="W426" t="s">
        <v>261</v>
      </c>
      <c r="X426" t="s">
        <v>275</v>
      </c>
      <c r="Y426" t="s">
        <v>93</v>
      </c>
      <c r="Z426" t="s">
        <v>119</v>
      </c>
      <c r="AA426" t="s">
        <v>276</v>
      </c>
      <c r="AB426" t="s">
        <v>249</v>
      </c>
      <c r="AC426" t="s">
        <v>277</v>
      </c>
      <c r="AD426" t="s">
        <v>119</v>
      </c>
      <c r="AE426" t="s">
        <v>276</v>
      </c>
      <c r="AF426" t="s">
        <v>249</v>
      </c>
      <c r="AG426" t="s">
        <v>277</v>
      </c>
      <c r="AI426" t="s">
        <v>278</v>
      </c>
      <c r="AJ426" t="s">
        <v>119</v>
      </c>
      <c r="AK426" t="s">
        <v>99</v>
      </c>
      <c r="AL426" t="s">
        <v>287</v>
      </c>
      <c r="AM426" t="s">
        <v>288</v>
      </c>
      <c r="AQ426" t="s">
        <v>289</v>
      </c>
      <c r="AR426" t="s">
        <v>125</v>
      </c>
      <c r="AT426" t="s">
        <v>290</v>
      </c>
      <c r="AU426" t="s">
        <v>171</v>
      </c>
      <c r="AV426" t="s">
        <v>128</v>
      </c>
      <c r="AZ426" t="s">
        <v>80</v>
      </c>
    </row>
    <row r="427" spans="1:52" hidden="1" x14ac:dyDescent="0.25">
      <c r="A427" t="s">
        <v>5317</v>
      </c>
      <c r="B427" t="s">
        <v>5318</v>
      </c>
      <c r="C427" t="s">
        <v>5304</v>
      </c>
      <c r="D427" t="s">
        <v>2544</v>
      </c>
      <c r="E427" t="s">
        <v>5319</v>
      </c>
      <c r="F427" t="s">
        <v>5320</v>
      </c>
      <c r="G427" t="s">
        <v>5320</v>
      </c>
      <c r="J427" t="s">
        <v>80</v>
      </c>
      <c r="K427" t="s">
        <v>110</v>
      </c>
      <c r="L427" t="s">
        <v>111</v>
      </c>
      <c r="M427" t="s">
        <v>5321</v>
      </c>
      <c r="P427" t="s">
        <v>154</v>
      </c>
      <c r="Q427" t="s">
        <v>539</v>
      </c>
      <c r="R427" t="s">
        <v>540</v>
      </c>
      <c r="S427" t="s">
        <v>541</v>
      </c>
      <c r="T427" t="s">
        <v>273</v>
      </c>
      <c r="U427" t="s">
        <v>5152</v>
      </c>
      <c r="V427" t="s">
        <v>652</v>
      </c>
      <c r="W427" t="s">
        <v>359</v>
      </c>
      <c r="X427" t="s">
        <v>5135</v>
      </c>
      <c r="Y427" t="s">
        <v>93</v>
      </c>
      <c r="Z427" t="s">
        <v>119</v>
      </c>
      <c r="AA427" t="s">
        <v>4040</v>
      </c>
      <c r="AB427" t="s">
        <v>249</v>
      </c>
      <c r="AC427" t="s">
        <v>3459</v>
      </c>
      <c r="AD427" t="s">
        <v>119</v>
      </c>
      <c r="AE427" t="s">
        <v>4040</v>
      </c>
      <c r="AF427" t="s">
        <v>249</v>
      </c>
      <c r="AG427" t="s">
        <v>3459</v>
      </c>
      <c r="AI427" t="s">
        <v>5322</v>
      </c>
      <c r="AJ427" t="s">
        <v>119</v>
      </c>
      <c r="AK427" t="s">
        <v>99</v>
      </c>
      <c r="AL427" t="s">
        <v>5323</v>
      </c>
      <c r="AM427" t="s">
        <v>5324</v>
      </c>
      <c r="AN427" t="s">
        <v>2578</v>
      </c>
      <c r="AR427" t="s">
        <v>125</v>
      </c>
      <c r="AT427" t="s">
        <v>5325</v>
      </c>
      <c r="AV427" t="s">
        <v>128</v>
      </c>
      <c r="AZ427" t="s">
        <v>80</v>
      </c>
    </row>
    <row r="428" spans="1:52" hidden="1" x14ac:dyDescent="0.25">
      <c r="A428" t="s">
        <v>5326</v>
      </c>
      <c r="B428" t="s">
        <v>5318</v>
      </c>
      <c r="C428" t="s">
        <v>5304</v>
      </c>
      <c r="D428" t="s">
        <v>2544</v>
      </c>
      <c r="E428" t="s">
        <v>5327</v>
      </c>
      <c r="F428" t="s">
        <v>5320</v>
      </c>
      <c r="G428" t="s">
        <v>5320</v>
      </c>
      <c r="J428" t="s">
        <v>80</v>
      </c>
      <c r="K428" t="s">
        <v>110</v>
      </c>
      <c r="L428" t="s">
        <v>111</v>
      </c>
      <c r="M428" t="s">
        <v>5321</v>
      </c>
      <c r="P428" t="s">
        <v>154</v>
      </c>
      <c r="Q428" t="s">
        <v>539</v>
      </c>
      <c r="R428" t="s">
        <v>540</v>
      </c>
      <c r="S428" t="s">
        <v>541</v>
      </c>
      <c r="T428" t="s">
        <v>273</v>
      </c>
      <c r="U428" t="s">
        <v>5152</v>
      </c>
      <c r="V428" t="s">
        <v>652</v>
      </c>
      <c r="W428" t="s">
        <v>347</v>
      </c>
      <c r="X428" t="s">
        <v>5143</v>
      </c>
      <c r="Y428" t="s">
        <v>93</v>
      </c>
      <c r="Z428" t="s">
        <v>119</v>
      </c>
      <c r="AA428" t="s">
        <v>4040</v>
      </c>
      <c r="AB428" t="s">
        <v>249</v>
      </c>
      <c r="AC428" t="s">
        <v>3459</v>
      </c>
      <c r="AD428" t="s">
        <v>119</v>
      </c>
      <c r="AE428" t="s">
        <v>4040</v>
      </c>
      <c r="AF428" t="s">
        <v>249</v>
      </c>
      <c r="AG428" t="s">
        <v>3459</v>
      </c>
      <c r="AI428" t="s">
        <v>5322</v>
      </c>
      <c r="AJ428" t="s">
        <v>119</v>
      </c>
      <c r="AK428" t="s">
        <v>99</v>
      </c>
      <c r="AL428" t="s">
        <v>5328</v>
      </c>
      <c r="AM428" t="s">
        <v>5296</v>
      </c>
      <c r="AN428" t="s">
        <v>2578</v>
      </c>
      <c r="AR428" t="s">
        <v>125</v>
      </c>
      <c r="AT428" t="s">
        <v>5329</v>
      </c>
      <c r="AV428" t="s">
        <v>128</v>
      </c>
      <c r="AZ428" t="s">
        <v>80</v>
      </c>
    </row>
    <row r="429" spans="1:52" hidden="1" x14ac:dyDescent="0.25">
      <c r="A429" t="s">
        <v>2368</v>
      </c>
      <c r="B429" t="s">
        <v>2369</v>
      </c>
      <c r="C429" t="s">
        <v>2370</v>
      </c>
      <c r="D429" t="s">
        <v>78</v>
      </c>
      <c r="E429" t="s">
        <v>2371</v>
      </c>
      <c r="F429" t="s">
        <v>2372</v>
      </c>
      <c r="G429" t="s">
        <v>2372</v>
      </c>
      <c r="H429" t="s">
        <v>2373</v>
      </c>
      <c r="J429" t="s">
        <v>80</v>
      </c>
      <c r="K429" t="s">
        <v>81</v>
      </c>
      <c r="L429" t="s">
        <v>111</v>
      </c>
      <c r="M429" t="s">
        <v>2374</v>
      </c>
      <c r="O429" t="s">
        <v>2162</v>
      </c>
      <c r="P429" t="s">
        <v>154</v>
      </c>
      <c r="Q429" t="s">
        <v>155</v>
      </c>
      <c r="R429" t="s">
        <v>156</v>
      </c>
      <c r="S429" t="s">
        <v>157</v>
      </c>
      <c r="T429" t="s">
        <v>2318</v>
      </c>
      <c r="U429" t="s">
        <v>2241</v>
      </c>
      <c r="V429" t="s">
        <v>2242</v>
      </c>
      <c r="W429" t="s">
        <v>797</v>
      </c>
      <c r="X429" t="s">
        <v>2319</v>
      </c>
      <c r="Y429" t="s">
        <v>93</v>
      </c>
      <c r="Z429" t="s">
        <v>119</v>
      </c>
      <c r="AA429" t="s">
        <v>2375</v>
      </c>
      <c r="AB429" t="s">
        <v>249</v>
      </c>
      <c r="AC429" t="s">
        <v>2376</v>
      </c>
      <c r="AD429" t="s">
        <v>119</v>
      </c>
      <c r="AE429" t="s">
        <v>2375</v>
      </c>
      <c r="AF429" t="s">
        <v>249</v>
      </c>
      <c r="AG429" t="s">
        <v>2376</v>
      </c>
      <c r="AI429" t="s">
        <v>2377</v>
      </c>
      <c r="AJ429" t="s">
        <v>119</v>
      </c>
      <c r="AK429" t="s">
        <v>99</v>
      </c>
      <c r="AL429" t="s">
        <v>2378</v>
      </c>
      <c r="AM429" t="s">
        <v>2379</v>
      </c>
      <c r="AQ429" t="s">
        <v>2380</v>
      </c>
      <c r="AR429" t="s">
        <v>125</v>
      </c>
      <c r="AT429" t="s">
        <v>2381</v>
      </c>
      <c r="AU429" t="s">
        <v>2173</v>
      </c>
      <c r="AV429" t="s">
        <v>128</v>
      </c>
      <c r="AZ429" t="s">
        <v>80</v>
      </c>
    </row>
    <row r="430" spans="1:52" hidden="1" x14ac:dyDescent="0.25">
      <c r="A430" t="s">
        <v>5163</v>
      </c>
      <c r="B430" t="s">
        <v>5164</v>
      </c>
      <c r="C430" t="s">
        <v>5159</v>
      </c>
      <c r="D430" t="s">
        <v>2544</v>
      </c>
      <c r="E430" t="s">
        <v>5165</v>
      </c>
      <c r="F430" t="s">
        <v>5166</v>
      </c>
      <c r="G430" t="s">
        <v>5166</v>
      </c>
      <c r="J430" t="s">
        <v>80</v>
      </c>
      <c r="K430" t="s">
        <v>110</v>
      </c>
      <c r="L430" t="s">
        <v>111</v>
      </c>
      <c r="M430" t="s">
        <v>5167</v>
      </c>
      <c r="P430" t="s">
        <v>154</v>
      </c>
      <c r="Q430" t="s">
        <v>155</v>
      </c>
      <c r="R430" t="s">
        <v>156</v>
      </c>
      <c r="S430" t="s">
        <v>157</v>
      </c>
      <c r="T430" t="s">
        <v>5168</v>
      </c>
      <c r="U430" t="s">
        <v>1621</v>
      </c>
      <c r="V430" t="s">
        <v>4811</v>
      </c>
      <c r="W430" t="s">
        <v>359</v>
      </c>
      <c r="X430" t="s">
        <v>5169</v>
      </c>
      <c r="Y430" t="s">
        <v>93</v>
      </c>
      <c r="Z430" t="s">
        <v>5170</v>
      </c>
      <c r="AA430" t="s">
        <v>5171</v>
      </c>
      <c r="AB430" t="s">
        <v>249</v>
      </c>
      <c r="AC430" t="s">
        <v>5154</v>
      </c>
      <c r="AD430" t="s">
        <v>5170</v>
      </c>
      <c r="AE430" t="s">
        <v>5171</v>
      </c>
      <c r="AF430" t="s">
        <v>249</v>
      </c>
      <c r="AG430" t="s">
        <v>5154</v>
      </c>
      <c r="AI430" t="s">
        <v>5172</v>
      </c>
      <c r="AJ430" t="s">
        <v>5170</v>
      </c>
      <c r="AK430" t="s">
        <v>99</v>
      </c>
      <c r="AL430" t="s">
        <v>5173</v>
      </c>
      <c r="AM430" t="s">
        <v>5174</v>
      </c>
      <c r="AN430" t="s">
        <v>2555</v>
      </c>
      <c r="AR430" t="s">
        <v>125</v>
      </c>
      <c r="AT430" t="s">
        <v>5157</v>
      </c>
      <c r="AV430" t="s">
        <v>190</v>
      </c>
      <c r="AZ430" t="s">
        <v>80</v>
      </c>
    </row>
    <row r="431" spans="1:52" hidden="1" x14ac:dyDescent="0.25">
      <c r="A431" t="s">
        <v>5175</v>
      </c>
      <c r="B431" t="s">
        <v>5164</v>
      </c>
      <c r="C431" t="s">
        <v>5159</v>
      </c>
      <c r="D431" t="s">
        <v>2544</v>
      </c>
      <c r="E431" t="s">
        <v>5176</v>
      </c>
      <c r="F431" t="s">
        <v>5166</v>
      </c>
      <c r="G431" t="s">
        <v>5166</v>
      </c>
      <c r="J431" t="s">
        <v>80</v>
      </c>
      <c r="K431" t="s">
        <v>110</v>
      </c>
      <c r="L431" t="s">
        <v>111</v>
      </c>
      <c r="M431" t="s">
        <v>5167</v>
      </c>
      <c r="P431" t="s">
        <v>154</v>
      </c>
      <c r="Q431" t="s">
        <v>155</v>
      </c>
      <c r="R431" t="s">
        <v>156</v>
      </c>
      <c r="S431" t="s">
        <v>157</v>
      </c>
      <c r="T431" t="s">
        <v>5168</v>
      </c>
      <c r="U431" t="s">
        <v>1621</v>
      </c>
      <c r="V431" t="s">
        <v>4811</v>
      </c>
      <c r="W431" t="s">
        <v>347</v>
      </c>
      <c r="X431" t="s">
        <v>5177</v>
      </c>
      <c r="Y431" t="s">
        <v>93</v>
      </c>
      <c r="Z431" t="s">
        <v>5170</v>
      </c>
      <c r="AA431" t="s">
        <v>5171</v>
      </c>
      <c r="AB431" t="s">
        <v>249</v>
      </c>
      <c r="AC431" t="s">
        <v>5154</v>
      </c>
      <c r="AD431" t="s">
        <v>5170</v>
      </c>
      <c r="AE431" t="s">
        <v>5171</v>
      </c>
      <c r="AF431" t="s">
        <v>249</v>
      </c>
      <c r="AG431" t="s">
        <v>5154</v>
      </c>
      <c r="AI431" t="s">
        <v>5172</v>
      </c>
      <c r="AJ431" t="s">
        <v>5170</v>
      </c>
      <c r="AK431" t="s">
        <v>99</v>
      </c>
      <c r="AL431" t="s">
        <v>5178</v>
      </c>
      <c r="AM431" t="s">
        <v>5174</v>
      </c>
      <c r="AN431" t="s">
        <v>2555</v>
      </c>
      <c r="AR431" t="s">
        <v>125</v>
      </c>
      <c r="AT431" t="s">
        <v>5162</v>
      </c>
      <c r="AV431" t="s">
        <v>190</v>
      </c>
      <c r="AZ431" t="s">
        <v>80</v>
      </c>
    </row>
    <row r="432" spans="1:52" hidden="1" x14ac:dyDescent="0.25">
      <c r="A432" t="s">
        <v>2382</v>
      </c>
      <c r="B432" t="s">
        <v>2383</v>
      </c>
      <c r="C432" t="s">
        <v>2384</v>
      </c>
      <c r="D432" t="s">
        <v>78</v>
      </c>
      <c r="E432" t="s">
        <v>2385</v>
      </c>
      <c r="F432" t="s">
        <v>2385</v>
      </c>
      <c r="G432" t="s">
        <v>2386</v>
      </c>
      <c r="H432" t="s">
        <v>2387</v>
      </c>
      <c r="J432" t="s">
        <v>80</v>
      </c>
      <c r="K432" t="s">
        <v>81</v>
      </c>
      <c r="L432" t="s">
        <v>80</v>
      </c>
      <c r="M432" t="s">
        <v>2374</v>
      </c>
      <c r="O432" t="s">
        <v>2162</v>
      </c>
      <c r="P432" t="s">
        <v>154</v>
      </c>
      <c r="Q432" t="s">
        <v>539</v>
      </c>
      <c r="R432" t="s">
        <v>540</v>
      </c>
      <c r="S432" t="s">
        <v>541</v>
      </c>
      <c r="T432" t="s">
        <v>2318</v>
      </c>
      <c r="U432" t="s">
        <v>2241</v>
      </c>
      <c r="V432" t="s">
        <v>2242</v>
      </c>
      <c r="W432" t="s">
        <v>2388</v>
      </c>
      <c r="X432" t="s">
        <v>2362</v>
      </c>
      <c r="Y432" t="s">
        <v>93</v>
      </c>
      <c r="Z432" t="s">
        <v>119</v>
      </c>
      <c r="AA432" t="s">
        <v>2375</v>
      </c>
      <c r="AB432" t="s">
        <v>249</v>
      </c>
      <c r="AC432" t="s">
        <v>2376</v>
      </c>
      <c r="AD432" t="s">
        <v>119</v>
      </c>
      <c r="AE432" t="s">
        <v>2375</v>
      </c>
      <c r="AF432" t="s">
        <v>249</v>
      </c>
      <c r="AG432" t="s">
        <v>2376</v>
      </c>
      <c r="AI432" t="s">
        <v>2377</v>
      </c>
      <c r="AJ432" t="s">
        <v>119</v>
      </c>
      <c r="AK432" t="s">
        <v>99</v>
      </c>
      <c r="AL432" t="s">
        <v>2389</v>
      </c>
      <c r="AM432" t="s">
        <v>2390</v>
      </c>
      <c r="AQ432" t="s">
        <v>2391</v>
      </c>
      <c r="AT432" t="s">
        <v>2392</v>
      </c>
      <c r="AU432" t="s">
        <v>2251</v>
      </c>
      <c r="AV432" t="s">
        <v>128</v>
      </c>
      <c r="AW432" t="s">
        <v>2393</v>
      </c>
      <c r="AZ432" t="s">
        <v>80</v>
      </c>
    </row>
    <row r="433" spans="1:52" hidden="1" x14ac:dyDescent="0.25">
      <c r="A433" t="s">
        <v>2354</v>
      </c>
      <c r="B433" t="s">
        <v>2355</v>
      </c>
      <c r="C433" t="s">
        <v>2356</v>
      </c>
      <c r="D433" t="s">
        <v>78</v>
      </c>
      <c r="E433" t="s">
        <v>2357</v>
      </c>
      <c r="F433" t="s">
        <v>2358</v>
      </c>
      <c r="G433" t="s">
        <v>2358</v>
      </c>
      <c r="H433" t="s">
        <v>2359</v>
      </c>
      <c r="J433" t="s">
        <v>80</v>
      </c>
      <c r="K433" t="s">
        <v>81</v>
      </c>
      <c r="L433" t="s">
        <v>111</v>
      </c>
      <c r="M433" t="s">
        <v>2360</v>
      </c>
      <c r="O433" t="s">
        <v>2162</v>
      </c>
      <c r="P433" t="s">
        <v>154</v>
      </c>
      <c r="Q433" t="s">
        <v>155</v>
      </c>
      <c r="R433" t="s">
        <v>156</v>
      </c>
      <c r="S433" t="s">
        <v>157</v>
      </c>
      <c r="T433" t="s">
        <v>2318</v>
      </c>
      <c r="U433" t="s">
        <v>2361</v>
      </c>
      <c r="V433" t="s">
        <v>2261</v>
      </c>
      <c r="W433" t="s">
        <v>697</v>
      </c>
      <c r="X433" t="s">
        <v>2362</v>
      </c>
      <c r="Y433" t="s">
        <v>93</v>
      </c>
      <c r="Z433" t="s">
        <v>119</v>
      </c>
      <c r="AA433" t="s">
        <v>2244</v>
      </c>
      <c r="AB433" t="s">
        <v>249</v>
      </c>
      <c r="AC433" t="s">
        <v>2363</v>
      </c>
      <c r="AD433" t="s">
        <v>119</v>
      </c>
      <c r="AE433" t="s">
        <v>2244</v>
      </c>
      <c r="AF433" t="s">
        <v>249</v>
      </c>
      <c r="AG433" t="s">
        <v>2363</v>
      </c>
      <c r="AI433" t="s">
        <v>2246</v>
      </c>
      <c r="AJ433" t="s">
        <v>119</v>
      </c>
      <c r="AK433" t="s">
        <v>99</v>
      </c>
      <c r="AL433" t="s">
        <v>2364</v>
      </c>
      <c r="AM433" t="s">
        <v>2365</v>
      </c>
      <c r="AQ433" t="s">
        <v>2366</v>
      </c>
      <c r="AR433" t="s">
        <v>125</v>
      </c>
      <c r="AT433" t="s">
        <v>2367</v>
      </c>
      <c r="AU433" t="s">
        <v>2173</v>
      </c>
      <c r="AV433" t="s">
        <v>128</v>
      </c>
      <c r="AZ433" t="s">
        <v>80</v>
      </c>
    </row>
    <row r="434" spans="1:52" hidden="1" x14ac:dyDescent="0.25">
      <c r="A434" t="s">
        <v>5193</v>
      </c>
      <c r="B434" t="s">
        <v>5194</v>
      </c>
      <c r="C434" t="s">
        <v>5195</v>
      </c>
      <c r="D434" t="s">
        <v>2544</v>
      </c>
      <c r="E434" t="s">
        <v>5196</v>
      </c>
      <c r="F434" t="s">
        <v>5197</v>
      </c>
      <c r="G434" t="s">
        <v>5197</v>
      </c>
      <c r="J434" t="s">
        <v>80</v>
      </c>
      <c r="K434" t="s">
        <v>110</v>
      </c>
      <c r="L434" t="s">
        <v>111</v>
      </c>
      <c r="M434" t="s">
        <v>5198</v>
      </c>
      <c r="O434" t="s">
        <v>5199</v>
      </c>
      <c r="P434" t="s">
        <v>154</v>
      </c>
      <c r="Q434" t="s">
        <v>155</v>
      </c>
      <c r="R434" t="s">
        <v>156</v>
      </c>
      <c r="S434" t="s">
        <v>157</v>
      </c>
      <c r="T434" t="s">
        <v>5200</v>
      </c>
      <c r="U434" t="s">
        <v>5201</v>
      </c>
      <c r="V434" t="s">
        <v>89</v>
      </c>
      <c r="W434" t="s">
        <v>439</v>
      </c>
      <c r="X434" t="s">
        <v>5202</v>
      </c>
      <c r="Y434" t="s">
        <v>93</v>
      </c>
      <c r="Z434" t="s">
        <v>5170</v>
      </c>
      <c r="AA434" t="s">
        <v>5203</v>
      </c>
      <c r="AB434" t="s">
        <v>249</v>
      </c>
      <c r="AC434" t="s">
        <v>3092</v>
      </c>
      <c r="AD434" t="s">
        <v>5170</v>
      </c>
      <c r="AE434" t="s">
        <v>5203</v>
      </c>
      <c r="AF434" t="s">
        <v>249</v>
      </c>
      <c r="AG434" t="s">
        <v>3092</v>
      </c>
      <c r="AI434" t="s">
        <v>5204</v>
      </c>
      <c r="AJ434" t="s">
        <v>5170</v>
      </c>
      <c r="AK434" t="s">
        <v>99</v>
      </c>
      <c r="AL434" t="s">
        <v>5205</v>
      </c>
      <c r="AM434" t="s">
        <v>5206</v>
      </c>
      <c r="AN434" t="s">
        <v>2555</v>
      </c>
      <c r="AR434" t="s">
        <v>125</v>
      </c>
      <c r="AT434" t="s">
        <v>5207</v>
      </c>
      <c r="AV434" t="s">
        <v>190</v>
      </c>
      <c r="AZ434" t="s">
        <v>80</v>
      </c>
    </row>
    <row r="435" spans="1:52" hidden="1" x14ac:dyDescent="0.25">
      <c r="A435" t="s">
        <v>5208</v>
      </c>
      <c r="B435" t="s">
        <v>5194</v>
      </c>
      <c r="C435" t="s">
        <v>5195</v>
      </c>
      <c r="D435" t="s">
        <v>2544</v>
      </c>
      <c r="E435" t="s">
        <v>5209</v>
      </c>
      <c r="F435" t="s">
        <v>5197</v>
      </c>
      <c r="G435" t="s">
        <v>5197</v>
      </c>
      <c r="J435" t="s">
        <v>80</v>
      </c>
      <c r="K435" t="s">
        <v>110</v>
      </c>
      <c r="L435" t="s">
        <v>111</v>
      </c>
      <c r="M435" t="s">
        <v>5198</v>
      </c>
      <c r="O435" t="s">
        <v>5199</v>
      </c>
      <c r="P435" t="s">
        <v>154</v>
      </c>
      <c r="Q435" t="s">
        <v>155</v>
      </c>
      <c r="R435" t="s">
        <v>156</v>
      </c>
      <c r="S435" t="s">
        <v>157</v>
      </c>
      <c r="T435" t="s">
        <v>5200</v>
      </c>
      <c r="U435" t="s">
        <v>5201</v>
      </c>
      <c r="V435" t="s">
        <v>89</v>
      </c>
      <c r="W435" t="s">
        <v>425</v>
      </c>
      <c r="X435" t="s">
        <v>5210</v>
      </c>
      <c r="Y435" t="s">
        <v>93</v>
      </c>
      <c r="Z435" t="s">
        <v>5170</v>
      </c>
      <c r="AA435" t="s">
        <v>5203</v>
      </c>
      <c r="AB435" t="s">
        <v>249</v>
      </c>
      <c r="AC435" t="s">
        <v>3092</v>
      </c>
      <c r="AD435" t="s">
        <v>5170</v>
      </c>
      <c r="AE435" t="s">
        <v>5203</v>
      </c>
      <c r="AF435" t="s">
        <v>249</v>
      </c>
      <c r="AG435" t="s">
        <v>3092</v>
      </c>
      <c r="AI435" t="s">
        <v>5204</v>
      </c>
      <c r="AJ435" t="s">
        <v>5170</v>
      </c>
      <c r="AK435" t="s">
        <v>99</v>
      </c>
      <c r="AL435" t="s">
        <v>5211</v>
      </c>
      <c r="AM435" t="s">
        <v>5206</v>
      </c>
      <c r="AN435" t="s">
        <v>2555</v>
      </c>
      <c r="AR435" t="s">
        <v>125</v>
      </c>
      <c r="AT435" t="s">
        <v>5212</v>
      </c>
      <c r="AV435" t="s">
        <v>190</v>
      </c>
      <c r="AZ435" t="s">
        <v>80</v>
      </c>
    </row>
    <row r="436" spans="1:52" hidden="1" x14ac:dyDescent="0.25">
      <c r="A436" t="s">
        <v>7040</v>
      </c>
      <c r="B436" t="s">
        <v>7041</v>
      </c>
      <c r="C436" t="s">
        <v>7032</v>
      </c>
      <c r="D436" t="s">
        <v>2544</v>
      </c>
      <c r="E436" t="s">
        <v>7042</v>
      </c>
      <c r="F436" t="s">
        <v>7043</v>
      </c>
      <c r="G436" t="s">
        <v>7043</v>
      </c>
      <c r="J436" t="s">
        <v>80</v>
      </c>
      <c r="K436" t="s">
        <v>110</v>
      </c>
      <c r="L436" t="s">
        <v>111</v>
      </c>
      <c r="M436" t="s">
        <v>2360</v>
      </c>
      <c r="O436" t="s">
        <v>2162</v>
      </c>
      <c r="P436" t="s">
        <v>154</v>
      </c>
      <c r="Q436" t="s">
        <v>155</v>
      </c>
      <c r="R436" t="s">
        <v>156</v>
      </c>
      <c r="S436" t="s">
        <v>157</v>
      </c>
      <c r="T436" t="s">
        <v>2318</v>
      </c>
      <c r="U436" t="s">
        <v>2361</v>
      </c>
      <c r="V436" t="s">
        <v>2261</v>
      </c>
      <c r="W436" t="s">
        <v>797</v>
      </c>
      <c r="X436" t="s">
        <v>2319</v>
      </c>
      <c r="Y436" t="s">
        <v>93</v>
      </c>
      <c r="Z436" t="s">
        <v>119</v>
      </c>
      <c r="AA436" t="s">
        <v>2244</v>
      </c>
      <c r="AB436" t="s">
        <v>249</v>
      </c>
      <c r="AC436" t="s">
        <v>2363</v>
      </c>
      <c r="AD436" t="s">
        <v>119</v>
      </c>
      <c r="AE436" t="s">
        <v>2244</v>
      </c>
      <c r="AF436" t="s">
        <v>249</v>
      </c>
      <c r="AG436" t="s">
        <v>2363</v>
      </c>
      <c r="AI436" t="s">
        <v>7044</v>
      </c>
      <c r="AJ436" t="s">
        <v>119</v>
      </c>
      <c r="AK436" t="s">
        <v>99</v>
      </c>
      <c r="AL436" t="s">
        <v>7045</v>
      </c>
      <c r="AM436" t="s">
        <v>7028</v>
      </c>
      <c r="AN436" t="s">
        <v>2555</v>
      </c>
      <c r="AR436" t="s">
        <v>125</v>
      </c>
      <c r="AT436" t="s">
        <v>7046</v>
      </c>
      <c r="AV436" t="s">
        <v>128</v>
      </c>
      <c r="AZ436" t="s">
        <v>80</v>
      </c>
    </row>
    <row r="437" spans="1:52" hidden="1" x14ac:dyDescent="0.25">
      <c r="A437" t="s">
        <v>5302</v>
      </c>
      <c r="B437" t="s">
        <v>5303</v>
      </c>
      <c r="C437" t="s">
        <v>5304</v>
      </c>
      <c r="D437" t="s">
        <v>2544</v>
      </c>
      <c r="E437" t="s">
        <v>5305</v>
      </c>
      <c r="F437" t="s">
        <v>5306</v>
      </c>
      <c r="G437" t="s">
        <v>5306</v>
      </c>
      <c r="J437" t="s">
        <v>80</v>
      </c>
      <c r="K437" t="s">
        <v>110</v>
      </c>
      <c r="L437" t="s">
        <v>111</v>
      </c>
      <c r="M437" t="s">
        <v>5307</v>
      </c>
      <c r="P437" t="s">
        <v>154</v>
      </c>
      <c r="Q437" t="s">
        <v>3469</v>
      </c>
      <c r="R437" t="s">
        <v>2488</v>
      </c>
      <c r="S437" t="s">
        <v>1016</v>
      </c>
      <c r="T437" t="s">
        <v>273</v>
      </c>
      <c r="U437" t="s">
        <v>345</v>
      </c>
      <c r="V437" t="s">
        <v>5308</v>
      </c>
      <c r="W437" t="s">
        <v>359</v>
      </c>
      <c r="X437" t="s">
        <v>5135</v>
      </c>
      <c r="Y437" t="s">
        <v>93</v>
      </c>
      <c r="Z437" t="s">
        <v>119</v>
      </c>
      <c r="AA437" t="s">
        <v>5309</v>
      </c>
      <c r="AB437" t="s">
        <v>249</v>
      </c>
      <c r="AC437" t="s">
        <v>907</v>
      </c>
      <c r="AD437" t="s">
        <v>119</v>
      </c>
      <c r="AE437" t="s">
        <v>5309</v>
      </c>
      <c r="AF437" t="s">
        <v>249</v>
      </c>
      <c r="AG437" t="s">
        <v>907</v>
      </c>
      <c r="AI437" t="s">
        <v>5310</v>
      </c>
      <c r="AJ437" t="s">
        <v>119</v>
      </c>
      <c r="AK437" t="s">
        <v>99</v>
      </c>
      <c r="AL437" t="s">
        <v>5311</v>
      </c>
      <c r="AM437" t="s">
        <v>5296</v>
      </c>
      <c r="AN437" t="s">
        <v>2578</v>
      </c>
      <c r="AR437" t="s">
        <v>125</v>
      </c>
      <c r="AT437" t="s">
        <v>5312</v>
      </c>
      <c r="AV437" t="s">
        <v>128</v>
      </c>
      <c r="AZ437" t="s">
        <v>80</v>
      </c>
    </row>
    <row r="438" spans="1:52" hidden="1" x14ac:dyDescent="0.25">
      <c r="A438" t="s">
        <v>5228</v>
      </c>
      <c r="B438" t="s">
        <v>5229</v>
      </c>
      <c r="C438" t="s">
        <v>5230</v>
      </c>
      <c r="D438" t="s">
        <v>2544</v>
      </c>
      <c r="E438" t="s">
        <v>5231</v>
      </c>
      <c r="F438" t="s">
        <v>5232</v>
      </c>
      <c r="G438" t="s">
        <v>5232</v>
      </c>
      <c r="J438" t="s">
        <v>80</v>
      </c>
      <c r="K438" t="s">
        <v>110</v>
      </c>
      <c r="L438" t="s">
        <v>111</v>
      </c>
      <c r="M438" t="s">
        <v>5233</v>
      </c>
      <c r="O438" t="s">
        <v>5234</v>
      </c>
      <c r="P438" t="s">
        <v>154</v>
      </c>
      <c r="Q438" t="s">
        <v>155</v>
      </c>
      <c r="R438" t="s">
        <v>156</v>
      </c>
      <c r="S438" t="s">
        <v>157</v>
      </c>
      <c r="T438" t="s">
        <v>5200</v>
      </c>
      <c r="U438" t="s">
        <v>1308</v>
      </c>
      <c r="V438" t="s">
        <v>5235</v>
      </c>
      <c r="W438" t="s">
        <v>359</v>
      </c>
      <c r="X438" t="s">
        <v>5236</v>
      </c>
      <c r="Y438" t="s">
        <v>93</v>
      </c>
      <c r="Z438" t="s">
        <v>5170</v>
      </c>
      <c r="AA438" t="s">
        <v>5237</v>
      </c>
      <c r="AB438" t="s">
        <v>249</v>
      </c>
      <c r="AC438" t="s">
        <v>5238</v>
      </c>
      <c r="AD438" t="s">
        <v>5170</v>
      </c>
      <c r="AE438" t="s">
        <v>5237</v>
      </c>
      <c r="AF438" t="s">
        <v>249</v>
      </c>
      <c r="AG438" t="s">
        <v>5238</v>
      </c>
      <c r="AI438" t="s">
        <v>1626</v>
      </c>
      <c r="AJ438" t="s">
        <v>5170</v>
      </c>
      <c r="AK438" t="s">
        <v>99</v>
      </c>
      <c r="AL438" t="s">
        <v>5239</v>
      </c>
      <c r="AM438" t="s">
        <v>5220</v>
      </c>
      <c r="AN438" t="s">
        <v>2555</v>
      </c>
      <c r="AR438" t="s">
        <v>125</v>
      </c>
      <c r="AT438" t="s">
        <v>5240</v>
      </c>
      <c r="AV438" t="s">
        <v>190</v>
      </c>
      <c r="AZ438" t="s">
        <v>80</v>
      </c>
    </row>
    <row r="439" spans="1:52" hidden="1" x14ac:dyDescent="0.25">
      <c r="A439" t="s">
        <v>5241</v>
      </c>
      <c r="B439" t="s">
        <v>5229</v>
      </c>
      <c r="C439" t="s">
        <v>5230</v>
      </c>
      <c r="D439" t="s">
        <v>2544</v>
      </c>
      <c r="E439" t="s">
        <v>5242</v>
      </c>
      <c r="F439" t="s">
        <v>5232</v>
      </c>
      <c r="G439" t="s">
        <v>5232</v>
      </c>
      <c r="J439" t="s">
        <v>80</v>
      </c>
      <c r="K439" t="s">
        <v>110</v>
      </c>
      <c r="L439" t="s">
        <v>111</v>
      </c>
      <c r="M439" t="s">
        <v>5233</v>
      </c>
      <c r="O439" t="s">
        <v>5234</v>
      </c>
      <c r="P439" t="s">
        <v>154</v>
      </c>
      <c r="Q439" t="s">
        <v>155</v>
      </c>
      <c r="R439" t="s">
        <v>156</v>
      </c>
      <c r="S439" t="s">
        <v>157</v>
      </c>
      <c r="T439" t="s">
        <v>5200</v>
      </c>
      <c r="U439" t="s">
        <v>1308</v>
      </c>
      <c r="V439" t="s">
        <v>5235</v>
      </c>
      <c r="W439" t="s">
        <v>347</v>
      </c>
      <c r="X439" t="s">
        <v>5243</v>
      </c>
      <c r="Y439" t="s">
        <v>93</v>
      </c>
      <c r="Z439" t="s">
        <v>5170</v>
      </c>
      <c r="AA439" t="s">
        <v>5237</v>
      </c>
      <c r="AB439" t="s">
        <v>249</v>
      </c>
      <c r="AC439" t="s">
        <v>5238</v>
      </c>
      <c r="AD439" t="s">
        <v>5170</v>
      </c>
      <c r="AE439" t="s">
        <v>5237</v>
      </c>
      <c r="AF439" t="s">
        <v>249</v>
      </c>
      <c r="AG439" t="s">
        <v>5238</v>
      </c>
      <c r="AI439" t="s">
        <v>1626</v>
      </c>
      <c r="AJ439" t="s">
        <v>5170</v>
      </c>
      <c r="AK439" t="s">
        <v>99</v>
      </c>
      <c r="AL439" t="s">
        <v>5244</v>
      </c>
      <c r="AM439" t="s">
        <v>5220</v>
      </c>
      <c r="AN439" t="s">
        <v>2555</v>
      </c>
      <c r="AR439" t="s">
        <v>125</v>
      </c>
      <c r="AT439" t="s">
        <v>5245</v>
      </c>
      <c r="AV439" t="s">
        <v>190</v>
      </c>
      <c r="AZ439" t="s">
        <v>80</v>
      </c>
    </row>
    <row r="440" spans="1:52" hidden="1" x14ac:dyDescent="0.25">
      <c r="A440" t="s">
        <v>5246</v>
      </c>
      <c r="B440" t="s">
        <v>5247</v>
      </c>
      <c r="C440" t="s">
        <v>5230</v>
      </c>
      <c r="D440" t="s">
        <v>2544</v>
      </c>
      <c r="E440" t="s">
        <v>5248</v>
      </c>
      <c r="F440" t="s">
        <v>5249</v>
      </c>
      <c r="G440" t="s">
        <v>5249</v>
      </c>
      <c r="J440" t="s">
        <v>80</v>
      </c>
      <c r="K440" t="s">
        <v>110</v>
      </c>
      <c r="L440" t="s">
        <v>111</v>
      </c>
      <c r="M440" t="s">
        <v>5250</v>
      </c>
      <c r="O440" t="s">
        <v>5251</v>
      </c>
      <c r="P440" t="s">
        <v>154</v>
      </c>
      <c r="Q440" t="s">
        <v>155</v>
      </c>
      <c r="R440" t="s">
        <v>156</v>
      </c>
      <c r="S440" t="s">
        <v>157</v>
      </c>
      <c r="T440" t="s">
        <v>5200</v>
      </c>
      <c r="U440" t="s">
        <v>5252</v>
      </c>
      <c r="V440" t="s">
        <v>2808</v>
      </c>
      <c r="W440" t="s">
        <v>439</v>
      </c>
      <c r="X440" t="s">
        <v>5202</v>
      </c>
      <c r="Y440" t="s">
        <v>93</v>
      </c>
      <c r="Z440" t="s">
        <v>5170</v>
      </c>
      <c r="AA440" t="s">
        <v>1180</v>
      </c>
      <c r="AB440" t="s">
        <v>249</v>
      </c>
      <c r="AC440" t="s">
        <v>5253</v>
      </c>
      <c r="AD440" t="s">
        <v>5170</v>
      </c>
      <c r="AE440" t="s">
        <v>1180</v>
      </c>
      <c r="AF440" t="s">
        <v>249</v>
      </c>
      <c r="AG440" t="s">
        <v>5253</v>
      </c>
      <c r="AI440" t="s">
        <v>3253</v>
      </c>
      <c r="AJ440" t="s">
        <v>5170</v>
      </c>
      <c r="AK440" t="s">
        <v>99</v>
      </c>
      <c r="AL440" t="s">
        <v>5254</v>
      </c>
      <c r="AM440" t="s">
        <v>5255</v>
      </c>
      <c r="AN440" t="s">
        <v>2555</v>
      </c>
      <c r="AR440" t="s">
        <v>125</v>
      </c>
      <c r="AT440" t="s">
        <v>5256</v>
      </c>
      <c r="AV440" t="s">
        <v>190</v>
      </c>
      <c r="AZ440" t="s">
        <v>80</v>
      </c>
    </row>
    <row r="441" spans="1:52" hidden="1" x14ac:dyDescent="0.25">
      <c r="A441" t="s">
        <v>5257</v>
      </c>
      <c r="B441" t="s">
        <v>5247</v>
      </c>
      <c r="C441" t="s">
        <v>5230</v>
      </c>
      <c r="D441" t="s">
        <v>2544</v>
      </c>
      <c r="E441" t="s">
        <v>5258</v>
      </c>
      <c r="F441" t="s">
        <v>5249</v>
      </c>
      <c r="G441" t="s">
        <v>5249</v>
      </c>
      <c r="J441" t="s">
        <v>80</v>
      </c>
      <c r="K441" t="s">
        <v>110</v>
      </c>
      <c r="L441" t="s">
        <v>111</v>
      </c>
      <c r="M441" t="s">
        <v>5250</v>
      </c>
      <c r="O441" t="s">
        <v>5251</v>
      </c>
      <c r="P441" t="s">
        <v>154</v>
      </c>
      <c r="Q441" t="s">
        <v>155</v>
      </c>
      <c r="R441" t="s">
        <v>156</v>
      </c>
      <c r="S441" t="s">
        <v>157</v>
      </c>
      <c r="T441" t="s">
        <v>5200</v>
      </c>
      <c r="U441" t="s">
        <v>5252</v>
      </c>
      <c r="V441" t="s">
        <v>2808</v>
      </c>
      <c r="W441" t="s">
        <v>425</v>
      </c>
      <c r="X441" t="s">
        <v>5210</v>
      </c>
      <c r="Y441" t="s">
        <v>93</v>
      </c>
      <c r="Z441" t="s">
        <v>5170</v>
      </c>
      <c r="AA441" t="s">
        <v>1180</v>
      </c>
      <c r="AB441" t="s">
        <v>249</v>
      </c>
      <c r="AC441" t="s">
        <v>5253</v>
      </c>
      <c r="AD441" t="s">
        <v>5170</v>
      </c>
      <c r="AE441" t="s">
        <v>1180</v>
      </c>
      <c r="AF441" t="s">
        <v>249</v>
      </c>
      <c r="AG441" t="s">
        <v>5253</v>
      </c>
      <c r="AI441" t="s">
        <v>3253</v>
      </c>
      <c r="AJ441" t="s">
        <v>5170</v>
      </c>
      <c r="AK441" t="s">
        <v>99</v>
      </c>
      <c r="AL441" t="s">
        <v>5259</v>
      </c>
      <c r="AM441" t="s">
        <v>5255</v>
      </c>
      <c r="AN441" t="s">
        <v>2555</v>
      </c>
      <c r="AR441" t="s">
        <v>125</v>
      </c>
      <c r="AT441" t="s">
        <v>5260</v>
      </c>
      <c r="AV441" t="s">
        <v>190</v>
      </c>
      <c r="AZ441" t="s">
        <v>80</v>
      </c>
    </row>
    <row r="442" spans="1:52" hidden="1" x14ac:dyDescent="0.25">
      <c r="A442" t="s">
        <v>5261</v>
      </c>
      <c r="B442" t="s">
        <v>5262</v>
      </c>
      <c r="C442" t="s">
        <v>5263</v>
      </c>
      <c r="D442" t="s">
        <v>2544</v>
      </c>
      <c r="E442" t="s">
        <v>5264</v>
      </c>
      <c r="F442" t="s">
        <v>5265</v>
      </c>
      <c r="G442" t="s">
        <v>5265</v>
      </c>
      <c r="J442" t="s">
        <v>80</v>
      </c>
      <c r="K442" t="s">
        <v>110</v>
      </c>
      <c r="L442" t="s">
        <v>111</v>
      </c>
      <c r="M442" t="s">
        <v>5266</v>
      </c>
      <c r="P442" t="s">
        <v>154</v>
      </c>
      <c r="Q442" t="s">
        <v>155</v>
      </c>
      <c r="R442" t="s">
        <v>156</v>
      </c>
      <c r="S442" t="s">
        <v>157</v>
      </c>
      <c r="T442" t="s">
        <v>371</v>
      </c>
      <c r="U442" t="s">
        <v>852</v>
      </c>
      <c r="V442" t="s">
        <v>1655</v>
      </c>
      <c r="W442" t="s">
        <v>359</v>
      </c>
      <c r="X442" t="s">
        <v>374</v>
      </c>
      <c r="Y442" t="s">
        <v>93</v>
      </c>
      <c r="Z442" t="s">
        <v>375</v>
      </c>
      <c r="AA442" t="s">
        <v>5267</v>
      </c>
      <c r="AB442" t="s">
        <v>249</v>
      </c>
      <c r="AC442" t="s">
        <v>277</v>
      </c>
      <c r="AD442" t="s">
        <v>375</v>
      </c>
      <c r="AE442" t="s">
        <v>5267</v>
      </c>
      <c r="AF442" t="s">
        <v>249</v>
      </c>
      <c r="AG442" t="s">
        <v>277</v>
      </c>
      <c r="AI442" t="s">
        <v>1315</v>
      </c>
      <c r="AJ442" t="s">
        <v>375</v>
      </c>
      <c r="AK442" t="s">
        <v>99</v>
      </c>
      <c r="AL442" t="s">
        <v>5268</v>
      </c>
      <c r="AM442" t="s">
        <v>5255</v>
      </c>
      <c r="AN442" t="s">
        <v>2555</v>
      </c>
      <c r="AR442" t="s">
        <v>125</v>
      </c>
      <c r="AT442" t="s">
        <v>5269</v>
      </c>
      <c r="AV442" t="s">
        <v>128</v>
      </c>
      <c r="AZ442" t="s">
        <v>80</v>
      </c>
    </row>
    <row r="443" spans="1:52" hidden="1" x14ac:dyDescent="0.25">
      <c r="A443" t="s">
        <v>5270</v>
      </c>
      <c r="B443" t="s">
        <v>5262</v>
      </c>
      <c r="C443" t="s">
        <v>5263</v>
      </c>
      <c r="D443" t="s">
        <v>2544</v>
      </c>
      <c r="E443" t="s">
        <v>5271</v>
      </c>
      <c r="F443" t="s">
        <v>5265</v>
      </c>
      <c r="G443" t="s">
        <v>5265</v>
      </c>
      <c r="J443" t="s">
        <v>80</v>
      </c>
      <c r="K443" t="s">
        <v>110</v>
      </c>
      <c r="L443" t="s">
        <v>111</v>
      </c>
      <c r="M443" t="s">
        <v>5266</v>
      </c>
      <c r="P443" t="s">
        <v>154</v>
      </c>
      <c r="Q443" t="s">
        <v>155</v>
      </c>
      <c r="R443" t="s">
        <v>156</v>
      </c>
      <c r="S443" t="s">
        <v>157</v>
      </c>
      <c r="T443" t="s">
        <v>371</v>
      </c>
      <c r="U443" t="s">
        <v>852</v>
      </c>
      <c r="V443" t="s">
        <v>1655</v>
      </c>
      <c r="W443" t="s">
        <v>347</v>
      </c>
      <c r="X443" t="s">
        <v>387</v>
      </c>
      <c r="Y443" t="s">
        <v>93</v>
      </c>
      <c r="Z443" t="s">
        <v>375</v>
      </c>
      <c r="AA443" t="s">
        <v>5267</v>
      </c>
      <c r="AB443" t="s">
        <v>249</v>
      </c>
      <c r="AC443" t="s">
        <v>277</v>
      </c>
      <c r="AD443" t="s">
        <v>375</v>
      </c>
      <c r="AE443" t="s">
        <v>5267</v>
      </c>
      <c r="AF443" t="s">
        <v>249</v>
      </c>
      <c r="AG443" t="s">
        <v>277</v>
      </c>
      <c r="AI443" t="s">
        <v>1315</v>
      </c>
      <c r="AJ443" t="s">
        <v>375</v>
      </c>
      <c r="AK443" t="s">
        <v>99</v>
      </c>
      <c r="AL443" t="s">
        <v>5272</v>
      </c>
      <c r="AM443" t="s">
        <v>5255</v>
      </c>
      <c r="AN443" t="s">
        <v>2555</v>
      </c>
      <c r="AR443" t="s">
        <v>125</v>
      </c>
      <c r="AT443" t="s">
        <v>5273</v>
      </c>
      <c r="AV443" t="s">
        <v>128</v>
      </c>
      <c r="AZ443" t="s">
        <v>80</v>
      </c>
    </row>
    <row r="444" spans="1:52" hidden="1" x14ac:dyDescent="0.25">
      <c r="A444" t="s">
        <v>5313</v>
      </c>
      <c r="B444" t="s">
        <v>5303</v>
      </c>
      <c r="C444" t="s">
        <v>5304</v>
      </c>
      <c r="D444" t="s">
        <v>2544</v>
      </c>
      <c r="E444" t="s">
        <v>5314</v>
      </c>
      <c r="F444" t="s">
        <v>5306</v>
      </c>
      <c r="G444" t="s">
        <v>5306</v>
      </c>
      <c r="J444" t="s">
        <v>80</v>
      </c>
      <c r="K444" t="s">
        <v>110</v>
      </c>
      <c r="L444" t="s">
        <v>111</v>
      </c>
      <c r="M444" t="s">
        <v>5307</v>
      </c>
      <c r="P444" t="s">
        <v>154</v>
      </c>
      <c r="Q444" t="s">
        <v>3469</v>
      </c>
      <c r="R444" t="s">
        <v>2488</v>
      </c>
      <c r="S444" t="s">
        <v>1016</v>
      </c>
      <c r="T444" t="s">
        <v>273</v>
      </c>
      <c r="U444" t="s">
        <v>345</v>
      </c>
      <c r="V444" t="s">
        <v>5308</v>
      </c>
      <c r="W444" t="s">
        <v>347</v>
      </c>
      <c r="X444" t="s">
        <v>5143</v>
      </c>
      <c r="Y444" t="s">
        <v>93</v>
      </c>
      <c r="Z444" t="s">
        <v>119</v>
      </c>
      <c r="AA444" t="s">
        <v>5309</v>
      </c>
      <c r="AB444" t="s">
        <v>249</v>
      </c>
      <c r="AC444" t="s">
        <v>907</v>
      </c>
      <c r="AD444" t="s">
        <v>119</v>
      </c>
      <c r="AE444" t="s">
        <v>5309</v>
      </c>
      <c r="AF444" t="s">
        <v>249</v>
      </c>
      <c r="AG444" t="s">
        <v>907</v>
      </c>
      <c r="AI444" t="s">
        <v>5310</v>
      </c>
      <c r="AJ444" t="s">
        <v>119</v>
      </c>
      <c r="AK444" t="s">
        <v>99</v>
      </c>
      <c r="AL444" t="s">
        <v>5315</v>
      </c>
      <c r="AM444" t="s">
        <v>5296</v>
      </c>
      <c r="AN444" t="s">
        <v>2578</v>
      </c>
      <c r="AR444" t="s">
        <v>125</v>
      </c>
      <c r="AT444" t="s">
        <v>5316</v>
      </c>
      <c r="AV444" t="s">
        <v>128</v>
      </c>
      <c r="AZ444" t="s">
        <v>80</v>
      </c>
    </row>
    <row r="445" spans="1:52" hidden="1" x14ac:dyDescent="0.25">
      <c r="A445" t="s">
        <v>2340</v>
      </c>
      <c r="B445" t="s">
        <v>2341</v>
      </c>
      <c r="C445" t="s">
        <v>2342</v>
      </c>
      <c r="D445" t="s">
        <v>78</v>
      </c>
      <c r="E445" t="s">
        <v>2343</v>
      </c>
      <c r="F445" t="s">
        <v>2344</v>
      </c>
      <c r="G445" t="s">
        <v>2344</v>
      </c>
      <c r="H445" t="s">
        <v>2345</v>
      </c>
      <c r="J445" t="s">
        <v>80</v>
      </c>
      <c r="K445" t="s">
        <v>81</v>
      </c>
      <c r="L445" t="s">
        <v>111</v>
      </c>
      <c r="M445" t="s">
        <v>2346</v>
      </c>
      <c r="O445" t="s">
        <v>2162</v>
      </c>
      <c r="P445" t="s">
        <v>154</v>
      </c>
      <c r="Q445" t="s">
        <v>155</v>
      </c>
      <c r="R445" t="s">
        <v>156</v>
      </c>
      <c r="S445" t="s">
        <v>157</v>
      </c>
      <c r="T445" t="s">
        <v>2318</v>
      </c>
      <c r="U445" t="s">
        <v>2241</v>
      </c>
      <c r="V445" t="s">
        <v>2213</v>
      </c>
      <c r="W445" t="s">
        <v>797</v>
      </c>
      <c r="X445" t="s">
        <v>2319</v>
      </c>
      <c r="Y445" t="s">
        <v>93</v>
      </c>
      <c r="Z445" t="s">
        <v>119</v>
      </c>
      <c r="AA445" t="s">
        <v>2347</v>
      </c>
      <c r="AB445" t="s">
        <v>249</v>
      </c>
      <c r="AC445" t="s">
        <v>2348</v>
      </c>
      <c r="AD445" t="s">
        <v>119</v>
      </c>
      <c r="AE445" t="s">
        <v>2347</v>
      </c>
      <c r="AF445" t="s">
        <v>249</v>
      </c>
      <c r="AG445" t="s">
        <v>2348</v>
      </c>
      <c r="AI445" t="s">
        <v>2349</v>
      </c>
      <c r="AJ445" t="s">
        <v>119</v>
      </c>
      <c r="AK445" t="s">
        <v>99</v>
      </c>
      <c r="AL445" t="s">
        <v>2350</v>
      </c>
      <c r="AM445" t="s">
        <v>2351</v>
      </c>
      <c r="AQ445" t="s">
        <v>2352</v>
      </c>
      <c r="AR445" t="s">
        <v>125</v>
      </c>
      <c r="AT445" t="s">
        <v>2353</v>
      </c>
      <c r="AU445" t="s">
        <v>2173</v>
      </c>
      <c r="AV445" t="s">
        <v>128</v>
      </c>
      <c r="AZ445" t="s">
        <v>80</v>
      </c>
    </row>
    <row r="446" spans="1:52" hidden="1" x14ac:dyDescent="0.25">
      <c r="A446" t="s">
        <v>5091</v>
      </c>
      <c r="B446" t="s">
        <v>5092</v>
      </c>
      <c r="C446" t="s">
        <v>5093</v>
      </c>
      <c r="D446" t="s">
        <v>2544</v>
      </c>
      <c r="E446" t="s">
        <v>5094</v>
      </c>
      <c r="F446" t="s">
        <v>5095</v>
      </c>
      <c r="G446" t="s">
        <v>5095</v>
      </c>
      <c r="J446" t="s">
        <v>80</v>
      </c>
      <c r="K446" t="s">
        <v>81</v>
      </c>
      <c r="L446" t="s">
        <v>111</v>
      </c>
      <c r="M446" t="s">
        <v>5096</v>
      </c>
      <c r="P446" t="s">
        <v>154</v>
      </c>
      <c r="Q446" t="s">
        <v>1284</v>
      </c>
      <c r="R446" t="s">
        <v>1285</v>
      </c>
      <c r="S446" t="s">
        <v>1124</v>
      </c>
      <c r="T446" t="s">
        <v>273</v>
      </c>
      <c r="U446" t="s">
        <v>274</v>
      </c>
      <c r="V446" t="s">
        <v>246</v>
      </c>
      <c r="W446" t="s">
        <v>439</v>
      </c>
      <c r="X446" t="s">
        <v>5097</v>
      </c>
      <c r="Y446" t="s">
        <v>93</v>
      </c>
      <c r="Z446" t="s">
        <v>119</v>
      </c>
      <c r="AA446" t="s">
        <v>3655</v>
      </c>
      <c r="AB446" t="s">
        <v>249</v>
      </c>
      <c r="AC446" t="s">
        <v>5016</v>
      </c>
      <c r="AD446" t="s">
        <v>119</v>
      </c>
      <c r="AE446" t="s">
        <v>3655</v>
      </c>
      <c r="AF446" t="s">
        <v>249</v>
      </c>
      <c r="AG446" t="s">
        <v>5016</v>
      </c>
      <c r="AI446" t="s">
        <v>5098</v>
      </c>
      <c r="AJ446" t="s">
        <v>119</v>
      </c>
      <c r="AK446" t="s">
        <v>99</v>
      </c>
      <c r="AL446" t="s">
        <v>5099</v>
      </c>
      <c r="AM446" t="s">
        <v>5100</v>
      </c>
      <c r="AN446" t="s">
        <v>5101</v>
      </c>
      <c r="AP446" t="s">
        <v>5102</v>
      </c>
      <c r="AR446" t="s">
        <v>125</v>
      </c>
      <c r="AT446" t="s">
        <v>5103</v>
      </c>
      <c r="AV446" t="s">
        <v>128</v>
      </c>
      <c r="AZ446" t="s">
        <v>80</v>
      </c>
    </row>
    <row r="447" spans="1:52" hidden="1" x14ac:dyDescent="0.25">
      <c r="A447" t="s">
        <v>5104</v>
      </c>
      <c r="B447" t="s">
        <v>5092</v>
      </c>
      <c r="C447" t="s">
        <v>5093</v>
      </c>
      <c r="D447" t="s">
        <v>2544</v>
      </c>
      <c r="E447" t="s">
        <v>5105</v>
      </c>
      <c r="F447" t="s">
        <v>5095</v>
      </c>
      <c r="G447" t="s">
        <v>5095</v>
      </c>
      <c r="J447" t="s">
        <v>80</v>
      </c>
      <c r="K447" t="s">
        <v>81</v>
      </c>
      <c r="L447" t="s">
        <v>111</v>
      </c>
      <c r="M447" t="s">
        <v>5096</v>
      </c>
      <c r="P447" t="s">
        <v>154</v>
      </c>
      <c r="Q447" t="s">
        <v>1284</v>
      </c>
      <c r="R447" t="s">
        <v>1285</v>
      </c>
      <c r="S447" t="s">
        <v>1124</v>
      </c>
      <c r="T447" t="s">
        <v>273</v>
      </c>
      <c r="U447" t="s">
        <v>274</v>
      </c>
      <c r="V447" t="s">
        <v>246</v>
      </c>
      <c r="W447" t="s">
        <v>425</v>
      </c>
      <c r="X447" t="s">
        <v>5106</v>
      </c>
      <c r="Y447" t="s">
        <v>93</v>
      </c>
      <c r="Z447" t="s">
        <v>119</v>
      </c>
      <c r="AA447" t="s">
        <v>3655</v>
      </c>
      <c r="AB447" t="s">
        <v>249</v>
      </c>
      <c r="AC447" t="s">
        <v>5016</v>
      </c>
      <c r="AD447" t="s">
        <v>119</v>
      </c>
      <c r="AE447" t="s">
        <v>3655</v>
      </c>
      <c r="AF447" t="s">
        <v>249</v>
      </c>
      <c r="AG447" t="s">
        <v>5016</v>
      </c>
      <c r="AI447" t="s">
        <v>5098</v>
      </c>
      <c r="AJ447" t="s">
        <v>119</v>
      </c>
      <c r="AK447" t="s">
        <v>99</v>
      </c>
      <c r="AL447" t="s">
        <v>5107</v>
      </c>
      <c r="AM447" t="s">
        <v>5108</v>
      </c>
      <c r="AN447" t="s">
        <v>5101</v>
      </c>
      <c r="AP447" t="s">
        <v>5102</v>
      </c>
      <c r="AR447" t="s">
        <v>125</v>
      </c>
      <c r="AT447" t="s">
        <v>5103</v>
      </c>
      <c r="AV447" t="s">
        <v>128</v>
      </c>
      <c r="AZ447" t="s">
        <v>80</v>
      </c>
    </row>
    <row r="448" spans="1:52" hidden="1" x14ac:dyDescent="0.25">
      <c r="A448" t="s">
        <v>7030</v>
      </c>
      <c r="B448" t="s">
        <v>7031</v>
      </c>
      <c r="C448" t="s">
        <v>7032</v>
      </c>
      <c r="D448" t="s">
        <v>2544</v>
      </c>
      <c r="E448" t="s">
        <v>7033</v>
      </c>
      <c r="F448" t="s">
        <v>7034</v>
      </c>
      <c r="G448" t="s">
        <v>7034</v>
      </c>
      <c r="J448" t="s">
        <v>80</v>
      </c>
      <c r="K448" t="s">
        <v>110</v>
      </c>
      <c r="L448" t="s">
        <v>111</v>
      </c>
      <c r="M448" t="s">
        <v>7035</v>
      </c>
      <c r="O448" t="s">
        <v>2162</v>
      </c>
      <c r="P448" t="s">
        <v>154</v>
      </c>
      <c r="Q448" t="s">
        <v>155</v>
      </c>
      <c r="R448" t="s">
        <v>156</v>
      </c>
      <c r="S448" t="s">
        <v>157</v>
      </c>
      <c r="T448" t="s">
        <v>2318</v>
      </c>
      <c r="U448" t="s">
        <v>2333</v>
      </c>
      <c r="V448" t="s">
        <v>2334</v>
      </c>
      <c r="W448" t="s">
        <v>161</v>
      </c>
      <c r="X448" t="s">
        <v>7015</v>
      </c>
      <c r="Y448" t="s">
        <v>93</v>
      </c>
      <c r="Z448" t="s">
        <v>119</v>
      </c>
      <c r="AA448" t="s">
        <v>3265</v>
      </c>
      <c r="AB448" t="s">
        <v>249</v>
      </c>
      <c r="AC448" t="s">
        <v>7036</v>
      </c>
      <c r="AD448" t="s">
        <v>119</v>
      </c>
      <c r="AE448" t="s">
        <v>3265</v>
      </c>
      <c r="AF448" t="s">
        <v>249</v>
      </c>
      <c r="AG448" t="s">
        <v>7036</v>
      </c>
      <c r="AI448" t="s">
        <v>7037</v>
      </c>
      <c r="AJ448" t="s">
        <v>119</v>
      </c>
      <c r="AK448" t="s">
        <v>99</v>
      </c>
      <c r="AL448" t="s">
        <v>7038</v>
      </c>
      <c r="AM448" t="s">
        <v>7028</v>
      </c>
      <c r="AN448" t="s">
        <v>2555</v>
      </c>
      <c r="AR448" t="s">
        <v>125</v>
      </c>
      <c r="AT448" t="s">
        <v>7039</v>
      </c>
      <c r="AV448" t="s">
        <v>128</v>
      </c>
      <c r="AZ448" t="s">
        <v>80</v>
      </c>
    </row>
    <row r="449" spans="1:52" hidden="1" x14ac:dyDescent="0.25">
      <c r="A449" t="s">
        <v>5213</v>
      </c>
      <c r="B449" t="s">
        <v>5214</v>
      </c>
      <c r="C449" t="s">
        <v>5195</v>
      </c>
      <c r="D449" t="s">
        <v>2544</v>
      </c>
      <c r="E449" t="s">
        <v>5215</v>
      </c>
      <c r="F449" t="s">
        <v>5216</v>
      </c>
      <c r="G449" t="s">
        <v>5216</v>
      </c>
      <c r="J449" t="s">
        <v>80</v>
      </c>
      <c r="K449" t="s">
        <v>110</v>
      </c>
      <c r="L449" t="s">
        <v>111</v>
      </c>
      <c r="M449" t="s">
        <v>5217</v>
      </c>
      <c r="P449" t="s">
        <v>154</v>
      </c>
      <c r="Q449" t="s">
        <v>539</v>
      </c>
      <c r="R449" t="s">
        <v>540</v>
      </c>
      <c r="S449" t="s">
        <v>541</v>
      </c>
      <c r="T449" t="s">
        <v>273</v>
      </c>
      <c r="U449" t="s">
        <v>274</v>
      </c>
      <c r="V449" t="s">
        <v>246</v>
      </c>
      <c r="W449" t="s">
        <v>5218</v>
      </c>
      <c r="X449" t="s">
        <v>275</v>
      </c>
      <c r="Y449" t="s">
        <v>93</v>
      </c>
      <c r="Z449" t="s">
        <v>119</v>
      </c>
      <c r="AA449" t="s">
        <v>491</v>
      </c>
      <c r="AB449" t="s">
        <v>249</v>
      </c>
      <c r="AC449" t="s">
        <v>2827</v>
      </c>
      <c r="AD449" t="s">
        <v>119</v>
      </c>
      <c r="AE449" t="s">
        <v>491</v>
      </c>
      <c r="AF449" t="s">
        <v>249</v>
      </c>
      <c r="AG449" t="s">
        <v>2827</v>
      </c>
      <c r="AI449" t="s">
        <v>2828</v>
      </c>
      <c r="AJ449" t="s">
        <v>119</v>
      </c>
      <c r="AK449" t="s">
        <v>99</v>
      </c>
      <c r="AL449" t="s">
        <v>5219</v>
      </c>
      <c r="AM449" t="s">
        <v>5220</v>
      </c>
      <c r="AN449" t="s">
        <v>2578</v>
      </c>
      <c r="AR449" t="s">
        <v>125</v>
      </c>
      <c r="AT449" t="s">
        <v>5221</v>
      </c>
      <c r="AV449" t="s">
        <v>128</v>
      </c>
      <c r="AZ449" t="s">
        <v>80</v>
      </c>
    </row>
    <row r="450" spans="1:52" hidden="1" x14ac:dyDescent="0.25">
      <c r="A450" t="s">
        <v>5222</v>
      </c>
      <c r="B450" t="s">
        <v>5214</v>
      </c>
      <c r="C450" t="s">
        <v>5223</v>
      </c>
      <c r="D450" t="s">
        <v>2544</v>
      </c>
      <c r="E450" t="s">
        <v>5224</v>
      </c>
      <c r="F450" t="s">
        <v>5216</v>
      </c>
      <c r="G450" t="s">
        <v>5216</v>
      </c>
      <c r="J450" t="s">
        <v>80</v>
      </c>
      <c r="K450" t="s">
        <v>110</v>
      </c>
      <c r="L450" t="s">
        <v>111</v>
      </c>
      <c r="M450" t="s">
        <v>5217</v>
      </c>
      <c r="P450" t="s">
        <v>154</v>
      </c>
      <c r="Q450" t="s">
        <v>539</v>
      </c>
      <c r="R450" t="s">
        <v>540</v>
      </c>
      <c r="S450" t="s">
        <v>541</v>
      </c>
      <c r="T450" t="s">
        <v>273</v>
      </c>
      <c r="U450" t="s">
        <v>274</v>
      </c>
      <c r="V450" t="s">
        <v>246</v>
      </c>
      <c r="W450" t="s">
        <v>5225</v>
      </c>
      <c r="X450" t="s">
        <v>275</v>
      </c>
      <c r="Y450" t="s">
        <v>93</v>
      </c>
      <c r="Z450" t="s">
        <v>119</v>
      </c>
      <c r="AA450" t="s">
        <v>491</v>
      </c>
      <c r="AB450" t="s">
        <v>249</v>
      </c>
      <c r="AC450" t="s">
        <v>2827</v>
      </c>
      <c r="AD450" t="s">
        <v>119</v>
      </c>
      <c r="AE450" t="s">
        <v>491</v>
      </c>
      <c r="AF450" t="s">
        <v>249</v>
      </c>
      <c r="AG450" t="s">
        <v>2827</v>
      </c>
      <c r="AI450" t="s">
        <v>2828</v>
      </c>
      <c r="AJ450" t="s">
        <v>119</v>
      </c>
      <c r="AK450" t="s">
        <v>99</v>
      </c>
      <c r="AL450" t="s">
        <v>5226</v>
      </c>
      <c r="AM450" t="s">
        <v>5206</v>
      </c>
      <c r="AN450" t="s">
        <v>2578</v>
      </c>
      <c r="AR450" t="s">
        <v>125</v>
      </c>
      <c r="AT450" t="s">
        <v>5227</v>
      </c>
      <c r="AV450" t="s">
        <v>128</v>
      </c>
      <c r="AZ450" t="s">
        <v>80</v>
      </c>
    </row>
    <row r="451" spans="1:52" hidden="1" x14ac:dyDescent="0.25">
      <c r="A451" t="s">
        <v>2326</v>
      </c>
      <c r="B451" t="s">
        <v>2327</v>
      </c>
      <c r="C451" t="s">
        <v>2328</v>
      </c>
      <c r="D451" t="s">
        <v>78</v>
      </c>
      <c r="E451" t="s">
        <v>2329</v>
      </c>
      <c r="F451" t="s">
        <v>2330</v>
      </c>
      <c r="G451" t="s">
        <v>2330</v>
      </c>
      <c r="H451" t="s">
        <v>2331</v>
      </c>
      <c r="J451" t="s">
        <v>80</v>
      </c>
      <c r="K451" t="s">
        <v>81</v>
      </c>
      <c r="L451" t="s">
        <v>111</v>
      </c>
      <c r="M451" t="s">
        <v>2332</v>
      </c>
      <c r="O451" t="s">
        <v>2162</v>
      </c>
      <c r="P451" t="s">
        <v>154</v>
      </c>
      <c r="Q451" t="s">
        <v>155</v>
      </c>
      <c r="R451" t="s">
        <v>156</v>
      </c>
      <c r="S451" t="s">
        <v>157</v>
      </c>
      <c r="T451" t="s">
        <v>2318</v>
      </c>
      <c r="U451" t="s">
        <v>2333</v>
      </c>
      <c r="V451" t="s">
        <v>2334</v>
      </c>
      <c r="W451" t="s">
        <v>797</v>
      </c>
      <c r="X451" t="s">
        <v>2319</v>
      </c>
      <c r="Y451" t="s">
        <v>93</v>
      </c>
      <c r="Z451" t="s">
        <v>119</v>
      </c>
      <c r="AA451" t="s">
        <v>654</v>
      </c>
      <c r="AB451" t="s">
        <v>249</v>
      </c>
      <c r="AC451" t="s">
        <v>2335</v>
      </c>
      <c r="AD451" t="s">
        <v>119</v>
      </c>
      <c r="AE451" t="s">
        <v>654</v>
      </c>
      <c r="AF451" t="s">
        <v>249</v>
      </c>
      <c r="AG451" t="s">
        <v>2335</v>
      </c>
      <c r="AI451" t="s">
        <v>656</v>
      </c>
      <c r="AJ451" t="s">
        <v>119</v>
      </c>
      <c r="AK451" t="s">
        <v>99</v>
      </c>
      <c r="AL451" t="s">
        <v>2336</v>
      </c>
      <c r="AM451" t="s">
        <v>2337</v>
      </c>
      <c r="AQ451" t="s">
        <v>2338</v>
      </c>
      <c r="AR451" t="s">
        <v>125</v>
      </c>
      <c r="AT451" t="s">
        <v>2339</v>
      </c>
      <c r="AU451" t="s">
        <v>2173</v>
      </c>
      <c r="AV451" t="s">
        <v>128</v>
      </c>
      <c r="AZ451" t="s">
        <v>80</v>
      </c>
    </row>
    <row r="452" spans="1:52" hidden="1" x14ac:dyDescent="0.25">
      <c r="A452" t="s">
        <v>5330</v>
      </c>
      <c r="B452" t="s">
        <v>5331</v>
      </c>
      <c r="C452" t="s">
        <v>5332</v>
      </c>
      <c r="D452" t="s">
        <v>2544</v>
      </c>
      <c r="E452" t="s">
        <v>5333</v>
      </c>
      <c r="F452" t="s">
        <v>5334</v>
      </c>
      <c r="G452" t="s">
        <v>5334</v>
      </c>
      <c r="J452" t="s">
        <v>80</v>
      </c>
      <c r="K452" t="s">
        <v>110</v>
      </c>
      <c r="L452" t="s">
        <v>111</v>
      </c>
      <c r="M452" t="s">
        <v>5335</v>
      </c>
      <c r="P452" t="s">
        <v>154</v>
      </c>
      <c r="Q452" t="s">
        <v>3469</v>
      </c>
      <c r="R452" t="s">
        <v>2488</v>
      </c>
      <c r="S452" t="s">
        <v>1016</v>
      </c>
      <c r="T452" t="s">
        <v>5115</v>
      </c>
      <c r="U452" t="s">
        <v>5336</v>
      </c>
      <c r="V452" t="s">
        <v>114</v>
      </c>
      <c r="W452" t="s">
        <v>359</v>
      </c>
      <c r="X452" t="s">
        <v>5337</v>
      </c>
      <c r="Y452" t="s">
        <v>93</v>
      </c>
      <c r="Z452" t="s">
        <v>304</v>
      </c>
      <c r="AA452" t="s">
        <v>5338</v>
      </c>
      <c r="AB452" t="s">
        <v>249</v>
      </c>
      <c r="AC452" t="s">
        <v>165</v>
      </c>
      <c r="AD452" t="s">
        <v>304</v>
      </c>
      <c r="AE452" t="s">
        <v>5338</v>
      </c>
      <c r="AF452" t="s">
        <v>249</v>
      </c>
      <c r="AG452" t="s">
        <v>165</v>
      </c>
      <c r="AI452" t="s">
        <v>5339</v>
      </c>
      <c r="AJ452" t="s">
        <v>304</v>
      </c>
      <c r="AK452" t="s">
        <v>99</v>
      </c>
      <c r="AL452" t="s">
        <v>5340</v>
      </c>
      <c r="AM452" t="s">
        <v>5341</v>
      </c>
      <c r="AN452" t="s">
        <v>2555</v>
      </c>
      <c r="AR452" t="s">
        <v>125</v>
      </c>
      <c r="AT452" t="s">
        <v>5342</v>
      </c>
      <c r="AV452" t="s">
        <v>128</v>
      </c>
      <c r="AZ452" t="s">
        <v>80</v>
      </c>
    </row>
    <row r="453" spans="1:52" hidden="1" x14ac:dyDescent="0.25">
      <c r="A453" t="s">
        <v>5343</v>
      </c>
      <c r="B453" t="s">
        <v>5331</v>
      </c>
      <c r="C453" t="s">
        <v>5332</v>
      </c>
      <c r="D453" t="s">
        <v>2544</v>
      </c>
      <c r="E453" t="s">
        <v>5344</v>
      </c>
      <c r="F453" t="s">
        <v>5334</v>
      </c>
      <c r="G453" t="s">
        <v>5334</v>
      </c>
      <c r="J453" t="s">
        <v>80</v>
      </c>
      <c r="K453" t="s">
        <v>110</v>
      </c>
      <c r="L453" t="s">
        <v>111</v>
      </c>
      <c r="M453" t="s">
        <v>5335</v>
      </c>
      <c r="P453" t="s">
        <v>154</v>
      </c>
      <c r="Q453" t="s">
        <v>3469</v>
      </c>
      <c r="R453" t="s">
        <v>2488</v>
      </c>
      <c r="S453" t="s">
        <v>1016</v>
      </c>
      <c r="T453" t="s">
        <v>5115</v>
      </c>
      <c r="U453" t="s">
        <v>5336</v>
      </c>
      <c r="V453" t="s">
        <v>114</v>
      </c>
      <c r="W453" t="s">
        <v>347</v>
      </c>
      <c r="X453" t="s">
        <v>5345</v>
      </c>
      <c r="Y453" t="s">
        <v>93</v>
      </c>
      <c r="Z453" t="s">
        <v>304</v>
      </c>
      <c r="AA453" t="s">
        <v>5338</v>
      </c>
      <c r="AB453" t="s">
        <v>249</v>
      </c>
      <c r="AC453" t="s">
        <v>165</v>
      </c>
      <c r="AD453" t="s">
        <v>304</v>
      </c>
      <c r="AE453" t="s">
        <v>5338</v>
      </c>
      <c r="AF453" t="s">
        <v>249</v>
      </c>
      <c r="AG453" t="s">
        <v>165</v>
      </c>
      <c r="AI453" t="s">
        <v>5339</v>
      </c>
      <c r="AJ453" t="s">
        <v>304</v>
      </c>
      <c r="AK453" t="s">
        <v>99</v>
      </c>
      <c r="AL453" t="s">
        <v>5346</v>
      </c>
      <c r="AM453" t="s">
        <v>5324</v>
      </c>
      <c r="AN453" t="s">
        <v>2555</v>
      </c>
      <c r="AR453" t="s">
        <v>125</v>
      </c>
      <c r="AT453" t="s">
        <v>5342</v>
      </c>
      <c r="AV453" t="s">
        <v>128</v>
      </c>
      <c r="AZ453" t="s">
        <v>80</v>
      </c>
    </row>
    <row r="454" spans="1:52" hidden="1" x14ac:dyDescent="0.25">
      <c r="A454" t="s">
        <v>7021</v>
      </c>
      <c r="B454" t="s">
        <v>7022</v>
      </c>
      <c r="C454" t="s">
        <v>7023</v>
      </c>
      <c r="D454" t="s">
        <v>2544</v>
      </c>
      <c r="E454" t="s">
        <v>7024</v>
      </c>
      <c r="F454" t="s">
        <v>7025</v>
      </c>
      <c r="G454" t="s">
        <v>7025</v>
      </c>
      <c r="J454" t="s">
        <v>80</v>
      </c>
      <c r="K454" t="s">
        <v>110</v>
      </c>
      <c r="L454" t="s">
        <v>111</v>
      </c>
      <c r="M454" t="s">
        <v>7026</v>
      </c>
      <c r="O454" t="s">
        <v>2162</v>
      </c>
      <c r="P454" t="s">
        <v>154</v>
      </c>
      <c r="Q454" t="s">
        <v>155</v>
      </c>
      <c r="R454" t="s">
        <v>156</v>
      </c>
      <c r="S454" t="s">
        <v>157</v>
      </c>
      <c r="T454" t="s">
        <v>2318</v>
      </c>
      <c r="U454" t="s">
        <v>2361</v>
      </c>
      <c r="V454" t="s">
        <v>2213</v>
      </c>
      <c r="W454" t="s">
        <v>161</v>
      </c>
      <c r="X454" t="s">
        <v>7015</v>
      </c>
      <c r="Y454" t="s">
        <v>93</v>
      </c>
      <c r="Z454" t="s">
        <v>119</v>
      </c>
      <c r="AA454" t="s">
        <v>2957</v>
      </c>
      <c r="AB454" t="s">
        <v>249</v>
      </c>
      <c r="AC454" t="s">
        <v>5934</v>
      </c>
      <c r="AD454" t="s">
        <v>119</v>
      </c>
      <c r="AE454" t="s">
        <v>2957</v>
      </c>
      <c r="AF454" t="s">
        <v>249</v>
      </c>
      <c r="AG454" t="s">
        <v>5934</v>
      </c>
      <c r="AI454" t="s">
        <v>1608</v>
      </c>
      <c r="AJ454" t="s">
        <v>119</v>
      </c>
      <c r="AK454" t="s">
        <v>99</v>
      </c>
      <c r="AL454" t="s">
        <v>7027</v>
      </c>
      <c r="AM454" t="s">
        <v>7028</v>
      </c>
      <c r="AN454" t="s">
        <v>2555</v>
      </c>
      <c r="AR454" t="s">
        <v>125</v>
      </c>
      <c r="AT454" t="s">
        <v>7029</v>
      </c>
      <c r="AV454" t="s">
        <v>128</v>
      </c>
      <c r="AZ454" t="s">
        <v>80</v>
      </c>
    </row>
    <row r="455" spans="1:52" hidden="1" x14ac:dyDescent="0.25">
      <c r="A455" t="s">
        <v>5179</v>
      </c>
      <c r="B455" t="s">
        <v>5180</v>
      </c>
      <c r="C455" t="s">
        <v>5159</v>
      </c>
      <c r="D455" t="s">
        <v>2544</v>
      </c>
      <c r="E455" t="s">
        <v>5181</v>
      </c>
      <c r="F455" t="s">
        <v>5182</v>
      </c>
      <c r="G455" t="s">
        <v>5182</v>
      </c>
      <c r="J455" t="s">
        <v>80</v>
      </c>
      <c r="K455" t="s">
        <v>110</v>
      </c>
      <c r="L455" t="s">
        <v>111</v>
      </c>
      <c r="M455" t="s">
        <v>5183</v>
      </c>
      <c r="P455" t="s">
        <v>154</v>
      </c>
      <c r="Q455" t="s">
        <v>155</v>
      </c>
      <c r="R455" t="s">
        <v>156</v>
      </c>
      <c r="S455" t="s">
        <v>157</v>
      </c>
      <c r="T455" t="s">
        <v>273</v>
      </c>
      <c r="U455" t="s">
        <v>274</v>
      </c>
      <c r="V455" t="s">
        <v>246</v>
      </c>
      <c r="W455" t="s">
        <v>359</v>
      </c>
      <c r="X455" t="s">
        <v>5135</v>
      </c>
      <c r="Y455" t="s">
        <v>93</v>
      </c>
      <c r="Z455" t="s">
        <v>119</v>
      </c>
      <c r="AA455" t="s">
        <v>5184</v>
      </c>
      <c r="AB455" t="s">
        <v>249</v>
      </c>
      <c r="AC455" t="s">
        <v>5185</v>
      </c>
      <c r="AD455" t="s">
        <v>119</v>
      </c>
      <c r="AE455" t="s">
        <v>5184</v>
      </c>
      <c r="AF455" t="s">
        <v>249</v>
      </c>
      <c r="AG455" t="s">
        <v>5185</v>
      </c>
      <c r="AI455" t="s">
        <v>1767</v>
      </c>
      <c r="AJ455" t="s">
        <v>119</v>
      </c>
      <c r="AK455" t="s">
        <v>99</v>
      </c>
      <c r="AL455" t="s">
        <v>5186</v>
      </c>
      <c r="AM455" t="s">
        <v>5187</v>
      </c>
      <c r="AN455" t="s">
        <v>2578</v>
      </c>
      <c r="AR455" t="s">
        <v>125</v>
      </c>
      <c r="AT455" t="s">
        <v>5188</v>
      </c>
      <c r="AV455" t="s">
        <v>128</v>
      </c>
      <c r="AZ455" t="s">
        <v>80</v>
      </c>
    </row>
    <row r="456" spans="1:52" hidden="1" x14ac:dyDescent="0.25">
      <c r="A456" t="s">
        <v>5361</v>
      </c>
      <c r="B456" t="s">
        <v>5362</v>
      </c>
      <c r="C456" t="s">
        <v>5363</v>
      </c>
      <c r="D456" t="s">
        <v>2544</v>
      </c>
      <c r="E456" t="s">
        <v>5364</v>
      </c>
      <c r="F456" t="s">
        <v>5365</v>
      </c>
      <c r="G456" t="s">
        <v>5365</v>
      </c>
      <c r="J456" t="s">
        <v>80</v>
      </c>
      <c r="K456" t="s">
        <v>110</v>
      </c>
      <c r="L456" t="s">
        <v>111</v>
      </c>
      <c r="M456" t="s">
        <v>5366</v>
      </c>
      <c r="P456" t="s">
        <v>154</v>
      </c>
      <c r="Q456" t="s">
        <v>155</v>
      </c>
      <c r="R456" t="s">
        <v>156</v>
      </c>
      <c r="S456" t="s">
        <v>157</v>
      </c>
      <c r="T456" t="s">
        <v>371</v>
      </c>
      <c r="U456" t="s">
        <v>5367</v>
      </c>
      <c r="V456" t="s">
        <v>230</v>
      </c>
      <c r="W456" t="s">
        <v>359</v>
      </c>
      <c r="X456" t="s">
        <v>374</v>
      </c>
      <c r="Y456" t="s">
        <v>93</v>
      </c>
      <c r="Z456" t="s">
        <v>375</v>
      </c>
      <c r="AA456" t="s">
        <v>4472</v>
      </c>
      <c r="AB456" t="s">
        <v>249</v>
      </c>
      <c r="AC456" t="s">
        <v>5368</v>
      </c>
      <c r="AD456" t="s">
        <v>375</v>
      </c>
      <c r="AE456" t="s">
        <v>4472</v>
      </c>
      <c r="AF456" t="s">
        <v>249</v>
      </c>
      <c r="AG456" t="s">
        <v>5368</v>
      </c>
      <c r="AI456" t="s">
        <v>3907</v>
      </c>
      <c r="AJ456" t="s">
        <v>375</v>
      </c>
      <c r="AK456" t="s">
        <v>99</v>
      </c>
      <c r="AL456" t="s">
        <v>5369</v>
      </c>
      <c r="AM456" t="s">
        <v>5370</v>
      </c>
      <c r="AN456" t="s">
        <v>2555</v>
      </c>
      <c r="AR456" t="s">
        <v>125</v>
      </c>
      <c r="AT456" t="s">
        <v>5371</v>
      </c>
      <c r="AV456" t="s">
        <v>128</v>
      </c>
      <c r="AZ456" t="s">
        <v>80</v>
      </c>
    </row>
    <row r="457" spans="1:52" hidden="1" x14ac:dyDescent="0.25">
      <c r="A457" t="s">
        <v>5372</v>
      </c>
      <c r="B457" t="s">
        <v>5362</v>
      </c>
      <c r="C457" t="s">
        <v>5363</v>
      </c>
      <c r="D457" t="s">
        <v>2544</v>
      </c>
      <c r="E457" t="s">
        <v>5373</v>
      </c>
      <c r="F457" t="s">
        <v>5365</v>
      </c>
      <c r="G457" t="s">
        <v>5365</v>
      </c>
      <c r="J457" t="s">
        <v>80</v>
      </c>
      <c r="K457" t="s">
        <v>110</v>
      </c>
      <c r="L457" t="s">
        <v>111</v>
      </c>
      <c r="M457" t="s">
        <v>5366</v>
      </c>
      <c r="P457" t="s">
        <v>154</v>
      </c>
      <c r="Q457" t="s">
        <v>155</v>
      </c>
      <c r="R457" t="s">
        <v>156</v>
      </c>
      <c r="S457" t="s">
        <v>157</v>
      </c>
      <c r="T457" t="s">
        <v>371</v>
      </c>
      <c r="U457" t="s">
        <v>5367</v>
      </c>
      <c r="V457" t="s">
        <v>230</v>
      </c>
      <c r="W457" t="s">
        <v>347</v>
      </c>
      <c r="X457" t="s">
        <v>387</v>
      </c>
      <c r="Y457" t="s">
        <v>93</v>
      </c>
      <c r="Z457" t="s">
        <v>375</v>
      </c>
      <c r="AA457" t="s">
        <v>4472</v>
      </c>
      <c r="AB457" t="s">
        <v>249</v>
      </c>
      <c r="AC457" t="s">
        <v>5368</v>
      </c>
      <c r="AD457" t="s">
        <v>375</v>
      </c>
      <c r="AE457" t="s">
        <v>4472</v>
      </c>
      <c r="AF457" t="s">
        <v>249</v>
      </c>
      <c r="AG457" t="s">
        <v>5368</v>
      </c>
      <c r="AI457" t="s">
        <v>3907</v>
      </c>
      <c r="AJ457" t="s">
        <v>375</v>
      </c>
      <c r="AK457" t="s">
        <v>99</v>
      </c>
      <c r="AL457" t="s">
        <v>5374</v>
      </c>
      <c r="AM457" t="s">
        <v>5355</v>
      </c>
      <c r="AN457" t="s">
        <v>2555</v>
      </c>
      <c r="AR457" t="s">
        <v>125</v>
      </c>
      <c r="AT457" t="s">
        <v>5371</v>
      </c>
      <c r="AV457" t="s">
        <v>128</v>
      </c>
      <c r="AZ457" t="s">
        <v>80</v>
      </c>
    </row>
    <row r="458" spans="1:52" hidden="1" x14ac:dyDescent="0.25">
      <c r="A458" t="s">
        <v>5375</v>
      </c>
      <c r="B458" t="s">
        <v>5376</v>
      </c>
      <c r="C458" t="s">
        <v>5377</v>
      </c>
      <c r="D458" t="s">
        <v>2544</v>
      </c>
      <c r="E458" t="s">
        <v>5378</v>
      </c>
      <c r="F458" t="s">
        <v>5379</v>
      </c>
      <c r="G458" t="s">
        <v>5379</v>
      </c>
      <c r="J458" t="s">
        <v>80</v>
      </c>
      <c r="K458" t="s">
        <v>81</v>
      </c>
      <c r="L458" t="s">
        <v>111</v>
      </c>
      <c r="M458" t="s">
        <v>5380</v>
      </c>
      <c r="P458" t="s">
        <v>134</v>
      </c>
      <c r="Q458" t="s">
        <v>2687</v>
      </c>
      <c r="R458" t="s">
        <v>1441</v>
      </c>
      <c r="S458" t="s">
        <v>748</v>
      </c>
      <c r="T458" t="s">
        <v>1267</v>
      </c>
      <c r="U458" t="s">
        <v>4049</v>
      </c>
      <c r="V458" t="s">
        <v>2587</v>
      </c>
      <c r="W458" t="s">
        <v>797</v>
      </c>
      <c r="X458" t="s">
        <v>5381</v>
      </c>
      <c r="Y458" t="s">
        <v>93</v>
      </c>
      <c r="Z458" t="s">
        <v>119</v>
      </c>
      <c r="AA458" t="s">
        <v>5382</v>
      </c>
      <c r="AB458" t="s">
        <v>94</v>
      </c>
      <c r="AC458" t="s">
        <v>4542</v>
      </c>
      <c r="AD458" t="s">
        <v>119</v>
      </c>
      <c r="AE458" t="s">
        <v>5382</v>
      </c>
      <c r="AF458" t="s">
        <v>94</v>
      </c>
      <c r="AG458" t="s">
        <v>4542</v>
      </c>
      <c r="AI458" t="s">
        <v>702</v>
      </c>
      <c r="AJ458" t="s">
        <v>119</v>
      </c>
      <c r="AK458" t="s">
        <v>99</v>
      </c>
      <c r="AL458" t="s">
        <v>5383</v>
      </c>
      <c r="AM458" t="s">
        <v>5384</v>
      </c>
      <c r="AN458" t="s">
        <v>2564</v>
      </c>
      <c r="AP458" t="s">
        <v>1218</v>
      </c>
      <c r="AR458" t="s">
        <v>125</v>
      </c>
      <c r="AT458" t="s">
        <v>5385</v>
      </c>
      <c r="AV458" t="s">
        <v>128</v>
      </c>
      <c r="AZ458" t="s">
        <v>80</v>
      </c>
    </row>
    <row r="459" spans="1:52" hidden="1" x14ac:dyDescent="0.25">
      <c r="A459" t="s">
        <v>5386</v>
      </c>
      <c r="B459" t="s">
        <v>5387</v>
      </c>
      <c r="C459" t="s">
        <v>5377</v>
      </c>
      <c r="D459" t="s">
        <v>2544</v>
      </c>
      <c r="E459" t="s">
        <v>5388</v>
      </c>
      <c r="F459" t="s">
        <v>5389</v>
      </c>
      <c r="G459" t="s">
        <v>5389</v>
      </c>
      <c r="J459" t="s">
        <v>80</v>
      </c>
      <c r="K459" t="s">
        <v>81</v>
      </c>
      <c r="L459" t="s">
        <v>111</v>
      </c>
      <c r="M459" t="s">
        <v>5390</v>
      </c>
      <c r="P459" t="s">
        <v>1266</v>
      </c>
      <c r="Q459" t="s">
        <v>85</v>
      </c>
      <c r="R459" t="s">
        <v>86</v>
      </c>
      <c r="S459" t="s">
        <v>87</v>
      </c>
      <c r="T459" t="s">
        <v>1267</v>
      </c>
      <c r="U459" t="s">
        <v>401</v>
      </c>
      <c r="V459" t="s">
        <v>3047</v>
      </c>
      <c r="W459" t="s">
        <v>797</v>
      </c>
      <c r="X459" t="s">
        <v>5381</v>
      </c>
      <c r="Y459" t="s">
        <v>93</v>
      </c>
      <c r="Z459" t="s">
        <v>119</v>
      </c>
      <c r="AA459" t="s">
        <v>1971</v>
      </c>
      <c r="AB459" t="s">
        <v>94</v>
      </c>
      <c r="AC459" t="s">
        <v>5391</v>
      </c>
      <c r="AD459" t="s">
        <v>119</v>
      </c>
      <c r="AE459" t="s">
        <v>1971</v>
      </c>
      <c r="AF459" t="s">
        <v>94</v>
      </c>
      <c r="AG459" t="s">
        <v>5391</v>
      </c>
      <c r="AI459" t="s">
        <v>4572</v>
      </c>
      <c r="AJ459" t="s">
        <v>119</v>
      </c>
      <c r="AK459" t="s">
        <v>99</v>
      </c>
      <c r="AL459" t="s">
        <v>5392</v>
      </c>
      <c r="AM459" t="s">
        <v>5393</v>
      </c>
      <c r="AN459" t="s">
        <v>2564</v>
      </c>
      <c r="AP459" t="s">
        <v>1218</v>
      </c>
      <c r="AR459" t="s">
        <v>125</v>
      </c>
      <c r="AT459" t="s">
        <v>5394</v>
      </c>
      <c r="AV459" t="s">
        <v>128</v>
      </c>
      <c r="AZ459" t="s">
        <v>80</v>
      </c>
    </row>
    <row r="460" spans="1:52" hidden="1" x14ac:dyDescent="0.25">
      <c r="A460" t="s">
        <v>5395</v>
      </c>
      <c r="B460" t="s">
        <v>5396</v>
      </c>
      <c r="C460" t="s">
        <v>5397</v>
      </c>
      <c r="D460" t="s">
        <v>2544</v>
      </c>
      <c r="E460" t="s">
        <v>5398</v>
      </c>
      <c r="F460" t="s">
        <v>5399</v>
      </c>
      <c r="G460" t="s">
        <v>5399</v>
      </c>
      <c r="J460" t="s">
        <v>80</v>
      </c>
      <c r="K460" t="s">
        <v>81</v>
      </c>
      <c r="L460" t="s">
        <v>111</v>
      </c>
      <c r="M460" t="s">
        <v>5390</v>
      </c>
      <c r="P460" t="s">
        <v>1266</v>
      </c>
      <c r="Q460" t="s">
        <v>85</v>
      </c>
      <c r="R460" t="s">
        <v>86</v>
      </c>
      <c r="S460" t="s">
        <v>87</v>
      </c>
      <c r="T460" t="s">
        <v>1267</v>
      </c>
      <c r="U460" t="s">
        <v>4337</v>
      </c>
      <c r="V460" t="s">
        <v>1484</v>
      </c>
      <c r="W460" t="s">
        <v>697</v>
      </c>
      <c r="X460" t="s">
        <v>5400</v>
      </c>
      <c r="Y460" t="s">
        <v>93</v>
      </c>
      <c r="Z460" t="s">
        <v>119</v>
      </c>
      <c r="AA460" t="s">
        <v>2716</v>
      </c>
      <c r="AB460" t="s">
        <v>94</v>
      </c>
      <c r="AC460" t="s">
        <v>5401</v>
      </c>
      <c r="AD460" t="s">
        <v>119</v>
      </c>
      <c r="AE460" t="s">
        <v>2716</v>
      </c>
      <c r="AF460" t="s">
        <v>94</v>
      </c>
      <c r="AG460" t="s">
        <v>5401</v>
      </c>
      <c r="AI460" t="s">
        <v>5402</v>
      </c>
      <c r="AJ460" t="s">
        <v>119</v>
      </c>
      <c r="AK460" t="s">
        <v>99</v>
      </c>
      <c r="AL460" t="s">
        <v>5403</v>
      </c>
      <c r="AM460" t="s">
        <v>5393</v>
      </c>
      <c r="AN460" t="s">
        <v>2564</v>
      </c>
      <c r="AP460" t="s">
        <v>1218</v>
      </c>
      <c r="AR460" t="s">
        <v>125</v>
      </c>
      <c r="AT460" t="s">
        <v>5404</v>
      </c>
      <c r="AV460" t="s">
        <v>128</v>
      </c>
      <c r="AZ460" t="s">
        <v>80</v>
      </c>
    </row>
    <row r="461" spans="1:52" hidden="1" x14ac:dyDescent="0.25">
      <c r="A461" t="s">
        <v>5405</v>
      </c>
      <c r="B461" t="s">
        <v>3297</v>
      </c>
      <c r="C461" t="s">
        <v>5397</v>
      </c>
      <c r="D461" t="s">
        <v>2544</v>
      </c>
      <c r="E461" t="s">
        <v>5406</v>
      </c>
      <c r="F461" t="s">
        <v>3300</v>
      </c>
      <c r="G461" t="s">
        <v>3300</v>
      </c>
      <c r="J461" t="s">
        <v>80</v>
      </c>
      <c r="K461" t="s">
        <v>81</v>
      </c>
      <c r="L461" t="s">
        <v>111</v>
      </c>
      <c r="M461" t="s">
        <v>3301</v>
      </c>
      <c r="P461" t="s">
        <v>134</v>
      </c>
      <c r="Q461" t="s">
        <v>1205</v>
      </c>
      <c r="R461" t="s">
        <v>914</v>
      </c>
      <c r="S461" t="s">
        <v>444</v>
      </c>
      <c r="T461" t="s">
        <v>2924</v>
      </c>
      <c r="U461" t="s">
        <v>2936</v>
      </c>
      <c r="V461" t="s">
        <v>2260</v>
      </c>
      <c r="W461" t="s">
        <v>1209</v>
      </c>
      <c r="X461" t="s">
        <v>4899</v>
      </c>
      <c r="Y461" t="s">
        <v>93</v>
      </c>
      <c r="Z461" t="s">
        <v>678</v>
      </c>
      <c r="AA461" t="s">
        <v>3303</v>
      </c>
      <c r="AB461" t="s">
        <v>829</v>
      </c>
      <c r="AC461" t="s">
        <v>3304</v>
      </c>
      <c r="AD461" t="s">
        <v>678</v>
      </c>
      <c r="AE461" t="s">
        <v>3303</v>
      </c>
      <c r="AF461" t="s">
        <v>829</v>
      </c>
      <c r="AG461" t="s">
        <v>3304</v>
      </c>
      <c r="AI461" t="s">
        <v>3305</v>
      </c>
      <c r="AJ461" t="s">
        <v>678</v>
      </c>
      <c r="AK461" t="s">
        <v>99</v>
      </c>
      <c r="AL461" t="s">
        <v>5407</v>
      </c>
      <c r="AM461" t="s">
        <v>3307</v>
      </c>
      <c r="AN461" t="s">
        <v>2564</v>
      </c>
      <c r="AR461" t="s">
        <v>125</v>
      </c>
      <c r="AT461" t="s">
        <v>5408</v>
      </c>
      <c r="AV461" t="s">
        <v>128</v>
      </c>
      <c r="AZ461" t="s">
        <v>80</v>
      </c>
    </row>
    <row r="462" spans="1:52" hidden="1" x14ac:dyDescent="0.25">
      <c r="A462" t="s">
        <v>5409</v>
      </c>
      <c r="B462" t="s">
        <v>3297</v>
      </c>
      <c r="C462" t="s">
        <v>5410</v>
      </c>
      <c r="D462" t="s">
        <v>2544</v>
      </c>
      <c r="E462" t="s">
        <v>5411</v>
      </c>
      <c r="F462" t="s">
        <v>3300</v>
      </c>
      <c r="G462" t="s">
        <v>3300</v>
      </c>
      <c r="J462" t="s">
        <v>80</v>
      </c>
      <c r="K462" t="s">
        <v>81</v>
      </c>
      <c r="L462" t="s">
        <v>111</v>
      </c>
      <c r="M462" t="s">
        <v>3301</v>
      </c>
      <c r="P462" t="s">
        <v>134</v>
      </c>
      <c r="Q462" t="s">
        <v>1205</v>
      </c>
      <c r="R462" t="s">
        <v>914</v>
      </c>
      <c r="S462" t="s">
        <v>444</v>
      </c>
      <c r="T462" t="s">
        <v>2924</v>
      </c>
      <c r="U462" t="s">
        <v>2936</v>
      </c>
      <c r="V462" t="s">
        <v>2260</v>
      </c>
      <c r="W462" t="s">
        <v>3428</v>
      </c>
      <c r="X462" t="s">
        <v>2927</v>
      </c>
      <c r="Y462" t="s">
        <v>93</v>
      </c>
      <c r="Z462" t="s">
        <v>678</v>
      </c>
      <c r="AA462" t="s">
        <v>3303</v>
      </c>
      <c r="AB462" t="s">
        <v>829</v>
      </c>
      <c r="AC462" t="s">
        <v>3304</v>
      </c>
      <c r="AD462" t="s">
        <v>678</v>
      </c>
      <c r="AE462" t="s">
        <v>3303</v>
      </c>
      <c r="AF462" t="s">
        <v>829</v>
      </c>
      <c r="AG462" t="s">
        <v>3304</v>
      </c>
      <c r="AI462" t="s">
        <v>5412</v>
      </c>
      <c r="AJ462" t="s">
        <v>678</v>
      </c>
      <c r="AK462" t="s">
        <v>99</v>
      </c>
      <c r="AL462" t="s">
        <v>5413</v>
      </c>
      <c r="AM462" t="s">
        <v>3307</v>
      </c>
      <c r="AN462" t="s">
        <v>2564</v>
      </c>
      <c r="AR462" t="s">
        <v>125</v>
      </c>
      <c r="AT462" t="s">
        <v>5414</v>
      </c>
      <c r="AV462" t="s">
        <v>128</v>
      </c>
      <c r="AZ462" t="s">
        <v>80</v>
      </c>
    </row>
    <row r="463" spans="1:52" hidden="1" x14ac:dyDescent="0.25">
      <c r="A463" t="s">
        <v>5415</v>
      </c>
      <c r="B463" t="s">
        <v>3297</v>
      </c>
      <c r="C463" t="s">
        <v>5410</v>
      </c>
      <c r="D463" t="s">
        <v>2544</v>
      </c>
      <c r="E463" t="s">
        <v>5416</v>
      </c>
      <c r="F463" t="s">
        <v>3300</v>
      </c>
      <c r="G463" t="s">
        <v>3300</v>
      </c>
      <c r="J463" t="s">
        <v>80</v>
      </c>
      <c r="K463" t="s">
        <v>81</v>
      </c>
      <c r="L463" t="s">
        <v>111</v>
      </c>
      <c r="M463" t="s">
        <v>3301</v>
      </c>
      <c r="P463" t="s">
        <v>134</v>
      </c>
      <c r="Q463" t="s">
        <v>1205</v>
      </c>
      <c r="R463" t="s">
        <v>914</v>
      </c>
      <c r="S463" t="s">
        <v>444</v>
      </c>
      <c r="T463" t="s">
        <v>2924</v>
      </c>
      <c r="U463" t="s">
        <v>2936</v>
      </c>
      <c r="V463" t="s">
        <v>2260</v>
      </c>
      <c r="W463" t="s">
        <v>1233</v>
      </c>
      <c r="X463" t="s">
        <v>4904</v>
      </c>
      <c r="Y463" t="s">
        <v>93</v>
      </c>
      <c r="Z463" t="s">
        <v>678</v>
      </c>
      <c r="AA463" t="s">
        <v>3303</v>
      </c>
      <c r="AB463" t="s">
        <v>829</v>
      </c>
      <c r="AC463" t="s">
        <v>3304</v>
      </c>
      <c r="AD463" t="s">
        <v>678</v>
      </c>
      <c r="AE463" t="s">
        <v>3303</v>
      </c>
      <c r="AF463" t="s">
        <v>829</v>
      </c>
      <c r="AG463" t="s">
        <v>3304</v>
      </c>
      <c r="AI463" t="s">
        <v>3305</v>
      </c>
      <c r="AJ463" t="s">
        <v>678</v>
      </c>
      <c r="AK463" t="s">
        <v>99</v>
      </c>
      <c r="AL463" t="s">
        <v>5417</v>
      </c>
      <c r="AM463" t="s">
        <v>3307</v>
      </c>
      <c r="AN463" t="s">
        <v>2564</v>
      </c>
      <c r="AR463" t="s">
        <v>125</v>
      </c>
      <c r="AT463" t="s">
        <v>5418</v>
      </c>
      <c r="AV463" t="s">
        <v>128</v>
      </c>
      <c r="AZ463" t="s">
        <v>80</v>
      </c>
    </row>
    <row r="464" spans="1:52" hidden="1" x14ac:dyDescent="0.25">
      <c r="A464" t="s">
        <v>5419</v>
      </c>
      <c r="B464" t="s">
        <v>3297</v>
      </c>
      <c r="C464" t="s">
        <v>5410</v>
      </c>
      <c r="D464" t="s">
        <v>2544</v>
      </c>
      <c r="E464" t="s">
        <v>5420</v>
      </c>
      <c r="F464" t="s">
        <v>3300</v>
      </c>
      <c r="G464" t="s">
        <v>3300</v>
      </c>
      <c r="J464" t="s">
        <v>80</v>
      </c>
      <c r="K464" t="s">
        <v>81</v>
      </c>
      <c r="L464" t="s">
        <v>111</v>
      </c>
      <c r="M464" t="s">
        <v>3301</v>
      </c>
      <c r="P464" t="s">
        <v>134</v>
      </c>
      <c r="Q464" t="s">
        <v>1205</v>
      </c>
      <c r="R464" t="s">
        <v>914</v>
      </c>
      <c r="S464" t="s">
        <v>444</v>
      </c>
      <c r="T464" t="s">
        <v>2924</v>
      </c>
      <c r="U464" t="s">
        <v>2936</v>
      </c>
      <c r="V464" t="s">
        <v>2260</v>
      </c>
      <c r="W464" t="s">
        <v>4892</v>
      </c>
      <c r="X464" t="s">
        <v>4893</v>
      </c>
      <c r="Y464" t="s">
        <v>93</v>
      </c>
      <c r="Z464" t="s">
        <v>678</v>
      </c>
      <c r="AA464" t="s">
        <v>3303</v>
      </c>
      <c r="AB464" t="s">
        <v>829</v>
      </c>
      <c r="AC464" t="s">
        <v>3304</v>
      </c>
      <c r="AD464" t="s">
        <v>678</v>
      </c>
      <c r="AE464" t="s">
        <v>3303</v>
      </c>
      <c r="AF464" t="s">
        <v>829</v>
      </c>
      <c r="AG464" t="s">
        <v>3304</v>
      </c>
      <c r="AI464" t="s">
        <v>3305</v>
      </c>
      <c r="AJ464" t="s">
        <v>678</v>
      </c>
      <c r="AK464" t="s">
        <v>99</v>
      </c>
      <c r="AL464" t="s">
        <v>5421</v>
      </c>
      <c r="AM464" t="s">
        <v>3307</v>
      </c>
      <c r="AN464" t="s">
        <v>2564</v>
      </c>
      <c r="AR464" t="s">
        <v>125</v>
      </c>
      <c r="AT464" t="s">
        <v>5422</v>
      </c>
      <c r="AV464" t="s">
        <v>128</v>
      </c>
      <c r="AZ464" t="s">
        <v>80</v>
      </c>
    </row>
    <row r="465" spans="1:52" hidden="1" x14ac:dyDescent="0.25">
      <c r="A465" t="s">
        <v>5423</v>
      </c>
      <c r="B465" t="s">
        <v>3436</v>
      </c>
      <c r="C465" t="s">
        <v>5424</v>
      </c>
      <c r="D465" t="s">
        <v>2544</v>
      </c>
      <c r="E465" t="s">
        <v>5425</v>
      </c>
      <c r="F465" t="s">
        <v>3439</v>
      </c>
      <c r="G465" t="s">
        <v>3439</v>
      </c>
      <c r="J465" t="s">
        <v>80</v>
      </c>
      <c r="K465" t="s">
        <v>81</v>
      </c>
      <c r="L465" t="s">
        <v>111</v>
      </c>
      <c r="M465" t="s">
        <v>3440</v>
      </c>
      <c r="P465" t="s">
        <v>134</v>
      </c>
      <c r="Q465" t="s">
        <v>1205</v>
      </c>
      <c r="R465" t="s">
        <v>914</v>
      </c>
      <c r="S465" t="s">
        <v>444</v>
      </c>
      <c r="T465" t="s">
        <v>3441</v>
      </c>
      <c r="U465" t="s">
        <v>138</v>
      </c>
      <c r="V465" t="s">
        <v>3442</v>
      </c>
      <c r="W465" t="s">
        <v>3302</v>
      </c>
      <c r="X465" t="s">
        <v>3443</v>
      </c>
      <c r="Y465" t="s">
        <v>93</v>
      </c>
      <c r="Z465" t="s">
        <v>548</v>
      </c>
      <c r="AA465" t="s">
        <v>3444</v>
      </c>
      <c r="AB465" t="s">
        <v>1254</v>
      </c>
      <c r="AC465" t="s">
        <v>3445</v>
      </c>
      <c r="AD465" t="s">
        <v>548</v>
      </c>
      <c r="AE465" t="s">
        <v>3444</v>
      </c>
      <c r="AF465" t="s">
        <v>1254</v>
      </c>
      <c r="AG465" t="s">
        <v>3445</v>
      </c>
      <c r="AI465" t="s">
        <v>5426</v>
      </c>
      <c r="AJ465" t="s">
        <v>548</v>
      </c>
      <c r="AK465" t="s">
        <v>99</v>
      </c>
      <c r="AL465" t="s">
        <v>5427</v>
      </c>
      <c r="AM465" t="s">
        <v>2563</v>
      </c>
      <c r="AN465" t="s">
        <v>2564</v>
      </c>
      <c r="AP465" t="s">
        <v>1218</v>
      </c>
      <c r="AR465" t="s">
        <v>125</v>
      </c>
      <c r="AT465" t="s">
        <v>5428</v>
      </c>
      <c r="AV465" t="s">
        <v>128</v>
      </c>
      <c r="AZ465" t="s">
        <v>80</v>
      </c>
    </row>
    <row r="466" spans="1:52" hidden="1" x14ac:dyDescent="0.25">
      <c r="A466" t="s">
        <v>5429</v>
      </c>
      <c r="B466" t="s">
        <v>3436</v>
      </c>
      <c r="C466" t="s">
        <v>5424</v>
      </c>
      <c r="D466" t="s">
        <v>2544</v>
      </c>
      <c r="E466" t="s">
        <v>5430</v>
      </c>
      <c r="F466" t="s">
        <v>3439</v>
      </c>
      <c r="G466" t="s">
        <v>3439</v>
      </c>
      <c r="J466" t="s">
        <v>80</v>
      </c>
      <c r="K466" t="s">
        <v>81</v>
      </c>
      <c r="L466" t="s">
        <v>111</v>
      </c>
      <c r="M466" t="s">
        <v>3440</v>
      </c>
      <c r="P466" t="s">
        <v>134</v>
      </c>
      <c r="Q466" t="s">
        <v>1205</v>
      </c>
      <c r="R466" t="s">
        <v>914</v>
      </c>
      <c r="S466" t="s">
        <v>444</v>
      </c>
      <c r="T466" t="s">
        <v>3441</v>
      </c>
      <c r="U466" t="s">
        <v>138</v>
      </c>
      <c r="V466" t="s">
        <v>3442</v>
      </c>
      <c r="W466" t="s">
        <v>1242</v>
      </c>
      <c r="X466" t="s">
        <v>5431</v>
      </c>
      <c r="Y466" t="s">
        <v>93</v>
      </c>
      <c r="Z466" t="s">
        <v>548</v>
      </c>
      <c r="AA466" t="s">
        <v>3444</v>
      </c>
      <c r="AB466" t="s">
        <v>1254</v>
      </c>
      <c r="AC466" t="s">
        <v>3445</v>
      </c>
      <c r="AD466" t="s">
        <v>548</v>
      </c>
      <c r="AE466" t="s">
        <v>3444</v>
      </c>
      <c r="AF466" t="s">
        <v>1254</v>
      </c>
      <c r="AG466" t="s">
        <v>3445</v>
      </c>
      <c r="AI466" t="s">
        <v>5426</v>
      </c>
      <c r="AJ466" t="s">
        <v>548</v>
      </c>
      <c r="AK466" t="s">
        <v>99</v>
      </c>
      <c r="AL466" t="s">
        <v>5432</v>
      </c>
      <c r="AM466" t="s">
        <v>5433</v>
      </c>
      <c r="AN466" t="s">
        <v>2564</v>
      </c>
      <c r="AP466" t="s">
        <v>1218</v>
      </c>
      <c r="AR466" t="s">
        <v>125</v>
      </c>
      <c r="AT466" t="s">
        <v>5434</v>
      </c>
      <c r="AV466" t="s">
        <v>128</v>
      </c>
      <c r="AZ466" t="s">
        <v>80</v>
      </c>
    </row>
    <row r="467" spans="1:52" hidden="1" x14ac:dyDescent="0.25">
      <c r="A467" t="s">
        <v>5435</v>
      </c>
      <c r="B467" t="s">
        <v>3436</v>
      </c>
      <c r="C467" t="s">
        <v>5436</v>
      </c>
      <c r="D467" t="s">
        <v>2544</v>
      </c>
      <c r="E467" t="s">
        <v>5437</v>
      </c>
      <c r="F467" t="s">
        <v>3439</v>
      </c>
      <c r="G467" t="s">
        <v>3439</v>
      </c>
      <c r="J467" t="s">
        <v>80</v>
      </c>
      <c r="K467" t="s">
        <v>81</v>
      </c>
      <c r="L467" t="s">
        <v>111</v>
      </c>
      <c r="M467" t="s">
        <v>3440</v>
      </c>
      <c r="P467" t="s">
        <v>134</v>
      </c>
      <c r="Q467" t="s">
        <v>1205</v>
      </c>
      <c r="R467" t="s">
        <v>914</v>
      </c>
      <c r="S467" t="s">
        <v>444</v>
      </c>
      <c r="T467" t="s">
        <v>3441</v>
      </c>
      <c r="U467" t="s">
        <v>138</v>
      </c>
      <c r="V467" t="s">
        <v>3442</v>
      </c>
      <c r="W467" t="s">
        <v>4215</v>
      </c>
      <c r="X467" t="s">
        <v>5438</v>
      </c>
      <c r="Y467" t="s">
        <v>93</v>
      </c>
      <c r="Z467" t="s">
        <v>548</v>
      </c>
      <c r="AA467" t="s">
        <v>3444</v>
      </c>
      <c r="AB467" t="s">
        <v>1254</v>
      </c>
      <c r="AC467" t="s">
        <v>3445</v>
      </c>
      <c r="AD467" t="s">
        <v>548</v>
      </c>
      <c r="AE467" t="s">
        <v>3444</v>
      </c>
      <c r="AF467" t="s">
        <v>1254</v>
      </c>
      <c r="AG467" t="s">
        <v>3445</v>
      </c>
      <c r="AI467" t="s">
        <v>5439</v>
      </c>
      <c r="AJ467" t="s">
        <v>548</v>
      </c>
      <c r="AK467" t="s">
        <v>99</v>
      </c>
      <c r="AL467" t="s">
        <v>5440</v>
      </c>
      <c r="AM467" t="s">
        <v>5433</v>
      </c>
      <c r="AN467" t="s">
        <v>2564</v>
      </c>
      <c r="AP467" t="s">
        <v>1218</v>
      </c>
      <c r="AR467" t="s">
        <v>125</v>
      </c>
      <c r="AT467" t="s">
        <v>5441</v>
      </c>
      <c r="AV467" t="s">
        <v>128</v>
      </c>
      <c r="AZ467" t="s">
        <v>80</v>
      </c>
    </row>
    <row r="468" spans="1:52" hidden="1" x14ac:dyDescent="0.25">
      <c r="A468" t="s">
        <v>5442</v>
      </c>
      <c r="B468" t="s">
        <v>3436</v>
      </c>
      <c r="C468" t="s">
        <v>5436</v>
      </c>
      <c r="D468" t="s">
        <v>2544</v>
      </c>
      <c r="E468" t="s">
        <v>5443</v>
      </c>
      <c r="F468" t="s">
        <v>3439</v>
      </c>
      <c r="G468" t="s">
        <v>3439</v>
      </c>
      <c r="J468" t="s">
        <v>80</v>
      </c>
      <c r="K468" t="s">
        <v>81</v>
      </c>
      <c r="L468" t="s">
        <v>111</v>
      </c>
      <c r="M468" t="s">
        <v>3440</v>
      </c>
      <c r="P468" t="s">
        <v>134</v>
      </c>
      <c r="Q468" t="s">
        <v>1205</v>
      </c>
      <c r="R468" t="s">
        <v>914</v>
      </c>
      <c r="S468" t="s">
        <v>444</v>
      </c>
      <c r="T468" t="s">
        <v>3441</v>
      </c>
      <c r="U468" t="s">
        <v>138</v>
      </c>
      <c r="V468" t="s">
        <v>3442</v>
      </c>
      <c r="W468" t="s">
        <v>4222</v>
      </c>
      <c r="X468" t="s">
        <v>5444</v>
      </c>
      <c r="Y468" t="s">
        <v>93</v>
      </c>
      <c r="Z468" t="s">
        <v>548</v>
      </c>
      <c r="AA468" t="s">
        <v>3444</v>
      </c>
      <c r="AB468" t="s">
        <v>1254</v>
      </c>
      <c r="AC468" t="s">
        <v>3445</v>
      </c>
      <c r="AD468" t="s">
        <v>548</v>
      </c>
      <c r="AE468" t="s">
        <v>3444</v>
      </c>
      <c r="AF468" t="s">
        <v>1254</v>
      </c>
      <c r="AG468" t="s">
        <v>3445</v>
      </c>
      <c r="AI468" t="s">
        <v>5439</v>
      </c>
      <c r="AJ468" t="s">
        <v>548</v>
      </c>
      <c r="AK468" t="s">
        <v>99</v>
      </c>
      <c r="AL468" t="s">
        <v>5445</v>
      </c>
      <c r="AM468" t="s">
        <v>5433</v>
      </c>
      <c r="AN468" t="s">
        <v>2564</v>
      </c>
      <c r="AP468" t="s">
        <v>1218</v>
      </c>
      <c r="AR468" t="s">
        <v>125</v>
      </c>
      <c r="AT468" t="s">
        <v>5446</v>
      </c>
      <c r="AV468" t="s">
        <v>128</v>
      </c>
      <c r="AZ468" t="s">
        <v>80</v>
      </c>
    </row>
    <row r="469" spans="1:52" hidden="1" x14ac:dyDescent="0.25">
      <c r="A469" t="s">
        <v>5447</v>
      </c>
      <c r="B469" t="s">
        <v>3436</v>
      </c>
      <c r="C469" t="s">
        <v>5436</v>
      </c>
      <c r="D469" t="s">
        <v>2544</v>
      </c>
      <c r="E469" t="s">
        <v>5448</v>
      </c>
      <c r="F469" t="s">
        <v>3439</v>
      </c>
      <c r="G469" t="s">
        <v>3439</v>
      </c>
      <c r="J469" t="s">
        <v>80</v>
      </c>
      <c r="K469" t="s">
        <v>81</v>
      </c>
      <c r="L469" t="s">
        <v>111</v>
      </c>
      <c r="M469" t="s">
        <v>3440</v>
      </c>
      <c r="P469" t="s">
        <v>134</v>
      </c>
      <c r="Q469" t="s">
        <v>1205</v>
      </c>
      <c r="R469" t="s">
        <v>914</v>
      </c>
      <c r="S469" t="s">
        <v>444</v>
      </c>
      <c r="T469" t="s">
        <v>3441</v>
      </c>
      <c r="U469" t="s">
        <v>138</v>
      </c>
      <c r="V469" t="s">
        <v>3442</v>
      </c>
      <c r="W469" t="s">
        <v>1233</v>
      </c>
      <c r="X469" t="s">
        <v>5449</v>
      </c>
      <c r="Y469" t="s">
        <v>93</v>
      </c>
      <c r="Z469" t="s">
        <v>548</v>
      </c>
      <c r="AA469" t="s">
        <v>3444</v>
      </c>
      <c r="AB469" t="s">
        <v>1254</v>
      </c>
      <c r="AC469" t="s">
        <v>3445</v>
      </c>
      <c r="AD469" t="s">
        <v>548</v>
      </c>
      <c r="AE469" t="s">
        <v>3444</v>
      </c>
      <c r="AF469" t="s">
        <v>1254</v>
      </c>
      <c r="AG469" t="s">
        <v>3445</v>
      </c>
      <c r="AI469" t="s">
        <v>5439</v>
      </c>
      <c r="AJ469" t="s">
        <v>548</v>
      </c>
      <c r="AK469" t="s">
        <v>99</v>
      </c>
      <c r="AL469" t="s">
        <v>5450</v>
      </c>
      <c r="AM469" t="s">
        <v>5433</v>
      </c>
      <c r="AN469" t="s">
        <v>2564</v>
      </c>
      <c r="AP469" t="s">
        <v>1218</v>
      </c>
      <c r="AR469" t="s">
        <v>125</v>
      </c>
      <c r="AT469" t="s">
        <v>5451</v>
      </c>
      <c r="AV469" t="s">
        <v>128</v>
      </c>
      <c r="AZ469" t="s">
        <v>80</v>
      </c>
    </row>
    <row r="470" spans="1:52" hidden="1" x14ac:dyDescent="0.25">
      <c r="A470" t="s">
        <v>5452</v>
      </c>
      <c r="B470" t="s">
        <v>5453</v>
      </c>
      <c r="C470" t="s">
        <v>5454</v>
      </c>
      <c r="D470" t="s">
        <v>2544</v>
      </c>
      <c r="E470" t="s">
        <v>5455</v>
      </c>
      <c r="F470" t="s">
        <v>5456</v>
      </c>
      <c r="G470" t="s">
        <v>5456</v>
      </c>
      <c r="J470" t="s">
        <v>80</v>
      </c>
      <c r="K470" t="s">
        <v>81</v>
      </c>
      <c r="L470" t="s">
        <v>111</v>
      </c>
      <c r="M470" t="s">
        <v>5457</v>
      </c>
      <c r="P470" t="s">
        <v>134</v>
      </c>
      <c r="Q470" t="s">
        <v>1205</v>
      </c>
      <c r="R470" t="s">
        <v>914</v>
      </c>
      <c r="S470" t="s">
        <v>444</v>
      </c>
      <c r="T470" t="s">
        <v>1206</v>
      </c>
      <c r="U470" t="s">
        <v>3410</v>
      </c>
      <c r="V470" t="s">
        <v>2779</v>
      </c>
      <c r="W470" t="s">
        <v>1209</v>
      </c>
      <c r="X470" t="s">
        <v>1210</v>
      </c>
      <c r="Y470" t="s">
        <v>93</v>
      </c>
      <c r="Z470" t="s">
        <v>678</v>
      </c>
      <c r="AA470" t="s">
        <v>3225</v>
      </c>
      <c r="AB470" t="s">
        <v>1213</v>
      </c>
      <c r="AC470" t="s">
        <v>5458</v>
      </c>
      <c r="AD470" t="s">
        <v>678</v>
      </c>
      <c r="AE470" t="s">
        <v>3225</v>
      </c>
      <c r="AF470" t="s">
        <v>1213</v>
      </c>
      <c r="AG470" t="s">
        <v>5458</v>
      </c>
      <c r="AI470" t="s">
        <v>3855</v>
      </c>
      <c r="AJ470" t="s">
        <v>678</v>
      </c>
      <c r="AK470" t="s">
        <v>99</v>
      </c>
      <c r="AL470" t="s">
        <v>5459</v>
      </c>
      <c r="AM470" t="s">
        <v>5460</v>
      </c>
      <c r="AN470" t="s">
        <v>5101</v>
      </c>
      <c r="AR470" t="s">
        <v>125</v>
      </c>
      <c r="AT470" t="s">
        <v>5461</v>
      </c>
      <c r="AV470" t="s">
        <v>128</v>
      </c>
      <c r="AW470" t="s">
        <v>5462</v>
      </c>
      <c r="AZ470" t="s">
        <v>80</v>
      </c>
    </row>
    <row r="471" spans="1:52" hidden="1" x14ac:dyDescent="0.25">
      <c r="A471" t="s">
        <v>5463</v>
      </c>
      <c r="B471" t="s">
        <v>5453</v>
      </c>
      <c r="C471" t="s">
        <v>5454</v>
      </c>
      <c r="D471" t="s">
        <v>2544</v>
      </c>
      <c r="E471" t="s">
        <v>5464</v>
      </c>
      <c r="F471" t="s">
        <v>5456</v>
      </c>
      <c r="G471" t="s">
        <v>5456</v>
      </c>
      <c r="J471" t="s">
        <v>80</v>
      </c>
      <c r="K471" t="s">
        <v>81</v>
      </c>
      <c r="L471" t="s">
        <v>111</v>
      </c>
      <c r="M471" t="s">
        <v>5457</v>
      </c>
      <c r="P471" t="s">
        <v>134</v>
      </c>
      <c r="Q471" t="s">
        <v>1205</v>
      </c>
      <c r="R471" t="s">
        <v>914</v>
      </c>
      <c r="S471" t="s">
        <v>444</v>
      </c>
      <c r="T471" t="s">
        <v>1206</v>
      </c>
      <c r="U471" t="s">
        <v>3410</v>
      </c>
      <c r="V471" t="s">
        <v>2779</v>
      </c>
      <c r="W471" t="s">
        <v>1225</v>
      </c>
      <c r="X471" t="s">
        <v>1226</v>
      </c>
      <c r="Y471" t="s">
        <v>93</v>
      </c>
      <c r="Z471" t="s">
        <v>678</v>
      </c>
      <c r="AA471" t="s">
        <v>3225</v>
      </c>
      <c r="AB471" t="s">
        <v>1213</v>
      </c>
      <c r="AC471" t="s">
        <v>5458</v>
      </c>
      <c r="AD471" t="s">
        <v>678</v>
      </c>
      <c r="AE471" t="s">
        <v>3225</v>
      </c>
      <c r="AF471" t="s">
        <v>1213</v>
      </c>
      <c r="AG471" t="s">
        <v>5458</v>
      </c>
      <c r="AI471" t="s">
        <v>3855</v>
      </c>
      <c r="AJ471" t="s">
        <v>678</v>
      </c>
      <c r="AK471" t="s">
        <v>99</v>
      </c>
      <c r="AL471" t="s">
        <v>5465</v>
      </c>
      <c r="AM471" t="s">
        <v>5460</v>
      </c>
      <c r="AN471" t="s">
        <v>5101</v>
      </c>
      <c r="AR471" t="s">
        <v>125</v>
      </c>
      <c r="AT471" t="s">
        <v>5466</v>
      </c>
      <c r="AV471" t="s">
        <v>128</v>
      </c>
      <c r="AW471" t="s">
        <v>5462</v>
      </c>
      <c r="AZ471" t="s">
        <v>80</v>
      </c>
    </row>
    <row r="472" spans="1:52" hidden="1" x14ac:dyDescent="0.25">
      <c r="A472" t="s">
        <v>5467</v>
      </c>
      <c r="B472" t="s">
        <v>5453</v>
      </c>
      <c r="C472" t="s">
        <v>5454</v>
      </c>
      <c r="D472" t="s">
        <v>2544</v>
      </c>
      <c r="E472" t="s">
        <v>5468</v>
      </c>
      <c r="F472" t="s">
        <v>5456</v>
      </c>
      <c r="G472" t="s">
        <v>5456</v>
      </c>
      <c r="J472" t="s">
        <v>80</v>
      </c>
      <c r="K472" t="s">
        <v>81</v>
      </c>
      <c r="L472" t="s">
        <v>111</v>
      </c>
      <c r="M472" t="s">
        <v>5457</v>
      </c>
      <c r="P472" t="s">
        <v>134</v>
      </c>
      <c r="Q472" t="s">
        <v>1205</v>
      </c>
      <c r="R472" t="s">
        <v>914</v>
      </c>
      <c r="S472" t="s">
        <v>444</v>
      </c>
      <c r="T472" t="s">
        <v>1206</v>
      </c>
      <c r="U472" t="s">
        <v>3410</v>
      </c>
      <c r="V472" t="s">
        <v>2779</v>
      </c>
      <c r="W472" t="s">
        <v>1233</v>
      </c>
      <c r="X472" t="s">
        <v>1234</v>
      </c>
      <c r="Y472" t="s">
        <v>93</v>
      </c>
      <c r="Z472" t="s">
        <v>678</v>
      </c>
      <c r="AA472" t="s">
        <v>3225</v>
      </c>
      <c r="AB472" t="s">
        <v>1213</v>
      </c>
      <c r="AC472" t="s">
        <v>5458</v>
      </c>
      <c r="AD472" t="s">
        <v>678</v>
      </c>
      <c r="AE472" t="s">
        <v>3225</v>
      </c>
      <c r="AF472" t="s">
        <v>1213</v>
      </c>
      <c r="AG472" t="s">
        <v>5458</v>
      </c>
      <c r="AI472" t="s">
        <v>3855</v>
      </c>
      <c r="AJ472" t="s">
        <v>678</v>
      </c>
      <c r="AK472" t="s">
        <v>99</v>
      </c>
      <c r="AL472" t="s">
        <v>5469</v>
      </c>
      <c r="AM472" t="s">
        <v>5460</v>
      </c>
      <c r="AN472" t="s">
        <v>5101</v>
      </c>
      <c r="AR472" t="s">
        <v>125</v>
      </c>
      <c r="AT472" t="s">
        <v>5470</v>
      </c>
      <c r="AV472" t="s">
        <v>128</v>
      </c>
      <c r="AW472" t="s">
        <v>5462</v>
      </c>
      <c r="AZ472" t="s">
        <v>80</v>
      </c>
    </row>
    <row r="473" spans="1:52" hidden="1" x14ac:dyDescent="0.25">
      <c r="A473" t="s">
        <v>5471</v>
      </c>
      <c r="B473" t="s">
        <v>5453</v>
      </c>
      <c r="C473" t="s">
        <v>5454</v>
      </c>
      <c r="D473" t="s">
        <v>2544</v>
      </c>
      <c r="E473" t="s">
        <v>5472</v>
      </c>
      <c r="F473" t="s">
        <v>5456</v>
      </c>
      <c r="G473" t="s">
        <v>5456</v>
      </c>
      <c r="J473" t="s">
        <v>80</v>
      </c>
      <c r="K473" t="s">
        <v>81</v>
      </c>
      <c r="L473" t="s">
        <v>111</v>
      </c>
      <c r="M473" t="s">
        <v>5457</v>
      </c>
      <c r="P473" t="s">
        <v>134</v>
      </c>
      <c r="Q473" t="s">
        <v>1205</v>
      </c>
      <c r="R473" t="s">
        <v>914</v>
      </c>
      <c r="S473" t="s">
        <v>444</v>
      </c>
      <c r="T473" t="s">
        <v>1206</v>
      </c>
      <c r="U473" t="s">
        <v>3410</v>
      </c>
      <c r="V473" t="s">
        <v>2779</v>
      </c>
      <c r="W473" t="s">
        <v>1242</v>
      </c>
      <c r="X473" t="s">
        <v>1243</v>
      </c>
      <c r="Y473" t="s">
        <v>93</v>
      </c>
      <c r="Z473" t="s">
        <v>678</v>
      </c>
      <c r="AA473" t="s">
        <v>3225</v>
      </c>
      <c r="AB473" t="s">
        <v>1213</v>
      </c>
      <c r="AC473" t="s">
        <v>5458</v>
      </c>
      <c r="AD473" t="s">
        <v>678</v>
      </c>
      <c r="AE473" t="s">
        <v>3225</v>
      </c>
      <c r="AF473" t="s">
        <v>1213</v>
      </c>
      <c r="AG473" t="s">
        <v>5458</v>
      </c>
      <c r="AI473" t="s">
        <v>3855</v>
      </c>
      <c r="AJ473" t="s">
        <v>678</v>
      </c>
      <c r="AK473" t="s">
        <v>99</v>
      </c>
      <c r="AL473" t="s">
        <v>5473</v>
      </c>
      <c r="AM473" t="s">
        <v>5460</v>
      </c>
      <c r="AN473" t="s">
        <v>5101</v>
      </c>
      <c r="AR473" t="s">
        <v>125</v>
      </c>
      <c r="AT473" t="s">
        <v>5474</v>
      </c>
      <c r="AV473" t="s">
        <v>128</v>
      </c>
      <c r="AW473" t="s">
        <v>5462</v>
      </c>
      <c r="AZ473" t="s">
        <v>80</v>
      </c>
    </row>
    <row r="474" spans="1:52" hidden="1" x14ac:dyDescent="0.25">
      <c r="A474" t="s">
        <v>5475</v>
      </c>
      <c r="B474" t="s">
        <v>5476</v>
      </c>
      <c r="C474" t="s">
        <v>5477</v>
      </c>
      <c r="D474" t="s">
        <v>2544</v>
      </c>
      <c r="E474" t="s">
        <v>5478</v>
      </c>
      <c r="F474" t="s">
        <v>5479</v>
      </c>
      <c r="G474" t="s">
        <v>5479</v>
      </c>
      <c r="J474" t="s">
        <v>80</v>
      </c>
      <c r="K474" t="s">
        <v>110</v>
      </c>
      <c r="L474" t="s">
        <v>111</v>
      </c>
      <c r="M474" t="s">
        <v>5480</v>
      </c>
      <c r="P474" t="s">
        <v>134</v>
      </c>
      <c r="Q474" t="s">
        <v>1744</v>
      </c>
      <c r="R474" t="s">
        <v>1550</v>
      </c>
      <c r="S474" t="s">
        <v>774</v>
      </c>
      <c r="T474" t="s">
        <v>113</v>
      </c>
      <c r="U474" t="s">
        <v>2548</v>
      </c>
      <c r="V474" t="s">
        <v>115</v>
      </c>
      <c r="W474" t="s">
        <v>697</v>
      </c>
      <c r="X474" t="s">
        <v>5481</v>
      </c>
      <c r="Y474" t="s">
        <v>93</v>
      </c>
      <c r="Z474" t="s">
        <v>94</v>
      </c>
      <c r="AA474" t="s">
        <v>5482</v>
      </c>
      <c r="AB474" t="s">
        <v>119</v>
      </c>
      <c r="AC474" t="s">
        <v>5154</v>
      </c>
      <c r="AD474" t="s">
        <v>94</v>
      </c>
      <c r="AE474" t="s">
        <v>5482</v>
      </c>
      <c r="AF474" t="s">
        <v>119</v>
      </c>
      <c r="AG474" t="s">
        <v>5154</v>
      </c>
      <c r="AI474" t="s">
        <v>2306</v>
      </c>
      <c r="AJ474" t="s">
        <v>94</v>
      </c>
      <c r="AK474" t="s">
        <v>99</v>
      </c>
      <c r="AL474" t="s">
        <v>5483</v>
      </c>
      <c r="AM474" t="s">
        <v>5484</v>
      </c>
      <c r="AN474" t="s">
        <v>2555</v>
      </c>
      <c r="AR474" t="s">
        <v>125</v>
      </c>
      <c r="AT474" t="s">
        <v>5485</v>
      </c>
      <c r="AV474" t="s">
        <v>128</v>
      </c>
      <c r="AZ474" t="s">
        <v>80</v>
      </c>
    </row>
    <row r="475" spans="1:52" hidden="1" x14ac:dyDescent="0.25">
      <c r="A475" t="s">
        <v>5486</v>
      </c>
      <c r="B475" t="s">
        <v>5487</v>
      </c>
      <c r="C475" t="s">
        <v>5477</v>
      </c>
      <c r="D475" t="s">
        <v>2544</v>
      </c>
      <c r="E475" t="s">
        <v>5488</v>
      </c>
      <c r="F475" t="s">
        <v>5489</v>
      </c>
      <c r="G475" t="s">
        <v>5489</v>
      </c>
      <c r="J475" t="s">
        <v>80</v>
      </c>
      <c r="K475" t="s">
        <v>110</v>
      </c>
      <c r="L475" t="s">
        <v>111</v>
      </c>
      <c r="M475" t="s">
        <v>5490</v>
      </c>
      <c r="P475" t="s">
        <v>134</v>
      </c>
      <c r="Q475" t="s">
        <v>1744</v>
      </c>
      <c r="R475" t="s">
        <v>1550</v>
      </c>
      <c r="S475" t="s">
        <v>774</v>
      </c>
      <c r="T475" t="s">
        <v>1267</v>
      </c>
      <c r="U475" t="s">
        <v>2241</v>
      </c>
      <c r="V475" t="s">
        <v>5491</v>
      </c>
      <c r="W475" t="s">
        <v>697</v>
      </c>
      <c r="X475" t="s">
        <v>5400</v>
      </c>
      <c r="Y475" t="s">
        <v>93</v>
      </c>
      <c r="Z475" t="s">
        <v>119</v>
      </c>
      <c r="AA475" t="s">
        <v>5492</v>
      </c>
      <c r="AB475" t="s">
        <v>94</v>
      </c>
      <c r="AC475" t="s">
        <v>5493</v>
      </c>
      <c r="AD475" t="s">
        <v>119</v>
      </c>
      <c r="AE475" t="s">
        <v>5492</v>
      </c>
      <c r="AF475" t="s">
        <v>94</v>
      </c>
      <c r="AG475" t="s">
        <v>5493</v>
      </c>
      <c r="AI475" t="s">
        <v>5494</v>
      </c>
      <c r="AJ475" t="s">
        <v>119</v>
      </c>
      <c r="AK475" t="s">
        <v>99</v>
      </c>
      <c r="AL475" t="s">
        <v>5495</v>
      </c>
      <c r="AM475" t="s">
        <v>5496</v>
      </c>
      <c r="AN475" t="s">
        <v>2555</v>
      </c>
      <c r="AR475" t="s">
        <v>125</v>
      </c>
      <c r="AT475" t="s">
        <v>5497</v>
      </c>
      <c r="AV475" t="s">
        <v>128</v>
      </c>
      <c r="AZ475" t="s">
        <v>80</v>
      </c>
    </row>
    <row r="476" spans="1:52" hidden="1" x14ac:dyDescent="0.25">
      <c r="A476" t="s">
        <v>5498</v>
      </c>
      <c r="B476" t="s">
        <v>557</v>
      </c>
      <c r="C476" t="s">
        <v>5499</v>
      </c>
      <c r="D476" t="s">
        <v>2544</v>
      </c>
      <c r="E476" t="s">
        <v>5500</v>
      </c>
      <c r="F476" t="s">
        <v>560</v>
      </c>
      <c r="G476" t="s">
        <v>560</v>
      </c>
      <c r="J476" t="s">
        <v>80</v>
      </c>
      <c r="K476" t="s">
        <v>110</v>
      </c>
      <c r="L476" t="s">
        <v>111</v>
      </c>
      <c r="M476">
        <v>60784</v>
      </c>
      <c r="P476" t="s">
        <v>134</v>
      </c>
      <c r="Q476" t="s">
        <v>1744</v>
      </c>
      <c r="R476" t="s">
        <v>1550</v>
      </c>
      <c r="S476" t="s">
        <v>774</v>
      </c>
      <c r="T476" t="s">
        <v>562</v>
      </c>
      <c r="U476" t="s">
        <v>563</v>
      </c>
      <c r="V476" t="s">
        <v>564</v>
      </c>
      <c r="W476" t="s">
        <v>4978</v>
      </c>
      <c r="X476" t="s">
        <v>5501</v>
      </c>
      <c r="Y476" t="s">
        <v>93</v>
      </c>
      <c r="Z476" t="s">
        <v>567</v>
      </c>
      <c r="AA476" t="s">
        <v>568</v>
      </c>
      <c r="AB476" t="s">
        <v>119</v>
      </c>
      <c r="AC476" t="s">
        <v>569</v>
      </c>
      <c r="AD476" t="s">
        <v>567</v>
      </c>
      <c r="AE476" t="s">
        <v>568</v>
      </c>
      <c r="AF476" t="s">
        <v>119</v>
      </c>
      <c r="AG476" t="s">
        <v>569</v>
      </c>
      <c r="AI476" t="s">
        <v>456</v>
      </c>
      <c r="AJ476" t="s">
        <v>567</v>
      </c>
      <c r="AK476" t="s">
        <v>99</v>
      </c>
      <c r="AL476" t="s">
        <v>5502</v>
      </c>
      <c r="AM476" t="s">
        <v>5503</v>
      </c>
      <c r="AN476" t="s">
        <v>2555</v>
      </c>
      <c r="AR476" t="s">
        <v>125</v>
      </c>
      <c r="AT476" t="s">
        <v>5504</v>
      </c>
      <c r="AV476" t="s">
        <v>128</v>
      </c>
      <c r="AZ476" t="s">
        <v>80</v>
      </c>
    </row>
    <row r="477" spans="1:52" hidden="1" x14ac:dyDescent="0.25">
      <c r="A477" t="s">
        <v>5505</v>
      </c>
      <c r="B477" t="s">
        <v>577</v>
      </c>
      <c r="C477" t="s">
        <v>5506</v>
      </c>
      <c r="D477" t="s">
        <v>2544</v>
      </c>
      <c r="E477" t="s">
        <v>5507</v>
      </c>
      <c r="F477" t="s">
        <v>580</v>
      </c>
      <c r="G477" t="s">
        <v>580</v>
      </c>
      <c r="J477" t="s">
        <v>80</v>
      </c>
      <c r="K477" t="s">
        <v>110</v>
      </c>
      <c r="L477" t="s">
        <v>111</v>
      </c>
      <c r="M477">
        <v>60765</v>
      </c>
      <c r="P477" t="s">
        <v>134</v>
      </c>
      <c r="Q477" t="s">
        <v>1744</v>
      </c>
      <c r="R477" t="s">
        <v>1550</v>
      </c>
      <c r="S477" t="s">
        <v>774</v>
      </c>
      <c r="T477" t="s">
        <v>562</v>
      </c>
      <c r="U477" t="s">
        <v>582</v>
      </c>
      <c r="V477" t="s">
        <v>583</v>
      </c>
      <c r="W477" t="s">
        <v>4978</v>
      </c>
      <c r="X477" t="s">
        <v>5501</v>
      </c>
      <c r="Y477" t="s">
        <v>93</v>
      </c>
      <c r="Z477" t="s">
        <v>119</v>
      </c>
      <c r="AA477" t="s">
        <v>584</v>
      </c>
      <c r="AB477" t="s">
        <v>567</v>
      </c>
      <c r="AC477" t="s">
        <v>142</v>
      </c>
      <c r="AD477" t="s">
        <v>119</v>
      </c>
      <c r="AE477" t="s">
        <v>584</v>
      </c>
      <c r="AF477" t="s">
        <v>567</v>
      </c>
      <c r="AG477" t="s">
        <v>142</v>
      </c>
      <c r="AI477" t="s">
        <v>5508</v>
      </c>
      <c r="AJ477" t="s">
        <v>119</v>
      </c>
      <c r="AK477" t="s">
        <v>99</v>
      </c>
      <c r="AL477" t="s">
        <v>5509</v>
      </c>
      <c r="AM477" t="s">
        <v>5510</v>
      </c>
      <c r="AN477" t="s">
        <v>2555</v>
      </c>
      <c r="AR477" t="s">
        <v>125</v>
      </c>
      <c r="AT477" t="s">
        <v>5511</v>
      </c>
      <c r="AV477" t="s">
        <v>128</v>
      </c>
      <c r="AZ477" t="s">
        <v>80</v>
      </c>
    </row>
    <row r="478" spans="1:52" hidden="1" x14ac:dyDescent="0.25">
      <c r="A478" t="s">
        <v>5512</v>
      </c>
      <c r="B478" t="s">
        <v>5513</v>
      </c>
      <c r="C478" t="s">
        <v>5514</v>
      </c>
      <c r="D478" t="s">
        <v>2544</v>
      </c>
      <c r="E478" t="s">
        <v>5515</v>
      </c>
      <c r="F478" t="s">
        <v>5516</v>
      </c>
      <c r="G478" t="s">
        <v>5516</v>
      </c>
      <c r="J478" t="s">
        <v>80</v>
      </c>
      <c r="K478" t="s">
        <v>110</v>
      </c>
      <c r="L478" t="s">
        <v>111</v>
      </c>
      <c r="M478">
        <v>60776</v>
      </c>
      <c r="P478" t="s">
        <v>134</v>
      </c>
      <c r="Q478" t="s">
        <v>1744</v>
      </c>
      <c r="R478" t="s">
        <v>1550</v>
      </c>
      <c r="S478" t="s">
        <v>774</v>
      </c>
      <c r="T478" t="s">
        <v>562</v>
      </c>
      <c r="U478" t="s">
        <v>563</v>
      </c>
      <c r="V478" t="s">
        <v>564</v>
      </c>
      <c r="W478" t="s">
        <v>797</v>
      </c>
      <c r="X478" t="s">
        <v>798</v>
      </c>
      <c r="Y478" t="s">
        <v>93</v>
      </c>
      <c r="Z478" t="s">
        <v>567</v>
      </c>
      <c r="AA478" t="s">
        <v>1956</v>
      </c>
      <c r="AB478" t="s">
        <v>119</v>
      </c>
      <c r="AC478" t="s">
        <v>251</v>
      </c>
      <c r="AD478" t="s">
        <v>567</v>
      </c>
      <c r="AE478" t="s">
        <v>1956</v>
      </c>
      <c r="AF478" t="s">
        <v>119</v>
      </c>
      <c r="AG478" t="s">
        <v>251</v>
      </c>
      <c r="AI478" t="s">
        <v>5517</v>
      </c>
      <c r="AJ478" t="s">
        <v>567</v>
      </c>
      <c r="AK478" t="s">
        <v>99</v>
      </c>
      <c r="AL478" t="s">
        <v>5518</v>
      </c>
      <c r="AM478" t="s">
        <v>5519</v>
      </c>
      <c r="AN478" t="s">
        <v>2555</v>
      </c>
      <c r="AR478" t="s">
        <v>125</v>
      </c>
      <c r="AT478" t="s">
        <v>5520</v>
      </c>
      <c r="AV478" t="s">
        <v>128</v>
      </c>
      <c r="AZ478" t="s">
        <v>80</v>
      </c>
    </row>
    <row r="479" spans="1:52" hidden="1" x14ac:dyDescent="0.25">
      <c r="A479" t="s">
        <v>5521</v>
      </c>
      <c r="B479" t="s">
        <v>5522</v>
      </c>
      <c r="C479" t="s">
        <v>5523</v>
      </c>
      <c r="D479" t="s">
        <v>2544</v>
      </c>
      <c r="E479" t="s">
        <v>5524</v>
      </c>
      <c r="F479" t="s">
        <v>5525</v>
      </c>
      <c r="G479" t="s">
        <v>5525</v>
      </c>
      <c r="J479" t="s">
        <v>80</v>
      </c>
      <c r="K479" t="s">
        <v>110</v>
      </c>
      <c r="L479" t="s">
        <v>111</v>
      </c>
      <c r="M479">
        <v>60774</v>
      </c>
      <c r="P479" t="s">
        <v>134</v>
      </c>
      <c r="Q479" t="s">
        <v>1744</v>
      </c>
      <c r="R479" t="s">
        <v>1550</v>
      </c>
      <c r="S479" t="s">
        <v>774</v>
      </c>
      <c r="T479" t="s">
        <v>562</v>
      </c>
      <c r="U479" t="s">
        <v>563</v>
      </c>
      <c r="V479" t="s">
        <v>4787</v>
      </c>
      <c r="W479" t="s">
        <v>797</v>
      </c>
      <c r="X479" t="s">
        <v>798</v>
      </c>
      <c r="Y479" t="s">
        <v>93</v>
      </c>
      <c r="Z479" t="s">
        <v>567</v>
      </c>
      <c r="AA479" t="s">
        <v>2215</v>
      </c>
      <c r="AB479" t="s">
        <v>119</v>
      </c>
      <c r="AC479" t="s">
        <v>2400</v>
      </c>
      <c r="AD479" t="s">
        <v>567</v>
      </c>
      <c r="AE479" t="s">
        <v>2215</v>
      </c>
      <c r="AF479" t="s">
        <v>119</v>
      </c>
      <c r="AG479" t="s">
        <v>2400</v>
      </c>
      <c r="AI479" t="s">
        <v>5526</v>
      </c>
      <c r="AJ479" t="s">
        <v>567</v>
      </c>
      <c r="AK479" t="s">
        <v>99</v>
      </c>
      <c r="AL479" t="s">
        <v>5527</v>
      </c>
      <c r="AM479" t="s">
        <v>5528</v>
      </c>
      <c r="AN479" t="s">
        <v>2555</v>
      </c>
      <c r="AR479" t="s">
        <v>125</v>
      </c>
      <c r="AT479" t="s">
        <v>5529</v>
      </c>
      <c r="AV479" t="s">
        <v>128</v>
      </c>
      <c r="AZ479" t="s">
        <v>80</v>
      </c>
    </row>
    <row r="480" spans="1:52" hidden="1" x14ac:dyDescent="0.25">
      <c r="A480" t="s">
        <v>5530</v>
      </c>
      <c r="B480" t="s">
        <v>5531</v>
      </c>
      <c r="C480" t="s">
        <v>5532</v>
      </c>
      <c r="D480" t="s">
        <v>2544</v>
      </c>
      <c r="E480" t="s">
        <v>5533</v>
      </c>
      <c r="F480" t="s">
        <v>5534</v>
      </c>
      <c r="G480" t="s">
        <v>5534</v>
      </c>
      <c r="J480" t="s">
        <v>80</v>
      </c>
      <c r="K480" t="s">
        <v>110</v>
      </c>
      <c r="L480" t="s">
        <v>111</v>
      </c>
      <c r="M480">
        <v>60757</v>
      </c>
      <c r="P480" t="s">
        <v>134</v>
      </c>
      <c r="Q480" t="s">
        <v>1744</v>
      </c>
      <c r="R480" t="s">
        <v>1550</v>
      </c>
      <c r="S480" t="s">
        <v>774</v>
      </c>
      <c r="T480" t="s">
        <v>562</v>
      </c>
      <c r="U480" t="s">
        <v>544</v>
      </c>
      <c r="V480" t="s">
        <v>564</v>
      </c>
      <c r="W480" t="s">
        <v>797</v>
      </c>
      <c r="X480" t="s">
        <v>798</v>
      </c>
      <c r="Y480" t="s">
        <v>93</v>
      </c>
      <c r="Z480" t="s">
        <v>119</v>
      </c>
      <c r="AA480" t="s">
        <v>5535</v>
      </c>
      <c r="AB480" t="s">
        <v>567</v>
      </c>
      <c r="AC480" t="s">
        <v>680</v>
      </c>
      <c r="AD480" t="s">
        <v>119</v>
      </c>
      <c r="AE480" t="s">
        <v>5535</v>
      </c>
      <c r="AF480" t="s">
        <v>567</v>
      </c>
      <c r="AG480" t="s">
        <v>680</v>
      </c>
      <c r="AI480" t="s">
        <v>5536</v>
      </c>
      <c r="AJ480" t="s">
        <v>119</v>
      </c>
      <c r="AK480" t="s">
        <v>99</v>
      </c>
      <c r="AL480" t="s">
        <v>5537</v>
      </c>
      <c r="AM480" t="s">
        <v>5538</v>
      </c>
      <c r="AN480" t="s">
        <v>2555</v>
      </c>
      <c r="AR480" t="s">
        <v>125</v>
      </c>
      <c r="AT480" t="s">
        <v>5539</v>
      </c>
      <c r="AV480" t="s">
        <v>128</v>
      </c>
      <c r="AZ480" t="s">
        <v>80</v>
      </c>
    </row>
    <row r="481" spans="1:52" hidden="1" x14ac:dyDescent="0.25">
      <c r="A481" t="s">
        <v>5540</v>
      </c>
      <c r="B481" t="s">
        <v>5541</v>
      </c>
      <c r="C481" t="s">
        <v>5532</v>
      </c>
      <c r="D481" t="s">
        <v>2544</v>
      </c>
      <c r="E481" t="s">
        <v>5542</v>
      </c>
      <c r="F481" t="s">
        <v>5543</v>
      </c>
      <c r="G481" t="s">
        <v>5543</v>
      </c>
      <c r="J481" t="s">
        <v>80</v>
      </c>
      <c r="K481" t="s">
        <v>110</v>
      </c>
      <c r="L481" t="s">
        <v>111</v>
      </c>
      <c r="M481">
        <v>60755</v>
      </c>
      <c r="P481" t="s">
        <v>134</v>
      </c>
      <c r="Q481" t="s">
        <v>1744</v>
      </c>
      <c r="R481" t="s">
        <v>1550</v>
      </c>
      <c r="S481" t="s">
        <v>774</v>
      </c>
      <c r="T481" t="s">
        <v>562</v>
      </c>
      <c r="U481" t="s">
        <v>544</v>
      </c>
      <c r="V481" t="s">
        <v>564</v>
      </c>
      <c r="W481" t="s">
        <v>797</v>
      </c>
      <c r="X481" t="s">
        <v>798</v>
      </c>
      <c r="Y481" t="s">
        <v>93</v>
      </c>
      <c r="Z481" t="s">
        <v>119</v>
      </c>
      <c r="AA481" t="s">
        <v>5544</v>
      </c>
      <c r="AB481" t="s">
        <v>567</v>
      </c>
      <c r="AC481" t="s">
        <v>5545</v>
      </c>
      <c r="AD481" t="s">
        <v>119</v>
      </c>
      <c r="AE481" t="s">
        <v>5544</v>
      </c>
      <c r="AF481" t="s">
        <v>567</v>
      </c>
      <c r="AG481" t="s">
        <v>5545</v>
      </c>
      <c r="AI481" t="s">
        <v>5546</v>
      </c>
      <c r="AJ481" t="s">
        <v>119</v>
      </c>
      <c r="AK481" t="s">
        <v>99</v>
      </c>
      <c r="AL481" t="s">
        <v>5547</v>
      </c>
      <c r="AM481" t="s">
        <v>5548</v>
      </c>
      <c r="AN481" t="s">
        <v>2555</v>
      </c>
      <c r="AR481" t="s">
        <v>125</v>
      </c>
      <c r="AT481" t="s">
        <v>5549</v>
      </c>
      <c r="AV481" t="s">
        <v>128</v>
      </c>
      <c r="AZ481" t="s">
        <v>80</v>
      </c>
    </row>
    <row r="482" spans="1:52" hidden="1" x14ac:dyDescent="0.25">
      <c r="A482" t="s">
        <v>5550</v>
      </c>
      <c r="B482" t="s">
        <v>5551</v>
      </c>
      <c r="C482" t="s">
        <v>5532</v>
      </c>
      <c r="D482" t="s">
        <v>2544</v>
      </c>
      <c r="E482" t="s">
        <v>5552</v>
      </c>
      <c r="F482" t="s">
        <v>5553</v>
      </c>
      <c r="G482" t="s">
        <v>5553</v>
      </c>
      <c r="J482" t="s">
        <v>80</v>
      </c>
      <c r="K482" t="s">
        <v>110</v>
      </c>
      <c r="L482" t="s">
        <v>111</v>
      </c>
      <c r="M482">
        <v>60751</v>
      </c>
      <c r="P482" t="s">
        <v>134</v>
      </c>
      <c r="Q482" t="s">
        <v>1744</v>
      </c>
      <c r="R482" t="s">
        <v>1550</v>
      </c>
      <c r="S482" t="s">
        <v>774</v>
      </c>
      <c r="T482" t="s">
        <v>562</v>
      </c>
      <c r="U482" t="s">
        <v>544</v>
      </c>
      <c r="V482" t="s">
        <v>564</v>
      </c>
      <c r="W482" t="s">
        <v>797</v>
      </c>
      <c r="X482" t="s">
        <v>798</v>
      </c>
      <c r="Y482" t="s">
        <v>93</v>
      </c>
      <c r="Z482" t="s">
        <v>119</v>
      </c>
      <c r="AA482" t="s">
        <v>5554</v>
      </c>
      <c r="AB482" t="s">
        <v>567</v>
      </c>
      <c r="AC482" t="s">
        <v>3530</v>
      </c>
      <c r="AD482" t="s">
        <v>119</v>
      </c>
      <c r="AE482" t="s">
        <v>5554</v>
      </c>
      <c r="AF482" t="s">
        <v>567</v>
      </c>
      <c r="AG482" t="s">
        <v>3530</v>
      </c>
      <c r="AI482" t="s">
        <v>5555</v>
      </c>
      <c r="AJ482" t="s">
        <v>119</v>
      </c>
      <c r="AK482" t="s">
        <v>99</v>
      </c>
      <c r="AL482" t="s">
        <v>5556</v>
      </c>
      <c r="AM482" t="s">
        <v>5557</v>
      </c>
      <c r="AN482" t="s">
        <v>2555</v>
      </c>
      <c r="AR482" t="s">
        <v>125</v>
      </c>
      <c r="AT482" t="s">
        <v>5558</v>
      </c>
      <c r="AV482" t="s">
        <v>128</v>
      </c>
      <c r="AZ482" t="s">
        <v>80</v>
      </c>
    </row>
    <row r="483" spans="1:52" hidden="1" x14ac:dyDescent="0.25">
      <c r="A483" t="s">
        <v>5559</v>
      </c>
      <c r="B483" t="s">
        <v>5560</v>
      </c>
      <c r="C483" t="s">
        <v>5561</v>
      </c>
      <c r="D483" t="s">
        <v>2544</v>
      </c>
      <c r="E483" t="s">
        <v>5562</v>
      </c>
      <c r="F483" t="s">
        <v>5563</v>
      </c>
      <c r="G483" t="s">
        <v>5563</v>
      </c>
      <c r="J483" t="s">
        <v>80</v>
      </c>
      <c r="K483" t="s">
        <v>110</v>
      </c>
      <c r="L483" t="s">
        <v>111</v>
      </c>
      <c r="M483">
        <v>60770</v>
      </c>
      <c r="P483" t="s">
        <v>134</v>
      </c>
      <c r="Q483" t="s">
        <v>1744</v>
      </c>
      <c r="R483" t="s">
        <v>1550</v>
      </c>
      <c r="S483" t="s">
        <v>774</v>
      </c>
      <c r="T483" t="s">
        <v>562</v>
      </c>
      <c r="U483" t="s">
        <v>583</v>
      </c>
      <c r="V483" t="s">
        <v>2090</v>
      </c>
      <c r="W483" t="s">
        <v>797</v>
      </c>
      <c r="X483" t="s">
        <v>798</v>
      </c>
      <c r="Y483" t="s">
        <v>93</v>
      </c>
      <c r="Z483" t="s">
        <v>567</v>
      </c>
      <c r="AA483" t="s">
        <v>1367</v>
      </c>
      <c r="AB483" t="s">
        <v>119</v>
      </c>
      <c r="AC483" t="s">
        <v>234</v>
      </c>
      <c r="AD483" t="s">
        <v>567</v>
      </c>
      <c r="AE483" t="s">
        <v>1367</v>
      </c>
      <c r="AF483" t="s">
        <v>119</v>
      </c>
      <c r="AG483" t="s">
        <v>234</v>
      </c>
      <c r="AI483" t="s">
        <v>1105</v>
      </c>
      <c r="AJ483" t="s">
        <v>567</v>
      </c>
      <c r="AK483" t="s">
        <v>99</v>
      </c>
      <c r="AL483" t="s">
        <v>5564</v>
      </c>
      <c r="AM483" t="s">
        <v>5557</v>
      </c>
      <c r="AN483" t="s">
        <v>2555</v>
      </c>
      <c r="AR483" t="s">
        <v>125</v>
      </c>
      <c r="AT483" t="s">
        <v>5565</v>
      </c>
      <c r="AV483" t="s">
        <v>128</v>
      </c>
      <c r="AZ483" t="s">
        <v>80</v>
      </c>
    </row>
    <row r="484" spans="1:52" hidden="1" x14ac:dyDescent="0.25">
      <c r="A484" t="s">
        <v>5566</v>
      </c>
      <c r="B484" t="s">
        <v>3967</v>
      </c>
      <c r="C484" t="s">
        <v>5567</v>
      </c>
      <c r="D484" t="s">
        <v>2544</v>
      </c>
      <c r="E484" t="s">
        <v>5568</v>
      </c>
      <c r="F484" t="s">
        <v>3970</v>
      </c>
      <c r="G484" t="s">
        <v>3970</v>
      </c>
      <c r="J484" t="s">
        <v>80</v>
      </c>
      <c r="K484" t="s">
        <v>110</v>
      </c>
      <c r="L484" t="s">
        <v>111</v>
      </c>
      <c r="M484">
        <v>66825</v>
      </c>
      <c r="O484" t="s">
        <v>2516</v>
      </c>
      <c r="P484" t="s">
        <v>134</v>
      </c>
      <c r="Q484" t="s">
        <v>85</v>
      </c>
      <c r="R484" t="s">
        <v>86</v>
      </c>
      <c r="S484" t="s">
        <v>87</v>
      </c>
      <c r="T484" t="s">
        <v>2517</v>
      </c>
      <c r="U484" t="s">
        <v>3971</v>
      </c>
      <c r="V484" t="s">
        <v>2519</v>
      </c>
      <c r="W484" t="s">
        <v>4484</v>
      </c>
      <c r="X484" t="s">
        <v>5569</v>
      </c>
      <c r="Y484" t="s">
        <v>93</v>
      </c>
      <c r="Z484" t="s">
        <v>2003</v>
      </c>
      <c r="AA484" t="s">
        <v>2102</v>
      </c>
      <c r="AB484" t="s">
        <v>182</v>
      </c>
      <c r="AC484" t="s">
        <v>3590</v>
      </c>
      <c r="AD484" t="s">
        <v>2003</v>
      </c>
      <c r="AE484" t="s">
        <v>2102</v>
      </c>
      <c r="AF484" t="s">
        <v>182</v>
      </c>
      <c r="AG484" t="s">
        <v>3590</v>
      </c>
      <c r="AI484" t="s">
        <v>742</v>
      </c>
      <c r="AJ484" t="s">
        <v>2003</v>
      </c>
      <c r="AK484" t="s">
        <v>99</v>
      </c>
      <c r="AL484" t="s">
        <v>5570</v>
      </c>
      <c r="AM484" t="s">
        <v>5571</v>
      </c>
      <c r="AN484" t="s">
        <v>2578</v>
      </c>
      <c r="AR484" t="s">
        <v>125</v>
      </c>
      <c r="AT484" t="s">
        <v>5572</v>
      </c>
      <c r="AV484" t="s">
        <v>190</v>
      </c>
      <c r="AZ484" t="s">
        <v>80</v>
      </c>
    </row>
    <row r="485" spans="1:52" hidden="1" x14ac:dyDescent="0.25">
      <c r="A485" t="s">
        <v>5573</v>
      </c>
      <c r="B485" t="s">
        <v>3992</v>
      </c>
      <c r="C485" t="s">
        <v>5574</v>
      </c>
      <c r="D485" t="s">
        <v>2544</v>
      </c>
      <c r="E485" t="s">
        <v>5575</v>
      </c>
      <c r="F485" t="s">
        <v>3995</v>
      </c>
      <c r="G485" t="s">
        <v>3995</v>
      </c>
      <c r="J485" t="s">
        <v>80</v>
      </c>
      <c r="K485" t="s">
        <v>110</v>
      </c>
      <c r="L485" t="s">
        <v>111</v>
      </c>
      <c r="M485">
        <v>60408</v>
      </c>
      <c r="P485" t="s">
        <v>154</v>
      </c>
      <c r="Q485" t="s">
        <v>539</v>
      </c>
      <c r="R485" t="s">
        <v>540</v>
      </c>
      <c r="S485" t="s">
        <v>541</v>
      </c>
      <c r="T485" t="s">
        <v>3996</v>
      </c>
      <c r="U485" t="s">
        <v>3997</v>
      </c>
      <c r="V485" t="s">
        <v>3998</v>
      </c>
      <c r="W485" t="s">
        <v>5576</v>
      </c>
      <c r="X485" t="s">
        <v>5577</v>
      </c>
      <c r="Y485" t="s">
        <v>93</v>
      </c>
      <c r="Z485" t="s">
        <v>4001</v>
      </c>
      <c r="AA485" t="s">
        <v>4002</v>
      </c>
      <c r="AB485" t="s">
        <v>119</v>
      </c>
      <c r="AC485" t="s">
        <v>4003</v>
      </c>
      <c r="AD485" t="s">
        <v>4001</v>
      </c>
      <c r="AE485" t="s">
        <v>4002</v>
      </c>
      <c r="AF485" t="s">
        <v>119</v>
      </c>
      <c r="AG485" t="s">
        <v>4003</v>
      </c>
      <c r="AI485" t="s">
        <v>4004</v>
      </c>
      <c r="AJ485" t="s">
        <v>4001</v>
      </c>
      <c r="AK485" t="s">
        <v>99</v>
      </c>
      <c r="AL485" t="s">
        <v>5578</v>
      </c>
      <c r="AM485" t="s">
        <v>4006</v>
      </c>
      <c r="AN485" t="s">
        <v>2578</v>
      </c>
      <c r="AR485" t="s">
        <v>125</v>
      </c>
      <c r="AT485" t="s">
        <v>5579</v>
      </c>
      <c r="AV485" t="s">
        <v>128</v>
      </c>
      <c r="AZ485" t="s">
        <v>80</v>
      </c>
    </row>
    <row r="486" spans="1:52" hidden="1" x14ac:dyDescent="0.25">
      <c r="A486" t="s">
        <v>5580</v>
      </c>
      <c r="B486" t="s">
        <v>3992</v>
      </c>
      <c r="C486" t="s">
        <v>5574</v>
      </c>
      <c r="D486" t="s">
        <v>2544</v>
      </c>
      <c r="E486" t="s">
        <v>5581</v>
      </c>
      <c r="F486" t="s">
        <v>3995</v>
      </c>
      <c r="G486" t="s">
        <v>3995</v>
      </c>
      <c r="J486" t="s">
        <v>80</v>
      </c>
      <c r="K486" t="s">
        <v>110</v>
      </c>
      <c r="L486" t="s">
        <v>111</v>
      </c>
      <c r="M486">
        <v>60408</v>
      </c>
      <c r="P486" t="s">
        <v>154</v>
      </c>
      <c r="Q486" t="s">
        <v>539</v>
      </c>
      <c r="R486" t="s">
        <v>540</v>
      </c>
      <c r="S486" t="s">
        <v>541</v>
      </c>
      <c r="T486" t="s">
        <v>3996</v>
      </c>
      <c r="U486" t="s">
        <v>3997</v>
      </c>
      <c r="V486" t="s">
        <v>3998</v>
      </c>
      <c r="W486" t="s">
        <v>5582</v>
      </c>
      <c r="X486" t="s">
        <v>4000</v>
      </c>
      <c r="Y486" t="s">
        <v>93</v>
      </c>
      <c r="Z486" t="s">
        <v>4001</v>
      </c>
      <c r="AA486" t="s">
        <v>4002</v>
      </c>
      <c r="AB486" t="s">
        <v>119</v>
      </c>
      <c r="AC486" t="s">
        <v>4003</v>
      </c>
      <c r="AD486" t="s">
        <v>4001</v>
      </c>
      <c r="AE486" t="s">
        <v>4002</v>
      </c>
      <c r="AF486" t="s">
        <v>119</v>
      </c>
      <c r="AG486" t="s">
        <v>4003</v>
      </c>
      <c r="AI486" t="s">
        <v>4004</v>
      </c>
      <c r="AJ486" t="s">
        <v>4001</v>
      </c>
      <c r="AK486" t="s">
        <v>99</v>
      </c>
      <c r="AL486" t="s">
        <v>5583</v>
      </c>
      <c r="AM486" t="s">
        <v>3976</v>
      </c>
      <c r="AN486" t="s">
        <v>2578</v>
      </c>
      <c r="AR486" t="s">
        <v>125</v>
      </c>
      <c r="AT486" t="s">
        <v>5584</v>
      </c>
      <c r="AV486" t="s">
        <v>128</v>
      </c>
      <c r="AZ486" t="s">
        <v>80</v>
      </c>
    </row>
    <row r="487" spans="1:52" hidden="1" x14ac:dyDescent="0.25">
      <c r="A487" t="s">
        <v>5585</v>
      </c>
      <c r="B487" t="s">
        <v>3992</v>
      </c>
      <c r="C487" t="s">
        <v>5574</v>
      </c>
      <c r="D487" t="s">
        <v>2544</v>
      </c>
      <c r="E487" t="s">
        <v>5586</v>
      </c>
      <c r="F487" t="s">
        <v>3995</v>
      </c>
      <c r="G487" t="s">
        <v>3995</v>
      </c>
      <c r="J487" t="s">
        <v>80</v>
      </c>
      <c r="K487" t="s">
        <v>110</v>
      </c>
      <c r="L487" t="s">
        <v>111</v>
      </c>
      <c r="M487">
        <v>60408</v>
      </c>
      <c r="P487" t="s">
        <v>154</v>
      </c>
      <c r="Q487" t="s">
        <v>539</v>
      </c>
      <c r="R487" t="s">
        <v>540</v>
      </c>
      <c r="S487" t="s">
        <v>541</v>
      </c>
      <c r="T487" t="s">
        <v>3996</v>
      </c>
      <c r="U487" t="s">
        <v>3997</v>
      </c>
      <c r="V487" t="s">
        <v>3998</v>
      </c>
      <c r="W487" t="s">
        <v>5587</v>
      </c>
      <c r="X487" t="s">
        <v>4000</v>
      </c>
      <c r="Y487" t="s">
        <v>93</v>
      </c>
      <c r="Z487" t="s">
        <v>4001</v>
      </c>
      <c r="AA487" t="s">
        <v>4002</v>
      </c>
      <c r="AB487" t="s">
        <v>119</v>
      </c>
      <c r="AC487" t="s">
        <v>4003</v>
      </c>
      <c r="AD487" t="s">
        <v>4001</v>
      </c>
      <c r="AE487" t="s">
        <v>4002</v>
      </c>
      <c r="AF487" t="s">
        <v>119</v>
      </c>
      <c r="AG487" t="s">
        <v>4003</v>
      </c>
      <c r="AI487" t="s">
        <v>4004</v>
      </c>
      <c r="AJ487" t="s">
        <v>4001</v>
      </c>
      <c r="AK487" t="s">
        <v>99</v>
      </c>
      <c r="AL487" t="s">
        <v>5588</v>
      </c>
      <c r="AM487" t="s">
        <v>3976</v>
      </c>
      <c r="AN487" t="s">
        <v>2578</v>
      </c>
      <c r="AR487" t="s">
        <v>125</v>
      </c>
      <c r="AT487" t="s">
        <v>5589</v>
      </c>
      <c r="AV487" t="s">
        <v>128</v>
      </c>
      <c r="AZ487" t="s">
        <v>80</v>
      </c>
    </row>
    <row r="488" spans="1:52" hidden="1" x14ac:dyDescent="0.25">
      <c r="A488" t="s">
        <v>5590</v>
      </c>
      <c r="B488" t="s">
        <v>3992</v>
      </c>
      <c r="C488" t="s">
        <v>5574</v>
      </c>
      <c r="D488" t="s">
        <v>2544</v>
      </c>
      <c r="E488" t="s">
        <v>5591</v>
      </c>
      <c r="F488" t="s">
        <v>3995</v>
      </c>
      <c r="G488" t="s">
        <v>3995</v>
      </c>
      <c r="J488" t="s">
        <v>80</v>
      </c>
      <c r="K488" t="s">
        <v>110</v>
      </c>
      <c r="L488" t="s">
        <v>111</v>
      </c>
      <c r="M488">
        <v>60408</v>
      </c>
      <c r="P488" t="s">
        <v>154</v>
      </c>
      <c r="Q488" t="s">
        <v>539</v>
      </c>
      <c r="R488" t="s">
        <v>540</v>
      </c>
      <c r="S488" t="s">
        <v>541</v>
      </c>
      <c r="T488" t="s">
        <v>3996</v>
      </c>
      <c r="U488" t="s">
        <v>3997</v>
      </c>
      <c r="V488" t="s">
        <v>3998</v>
      </c>
      <c r="W488" t="s">
        <v>5592</v>
      </c>
      <c r="X488" t="s">
        <v>5593</v>
      </c>
      <c r="Y488" t="s">
        <v>93</v>
      </c>
      <c r="Z488" t="s">
        <v>4001</v>
      </c>
      <c r="AA488" t="s">
        <v>4002</v>
      </c>
      <c r="AB488" t="s">
        <v>119</v>
      </c>
      <c r="AC488" t="s">
        <v>4003</v>
      </c>
      <c r="AD488" t="s">
        <v>4001</v>
      </c>
      <c r="AE488" t="s">
        <v>4002</v>
      </c>
      <c r="AF488" t="s">
        <v>119</v>
      </c>
      <c r="AG488" t="s">
        <v>4003</v>
      </c>
      <c r="AI488" t="s">
        <v>4004</v>
      </c>
      <c r="AJ488" t="s">
        <v>4001</v>
      </c>
      <c r="AK488" t="s">
        <v>99</v>
      </c>
      <c r="AL488" t="s">
        <v>5594</v>
      </c>
      <c r="AM488" t="s">
        <v>3976</v>
      </c>
      <c r="AN488" t="s">
        <v>2578</v>
      </c>
      <c r="AR488" t="s">
        <v>125</v>
      </c>
      <c r="AT488" t="s">
        <v>5595</v>
      </c>
      <c r="AV488" t="s">
        <v>128</v>
      </c>
      <c r="AZ488" t="s">
        <v>80</v>
      </c>
    </row>
    <row r="489" spans="1:52" hidden="1" x14ac:dyDescent="0.25">
      <c r="A489" t="s">
        <v>5596</v>
      </c>
      <c r="B489" t="s">
        <v>4014</v>
      </c>
      <c r="C489" t="s">
        <v>5597</v>
      </c>
      <c r="D489" t="s">
        <v>2544</v>
      </c>
      <c r="E489" t="s">
        <v>5598</v>
      </c>
      <c r="F489" t="s">
        <v>4017</v>
      </c>
      <c r="G489" t="s">
        <v>4017</v>
      </c>
      <c r="J489" t="s">
        <v>80</v>
      </c>
      <c r="K489" t="s">
        <v>110</v>
      </c>
      <c r="L489" t="s">
        <v>111</v>
      </c>
      <c r="M489">
        <v>60406</v>
      </c>
      <c r="P489" t="s">
        <v>154</v>
      </c>
      <c r="Q489" t="s">
        <v>1284</v>
      </c>
      <c r="R489" t="s">
        <v>1285</v>
      </c>
      <c r="S489" t="s">
        <v>1124</v>
      </c>
      <c r="T489" t="s">
        <v>4018</v>
      </c>
      <c r="U489" t="s">
        <v>3470</v>
      </c>
      <c r="V489" t="s">
        <v>3527</v>
      </c>
      <c r="W489" t="s">
        <v>5599</v>
      </c>
      <c r="X489" t="s">
        <v>5600</v>
      </c>
      <c r="Y489" t="s">
        <v>93</v>
      </c>
      <c r="Z489" t="s">
        <v>622</v>
      </c>
      <c r="AA489" t="s">
        <v>4021</v>
      </c>
      <c r="AB489" t="s">
        <v>119</v>
      </c>
      <c r="AC489" t="s">
        <v>4022</v>
      </c>
      <c r="AD489" t="s">
        <v>622</v>
      </c>
      <c r="AE489" t="s">
        <v>4021</v>
      </c>
      <c r="AF489" t="s">
        <v>119</v>
      </c>
      <c r="AG489" t="s">
        <v>4022</v>
      </c>
      <c r="AI489" t="s">
        <v>1257</v>
      </c>
      <c r="AJ489" t="s">
        <v>622</v>
      </c>
      <c r="AK489" t="s">
        <v>99</v>
      </c>
      <c r="AL489" t="s">
        <v>5601</v>
      </c>
      <c r="AM489" t="s">
        <v>4024</v>
      </c>
      <c r="AN489" t="s">
        <v>2555</v>
      </c>
      <c r="AR489" t="s">
        <v>125</v>
      </c>
      <c r="AT489" t="s">
        <v>5602</v>
      </c>
      <c r="AV489" t="s">
        <v>128</v>
      </c>
      <c r="AZ489" t="s">
        <v>80</v>
      </c>
    </row>
    <row r="490" spans="1:52" hidden="1" x14ac:dyDescent="0.25">
      <c r="A490" t="s">
        <v>5603</v>
      </c>
      <c r="B490" t="s">
        <v>4014</v>
      </c>
      <c r="C490" t="s">
        <v>5597</v>
      </c>
      <c r="D490" t="s">
        <v>2544</v>
      </c>
      <c r="E490" t="s">
        <v>5604</v>
      </c>
      <c r="F490" t="s">
        <v>4017</v>
      </c>
      <c r="G490" t="s">
        <v>4017</v>
      </c>
      <c r="J490" t="s">
        <v>80</v>
      </c>
      <c r="K490" t="s">
        <v>110</v>
      </c>
      <c r="L490" t="s">
        <v>111</v>
      </c>
      <c r="M490">
        <v>60406</v>
      </c>
      <c r="P490" t="s">
        <v>154</v>
      </c>
      <c r="Q490" t="s">
        <v>1284</v>
      </c>
      <c r="R490" t="s">
        <v>1285</v>
      </c>
      <c r="S490" t="s">
        <v>1124</v>
      </c>
      <c r="T490" t="s">
        <v>4018</v>
      </c>
      <c r="U490" t="s">
        <v>3470</v>
      </c>
      <c r="V490" t="s">
        <v>3527</v>
      </c>
      <c r="W490" t="s">
        <v>5605</v>
      </c>
      <c r="X490" t="s">
        <v>5606</v>
      </c>
      <c r="Y490" t="s">
        <v>93</v>
      </c>
      <c r="Z490" t="s">
        <v>622</v>
      </c>
      <c r="AA490" t="s">
        <v>4021</v>
      </c>
      <c r="AB490" t="s">
        <v>119</v>
      </c>
      <c r="AC490" t="s">
        <v>4022</v>
      </c>
      <c r="AD490" t="s">
        <v>622</v>
      </c>
      <c r="AE490" t="s">
        <v>4021</v>
      </c>
      <c r="AF490" t="s">
        <v>119</v>
      </c>
      <c r="AG490" t="s">
        <v>4022</v>
      </c>
      <c r="AI490" t="s">
        <v>1257</v>
      </c>
      <c r="AJ490" t="s">
        <v>622</v>
      </c>
      <c r="AK490" t="s">
        <v>99</v>
      </c>
      <c r="AL490" t="s">
        <v>5607</v>
      </c>
      <c r="AM490" t="s">
        <v>4024</v>
      </c>
      <c r="AN490" t="s">
        <v>2555</v>
      </c>
      <c r="AR490" t="s">
        <v>125</v>
      </c>
      <c r="AT490" t="s">
        <v>5608</v>
      </c>
      <c r="AV490" t="s">
        <v>128</v>
      </c>
      <c r="AZ490" t="s">
        <v>80</v>
      </c>
    </row>
    <row r="491" spans="1:52" hidden="1" x14ac:dyDescent="0.25">
      <c r="A491" t="s">
        <v>5609</v>
      </c>
      <c r="B491" t="s">
        <v>4014</v>
      </c>
      <c r="C491" t="s">
        <v>5597</v>
      </c>
      <c r="D491" t="s">
        <v>2544</v>
      </c>
      <c r="E491" t="s">
        <v>5610</v>
      </c>
      <c r="F491" t="s">
        <v>4017</v>
      </c>
      <c r="G491" t="s">
        <v>4017</v>
      </c>
      <c r="J491" t="s">
        <v>80</v>
      </c>
      <c r="K491" t="s">
        <v>110</v>
      </c>
      <c r="L491" t="s">
        <v>111</v>
      </c>
      <c r="M491">
        <v>60406</v>
      </c>
      <c r="P491" t="s">
        <v>154</v>
      </c>
      <c r="Q491" t="s">
        <v>1284</v>
      </c>
      <c r="R491" t="s">
        <v>1285</v>
      </c>
      <c r="S491" t="s">
        <v>1124</v>
      </c>
      <c r="T491" t="s">
        <v>4018</v>
      </c>
      <c r="U491" t="s">
        <v>3470</v>
      </c>
      <c r="V491" t="s">
        <v>3527</v>
      </c>
      <c r="W491" t="s">
        <v>5611</v>
      </c>
      <c r="X491" t="s">
        <v>4020</v>
      </c>
      <c r="Y491" t="s">
        <v>93</v>
      </c>
      <c r="Z491" t="s">
        <v>622</v>
      </c>
      <c r="AA491" t="s">
        <v>4021</v>
      </c>
      <c r="AB491" t="s">
        <v>119</v>
      </c>
      <c r="AC491" t="s">
        <v>4022</v>
      </c>
      <c r="AD491" t="s">
        <v>622</v>
      </c>
      <c r="AE491" t="s">
        <v>4021</v>
      </c>
      <c r="AF491" t="s">
        <v>119</v>
      </c>
      <c r="AG491" t="s">
        <v>4022</v>
      </c>
      <c r="AI491" t="s">
        <v>1257</v>
      </c>
      <c r="AJ491" t="s">
        <v>622</v>
      </c>
      <c r="AK491" t="s">
        <v>99</v>
      </c>
      <c r="AL491" t="s">
        <v>5612</v>
      </c>
      <c r="AM491" t="s">
        <v>5613</v>
      </c>
      <c r="AN491" t="s">
        <v>2555</v>
      </c>
      <c r="AR491" t="s">
        <v>125</v>
      </c>
      <c r="AT491" t="s">
        <v>5614</v>
      </c>
      <c r="AV491" t="s">
        <v>128</v>
      </c>
      <c r="AZ491" t="s">
        <v>80</v>
      </c>
    </row>
    <row r="492" spans="1:52" hidden="1" x14ac:dyDescent="0.25">
      <c r="A492" t="s">
        <v>5615</v>
      </c>
      <c r="B492" t="s">
        <v>4014</v>
      </c>
      <c r="C492" t="s">
        <v>5597</v>
      </c>
      <c r="D492" t="s">
        <v>2544</v>
      </c>
      <c r="E492" t="s">
        <v>5616</v>
      </c>
      <c r="F492" t="s">
        <v>4017</v>
      </c>
      <c r="G492" t="s">
        <v>4017</v>
      </c>
      <c r="J492" t="s">
        <v>80</v>
      </c>
      <c r="K492" t="s">
        <v>110</v>
      </c>
      <c r="L492" t="s">
        <v>111</v>
      </c>
      <c r="M492">
        <v>60406</v>
      </c>
      <c r="P492" t="s">
        <v>154</v>
      </c>
      <c r="Q492" t="s">
        <v>1284</v>
      </c>
      <c r="R492" t="s">
        <v>1285</v>
      </c>
      <c r="S492" t="s">
        <v>1124</v>
      </c>
      <c r="T492" t="s">
        <v>4018</v>
      </c>
      <c r="U492" t="s">
        <v>3470</v>
      </c>
      <c r="V492" t="s">
        <v>3527</v>
      </c>
      <c r="W492" t="s">
        <v>5617</v>
      </c>
      <c r="X492" t="s">
        <v>5618</v>
      </c>
      <c r="Y492" t="s">
        <v>93</v>
      </c>
      <c r="Z492" t="s">
        <v>622</v>
      </c>
      <c r="AA492" t="s">
        <v>4021</v>
      </c>
      <c r="AB492" t="s">
        <v>119</v>
      </c>
      <c r="AC492" t="s">
        <v>4022</v>
      </c>
      <c r="AD492" t="s">
        <v>622</v>
      </c>
      <c r="AE492" t="s">
        <v>4021</v>
      </c>
      <c r="AF492" t="s">
        <v>119</v>
      </c>
      <c r="AG492" t="s">
        <v>4022</v>
      </c>
      <c r="AI492" t="s">
        <v>1257</v>
      </c>
      <c r="AJ492" t="s">
        <v>622</v>
      </c>
      <c r="AK492" t="s">
        <v>99</v>
      </c>
      <c r="AL492" t="s">
        <v>5619</v>
      </c>
      <c r="AM492" t="s">
        <v>5613</v>
      </c>
      <c r="AN492" t="s">
        <v>2555</v>
      </c>
      <c r="AR492" t="s">
        <v>125</v>
      </c>
      <c r="AT492" t="s">
        <v>5620</v>
      </c>
      <c r="AV492" t="s">
        <v>128</v>
      </c>
      <c r="AZ492" t="s">
        <v>80</v>
      </c>
    </row>
    <row r="493" spans="1:52" hidden="1" x14ac:dyDescent="0.25">
      <c r="A493" t="s">
        <v>5621</v>
      </c>
      <c r="B493" t="s">
        <v>4033</v>
      </c>
      <c r="C493" t="s">
        <v>5622</v>
      </c>
      <c r="D493" t="s">
        <v>2544</v>
      </c>
      <c r="E493" t="s">
        <v>5623</v>
      </c>
      <c r="F493" t="s">
        <v>4036</v>
      </c>
      <c r="G493" t="s">
        <v>4036</v>
      </c>
      <c r="J493" t="s">
        <v>80</v>
      </c>
      <c r="K493" t="s">
        <v>110</v>
      </c>
      <c r="L493" t="s">
        <v>111</v>
      </c>
      <c r="M493">
        <v>60404</v>
      </c>
      <c r="P493" t="s">
        <v>154</v>
      </c>
      <c r="Q493" t="s">
        <v>539</v>
      </c>
      <c r="R493" t="s">
        <v>540</v>
      </c>
      <c r="S493" t="s">
        <v>541</v>
      </c>
      <c r="T493" t="s">
        <v>4018</v>
      </c>
      <c r="U493" t="s">
        <v>4037</v>
      </c>
      <c r="V493" t="s">
        <v>4038</v>
      </c>
      <c r="W493" t="s">
        <v>5599</v>
      </c>
      <c r="X493" t="s">
        <v>5600</v>
      </c>
      <c r="Y493" t="s">
        <v>93</v>
      </c>
      <c r="Z493" t="s">
        <v>622</v>
      </c>
      <c r="AA493" t="s">
        <v>4039</v>
      </c>
      <c r="AB493" t="s">
        <v>119</v>
      </c>
      <c r="AC493" t="s">
        <v>4040</v>
      </c>
      <c r="AD493" t="s">
        <v>622</v>
      </c>
      <c r="AE493" t="s">
        <v>4039</v>
      </c>
      <c r="AF493" t="s">
        <v>119</v>
      </c>
      <c r="AG493" t="s">
        <v>4040</v>
      </c>
      <c r="AI493" t="s">
        <v>4041</v>
      </c>
      <c r="AJ493" t="s">
        <v>622</v>
      </c>
      <c r="AK493" t="s">
        <v>99</v>
      </c>
      <c r="AL493" t="s">
        <v>5624</v>
      </c>
      <c r="AM493" t="s">
        <v>5625</v>
      </c>
      <c r="AN493" t="s">
        <v>2555</v>
      </c>
      <c r="AR493" t="s">
        <v>125</v>
      </c>
      <c r="AT493" t="s">
        <v>5626</v>
      </c>
      <c r="AV493" t="s">
        <v>128</v>
      </c>
      <c r="AZ493" t="s">
        <v>80</v>
      </c>
    </row>
    <row r="494" spans="1:52" hidden="1" x14ac:dyDescent="0.25">
      <c r="A494" t="s">
        <v>5627</v>
      </c>
      <c r="B494" t="s">
        <v>4033</v>
      </c>
      <c r="C494" t="s">
        <v>5622</v>
      </c>
      <c r="D494" t="s">
        <v>2544</v>
      </c>
      <c r="E494" t="s">
        <v>5628</v>
      </c>
      <c r="F494" t="s">
        <v>4036</v>
      </c>
      <c r="G494" t="s">
        <v>4036</v>
      </c>
      <c r="J494" t="s">
        <v>80</v>
      </c>
      <c r="K494" t="s">
        <v>110</v>
      </c>
      <c r="L494" t="s">
        <v>111</v>
      </c>
      <c r="M494">
        <v>60404</v>
      </c>
      <c r="P494" t="s">
        <v>154</v>
      </c>
      <c r="Q494" t="s">
        <v>539</v>
      </c>
      <c r="R494" t="s">
        <v>540</v>
      </c>
      <c r="S494" t="s">
        <v>541</v>
      </c>
      <c r="T494" t="s">
        <v>4018</v>
      </c>
      <c r="U494" t="s">
        <v>4037</v>
      </c>
      <c r="V494" t="s">
        <v>4038</v>
      </c>
      <c r="W494" t="s">
        <v>5605</v>
      </c>
      <c r="X494" t="s">
        <v>5606</v>
      </c>
      <c r="Y494" t="s">
        <v>93</v>
      </c>
      <c r="Z494" t="s">
        <v>622</v>
      </c>
      <c r="AA494" t="s">
        <v>4039</v>
      </c>
      <c r="AB494" t="s">
        <v>119</v>
      </c>
      <c r="AC494" t="s">
        <v>4040</v>
      </c>
      <c r="AD494" t="s">
        <v>622</v>
      </c>
      <c r="AE494" t="s">
        <v>4039</v>
      </c>
      <c r="AF494" t="s">
        <v>119</v>
      </c>
      <c r="AG494" t="s">
        <v>4040</v>
      </c>
      <c r="AI494" t="s">
        <v>4041</v>
      </c>
      <c r="AJ494" t="s">
        <v>622</v>
      </c>
      <c r="AK494" t="s">
        <v>99</v>
      </c>
      <c r="AL494" t="s">
        <v>5629</v>
      </c>
      <c r="AM494" t="s">
        <v>5625</v>
      </c>
      <c r="AN494" t="s">
        <v>2555</v>
      </c>
      <c r="AR494" t="s">
        <v>125</v>
      </c>
      <c r="AT494" t="s">
        <v>5630</v>
      </c>
      <c r="AV494" t="s">
        <v>128</v>
      </c>
      <c r="AZ494" t="s">
        <v>80</v>
      </c>
    </row>
    <row r="495" spans="1:52" hidden="1" x14ac:dyDescent="0.25">
      <c r="A495" t="s">
        <v>5631</v>
      </c>
      <c r="B495" t="s">
        <v>4033</v>
      </c>
      <c r="C495" t="s">
        <v>5622</v>
      </c>
      <c r="D495" t="s">
        <v>2544</v>
      </c>
      <c r="E495" t="s">
        <v>5632</v>
      </c>
      <c r="F495" t="s">
        <v>4036</v>
      </c>
      <c r="G495" t="s">
        <v>4036</v>
      </c>
      <c r="J495" t="s">
        <v>80</v>
      </c>
      <c r="K495" t="s">
        <v>110</v>
      </c>
      <c r="L495" t="s">
        <v>111</v>
      </c>
      <c r="M495">
        <v>60404</v>
      </c>
      <c r="P495" t="s">
        <v>154</v>
      </c>
      <c r="Q495" t="s">
        <v>539</v>
      </c>
      <c r="R495" t="s">
        <v>540</v>
      </c>
      <c r="S495" t="s">
        <v>541</v>
      </c>
      <c r="T495" t="s">
        <v>4018</v>
      </c>
      <c r="U495" t="s">
        <v>4037</v>
      </c>
      <c r="V495" t="s">
        <v>4038</v>
      </c>
      <c r="W495" t="s">
        <v>4019</v>
      </c>
      <c r="X495" t="s">
        <v>4020</v>
      </c>
      <c r="Y495" t="s">
        <v>93</v>
      </c>
      <c r="Z495" t="s">
        <v>622</v>
      </c>
      <c r="AA495" t="s">
        <v>4039</v>
      </c>
      <c r="AB495" t="s">
        <v>119</v>
      </c>
      <c r="AC495" t="s">
        <v>4040</v>
      </c>
      <c r="AD495" t="s">
        <v>622</v>
      </c>
      <c r="AE495" t="s">
        <v>4039</v>
      </c>
      <c r="AF495" t="s">
        <v>119</v>
      </c>
      <c r="AG495" t="s">
        <v>4040</v>
      </c>
      <c r="AI495" t="s">
        <v>4041</v>
      </c>
      <c r="AJ495" t="s">
        <v>622</v>
      </c>
      <c r="AK495" t="s">
        <v>99</v>
      </c>
      <c r="AL495" t="s">
        <v>5633</v>
      </c>
      <c r="AM495" t="s">
        <v>5625</v>
      </c>
      <c r="AN495" t="s">
        <v>2555</v>
      </c>
      <c r="AR495" t="s">
        <v>125</v>
      </c>
      <c r="AT495" t="s">
        <v>5634</v>
      </c>
      <c r="AV495" t="s">
        <v>128</v>
      </c>
      <c r="AZ495" t="s">
        <v>80</v>
      </c>
    </row>
    <row r="496" spans="1:52" hidden="1" x14ac:dyDescent="0.25">
      <c r="A496" t="s">
        <v>5635</v>
      </c>
      <c r="B496" t="s">
        <v>4033</v>
      </c>
      <c r="C496" t="s">
        <v>5622</v>
      </c>
      <c r="D496" t="s">
        <v>2544</v>
      </c>
      <c r="E496" t="s">
        <v>5636</v>
      </c>
      <c r="F496" t="s">
        <v>4036</v>
      </c>
      <c r="G496" t="s">
        <v>4036</v>
      </c>
      <c r="J496" t="s">
        <v>80</v>
      </c>
      <c r="K496" t="s">
        <v>110</v>
      </c>
      <c r="L496" t="s">
        <v>111</v>
      </c>
      <c r="M496">
        <v>60404</v>
      </c>
      <c r="P496" t="s">
        <v>154</v>
      </c>
      <c r="Q496" t="s">
        <v>539</v>
      </c>
      <c r="R496" t="s">
        <v>540</v>
      </c>
      <c r="S496" t="s">
        <v>541</v>
      </c>
      <c r="T496" t="s">
        <v>4018</v>
      </c>
      <c r="U496" t="s">
        <v>4037</v>
      </c>
      <c r="V496" t="s">
        <v>4038</v>
      </c>
      <c r="W496" t="s">
        <v>5637</v>
      </c>
      <c r="X496" t="s">
        <v>5638</v>
      </c>
      <c r="Y496" t="s">
        <v>93</v>
      </c>
      <c r="Z496" t="s">
        <v>622</v>
      </c>
      <c r="AA496" t="s">
        <v>4039</v>
      </c>
      <c r="AB496" t="s">
        <v>119</v>
      </c>
      <c r="AC496" t="s">
        <v>4040</v>
      </c>
      <c r="AD496" t="s">
        <v>622</v>
      </c>
      <c r="AE496" t="s">
        <v>4039</v>
      </c>
      <c r="AF496" t="s">
        <v>119</v>
      </c>
      <c r="AG496" t="s">
        <v>4040</v>
      </c>
      <c r="AI496" t="s">
        <v>4041</v>
      </c>
      <c r="AJ496" t="s">
        <v>622</v>
      </c>
      <c r="AK496" t="s">
        <v>99</v>
      </c>
      <c r="AL496" t="s">
        <v>5639</v>
      </c>
      <c r="AM496" t="s">
        <v>5625</v>
      </c>
      <c r="AN496" t="s">
        <v>2555</v>
      </c>
      <c r="AR496" t="s">
        <v>125</v>
      </c>
      <c r="AT496" t="s">
        <v>5626</v>
      </c>
      <c r="AV496" t="s">
        <v>128</v>
      </c>
      <c r="AZ496" t="s">
        <v>80</v>
      </c>
    </row>
    <row r="497" spans="1:52" hidden="1" x14ac:dyDescent="0.25">
      <c r="A497" t="s">
        <v>5640</v>
      </c>
      <c r="B497" t="s">
        <v>4046</v>
      </c>
      <c r="C497" t="s">
        <v>5622</v>
      </c>
      <c r="D497" t="s">
        <v>2544</v>
      </c>
      <c r="E497" t="s">
        <v>5641</v>
      </c>
      <c r="F497" t="s">
        <v>4048</v>
      </c>
      <c r="G497" t="s">
        <v>4048</v>
      </c>
      <c r="J497" t="s">
        <v>80</v>
      </c>
      <c r="K497" t="s">
        <v>110</v>
      </c>
      <c r="L497" t="s">
        <v>111</v>
      </c>
      <c r="M497">
        <v>60402</v>
      </c>
      <c r="P497" t="s">
        <v>154</v>
      </c>
      <c r="Q497" t="s">
        <v>539</v>
      </c>
      <c r="R497" t="s">
        <v>540</v>
      </c>
      <c r="S497" t="s">
        <v>541</v>
      </c>
      <c r="T497" t="s">
        <v>3996</v>
      </c>
      <c r="U497" t="s">
        <v>676</v>
      </c>
      <c r="V497" t="s">
        <v>4049</v>
      </c>
      <c r="W497" t="s">
        <v>5642</v>
      </c>
      <c r="X497" t="s">
        <v>5643</v>
      </c>
      <c r="Y497" t="s">
        <v>93</v>
      </c>
      <c r="Z497" t="s">
        <v>4001</v>
      </c>
      <c r="AA497" t="s">
        <v>4050</v>
      </c>
      <c r="AB497" t="s">
        <v>119</v>
      </c>
      <c r="AC497" t="s">
        <v>4051</v>
      </c>
      <c r="AD497" t="s">
        <v>4001</v>
      </c>
      <c r="AE497" t="s">
        <v>4050</v>
      </c>
      <c r="AF497" t="s">
        <v>119</v>
      </c>
      <c r="AG497" t="s">
        <v>4051</v>
      </c>
      <c r="AI497" t="s">
        <v>4724</v>
      </c>
      <c r="AJ497" t="s">
        <v>4001</v>
      </c>
      <c r="AK497" t="s">
        <v>99</v>
      </c>
      <c r="AL497" t="s">
        <v>5644</v>
      </c>
      <c r="AM497" t="s">
        <v>4043</v>
      </c>
      <c r="AN497" t="s">
        <v>2578</v>
      </c>
      <c r="AR497" t="s">
        <v>125</v>
      </c>
      <c r="AT497" t="s">
        <v>5645</v>
      </c>
      <c r="AV497" t="s">
        <v>128</v>
      </c>
      <c r="AZ497" t="s">
        <v>80</v>
      </c>
    </row>
    <row r="498" spans="1:52" hidden="1" x14ac:dyDescent="0.25">
      <c r="A498" t="s">
        <v>5646</v>
      </c>
      <c r="B498" t="s">
        <v>4046</v>
      </c>
      <c r="C498" t="s">
        <v>5622</v>
      </c>
      <c r="D498" t="s">
        <v>2544</v>
      </c>
      <c r="E498" t="s">
        <v>5647</v>
      </c>
      <c r="F498" t="s">
        <v>4048</v>
      </c>
      <c r="G498" t="s">
        <v>4048</v>
      </c>
      <c r="J498" t="s">
        <v>80</v>
      </c>
      <c r="K498" t="s">
        <v>110</v>
      </c>
      <c r="L498" t="s">
        <v>111</v>
      </c>
      <c r="M498">
        <v>60402</v>
      </c>
      <c r="P498" t="s">
        <v>154</v>
      </c>
      <c r="Q498" t="s">
        <v>539</v>
      </c>
      <c r="R498" t="s">
        <v>540</v>
      </c>
      <c r="S498" t="s">
        <v>541</v>
      </c>
      <c r="T498" t="s">
        <v>3996</v>
      </c>
      <c r="U498" t="s">
        <v>676</v>
      </c>
      <c r="V498" t="s">
        <v>4049</v>
      </c>
      <c r="W498" t="s">
        <v>5582</v>
      </c>
      <c r="X498" t="s">
        <v>4000</v>
      </c>
      <c r="Y498" t="s">
        <v>93</v>
      </c>
      <c r="Z498" t="s">
        <v>4001</v>
      </c>
      <c r="AA498" t="s">
        <v>4050</v>
      </c>
      <c r="AB498" t="s">
        <v>119</v>
      </c>
      <c r="AC498" t="s">
        <v>4051</v>
      </c>
      <c r="AD498" t="s">
        <v>4001</v>
      </c>
      <c r="AE498" t="s">
        <v>4050</v>
      </c>
      <c r="AF498" t="s">
        <v>119</v>
      </c>
      <c r="AG498" t="s">
        <v>4051</v>
      </c>
      <c r="AI498" t="s">
        <v>4724</v>
      </c>
      <c r="AJ498" t="s">
        <v>4001</v>
      </c>
      <c r="AK498" t="s">
        <v>99</v>
      </c>
      <c r="AL498" t="s">
        <v>5648</v>
      </c>
      <c r="AM498" t="s">
        <v>4043</v>
      </c>
      <c r="AN498" t="s">
        <v>2578</v>
      </c>
      <c r="AR498" t="s">
        <v>125</v>
      </c>
      <c r="AT498" t="s">
        <v>5649</v>
      </c>
      <c r="AV498" t="s">
        <v>128</v>
      </c>
      <c r="AZ498" t="s">
        <v>80</v>
      </c>
    </row>
    <row r="499" spans="1:52" hidden="1" x14ac:dyDescent="0.25">
      <c r="A499" t="s">
        <v>5650</v>
      </c>
      <c r="B499" t="s">
        <v>4046</v>
      </c>
      <c r="C499" t="s">
        <v>5651</v>
      </c>
      <c r="D499" t="s">
        <v>2544</v>
      </c>
      <c r="E499" t="s">
        <v>5652</v>
      </c>
      <c r="F499" t="s">
        <v>4048</v>
      </c>
      <c r="G499" t="s">
        <v>4048</v>
      </c>
      <c r="J499" t="s">
        <v>80</v>
      </c>
      <c r="K499" t="s">
        <v>110</v>
      </c>
      <c r="L499" t="s">
        <v>111</v>
      </c>
      <c r="M499">
        <v>60402</v>
      </c>
      <c r="P499" t="s">
        <v>154</v>
      </c>
      <c r="Q499" t="s">
        <v>539</v>
      </c>
      <c r="R499" t="s">
        <v>540</v>
      </c>
      <c r="S499" t="s">
        <v>541</v>
      </c>
      <c r="T499" t="s">
        <v>3996</v>
      </c>
      <c r="U499" t="s">
        <v>676</v>
      </c>
      <c r="V499" t="s">
        <v>4049</v>
      </c>
      <c r="W499" t="s">
        <v>3999</v>
      </c>
      <c r="X499" t="s">
        <v>4000</v>
      </c>
      <c r="Y499" t="s">
        <v>93</v>
      </c>
      <c r="Z499" t="s">
        <v>4001</v>
      </c>
      <c r="AA499" t="s">
        <v>4050</v>
      </c>
      <c r="AB499" t="s">
        <v>119</v>
      </c>
      <c r="AC499" t="s">
        <v>4051</v>
      </c>
      <c r="AD499" t="s">
        <v>4001</v>
      </c>
      <c r="AE499" t="s">
        <v>4050</v>
      </c>
      <c r="AF499" t="s">
        <v>119</v>
      </c>
      <c r="AG499" t="s">
        <v>4051</v>
      </c>
      <c r="AI499" t="s">
        <v>4724</v>
      </c>
      <c r="AJ499" t="s">
        <v>4001</v>
      </c>
      <c r="AK499" t="s">
        <v>99</v>
      </c>
      <c r="AL499" t="s">
        <v>5653</v>
      </c>
      <c r="AM499" t="s">
        <v>4043</v>
      </c>
      <c r="AN499" t="s">
        <v>2578</v>
      </c>
      <c r="AR499" t="s">
        <v>125</v>
      </c>
      <c r="AT499" t="s">
        <v>5654</v>
      </c>
      <c r="AV499" t="s">
        <v>128</v>
      </c>
      <c r="AZ499" t="s">
        <v>80</v>
      </c>
    </row>
    <row r="500" spans="1:52" hidden="1" x14ac:dyDescent="0.25">
      <c r="A500" t="s">
        <v>5655</v>
      </c>
      <c r="B500" t="s">
        <v>4046</v>
      </c>
      <c r="C500" t="s">
        <v>5651</v>
      </c>
      <c r="D500" t="s">
        <v>2544</v>
      </c>
      <c r="E500" t="s">
        <v>5656</v>
      </c>
      <c r="F500" t="s">
        <v>4048</v>
      </c>
      <c r="G500" t="s">
        <v>4048</v>
      </c>
      <c r="J500" t="s">
        <v>80</v>
      </c>
      <c r="K500" t="s">
        <v>110</v>
      </c>
      <c r="L500" t="s">
        <v>111</v>
      </c>
      <c r="M500">
        <v>60402</v>
      </c>
      <c r="P500" t="s">
        <v>154</v>
      </c>
      <c r="Q500" t="s">
        <v>539</v>
      </c>
      <c r="R500" t="s">
        <v>540</v>
      </c>
      <c r="S500" t="s">
        <v>541</v>
      </c>
      <c r="T500" t="s">
        <v>3996</v>
      </c>
      <c r="U500" t="s">
        <v>676</v>
      </c>
      <c r="V500" t="s">
        <v>4049</v>
      </c>
      <c r="W500" t="s">
        <v>5657</v>
      </c>
      <c r="X500" t="s">
        <v>5593</v>
      </c>
      <c r="Y500" t="s">
        <v>93</v>
      </c>
      <c r="Z500" t="s">
        <v>4001</v>
      </c>
      <c r="AA500" t="s">
        <v>4050</v>
      </c>
      <c r="AB500" t="s">
        <v>119</v>
      </c>
      <c r="AC500" t="s">
        <v>4051</v>
      </c>
      <c r="AD500" t="s">
        <v>4001</v>
      </c>
      <c r="AE500" t="s">
        <v>4050</v>
      </c>
      <c r="AF500" t="s">
        <v>119</v>
      </c>
      <c r="AG500" t="s">
        <v>4051</v>
      </c>
      <c r="AI500" t="s">
        <v>4724</v>
      </c>
      <c r="AJ500" t="s">
        <v>4001</v>
      </c>
      <c r="AK500" t="s">
        <v>99</v>
      </c>
      <c r="AL500" t="s">
        <v>5658</v>
      </c>
      <c r="AM500" t="s">
        <v>4043</v>
      </c>
      <c r="AN500" t="s">
        <v>2578</v>
      </c>
      <c r="AR500" t="s">
        <v>125</v>
      </c>
      <c r="AT500" t="s">
        <v>5654</v>
      </c>
      <c r="AV500" t="s">
        <v>128</v>
      </c>
      <c r="AZ500" t="s">
        <v>80</v>
      </c>
    </row>
    <row r="501" spans="1:52" hidden="1" x14ac:dyDescent="0.25">
      <c r="A501" t="s">
        <v>5659</v>
      </c>
      <c r="B501" t="s">
        <v>4119</v>
      </c>
      <c r="C501" t="s">
        <v>5651</v>
      </c>
      <c r="D501" t="s">
        <v>2544</v>
      </c>
      <c r="E501" t="s">
        <v>5660</v>
      </c>
      <c r="F501" t="s">
        <v>4122</v>
      </c>
      <c r="G501" t="s">
        <v>4122</v>
      </c>
      <c r="J501" t="s">
        <v>80</v>
      </c>
      <c r="K501" t="s">
        <v>110</v>
      </c>
      <c r="L501" t="s">
        <v>111</v>
      </c>
      <c r="M501">
        <v>60400</v>
      </c>
      <c r="P501" t="s">
        <v>154</v>
      </c>
      <c r="Q501" t="s">
        <v>731</v>
      </c>
      <c r="R501" t="s">
        <v>732</v>
      </c>
      <c r="S501" t="s">
        <v>733</v>
      </c>
      <c r="T501" t="s">
        <v>4018</v>
      </c>
      <c r="U501" t="s">
        <v>3470</v>
      </c>
      <c r="V501" t="s">
        <v>2624</v>
      </c>
      <c r="W501" t="s">
        <v>5661</v>
      </c>
      <c r="X501" t="s">
        <v>5662</v>
      </c>
      <c r="Y501" t="s">
        <v>93</v>
      </c>
      <c r="Z501" t="s">
        <v>622</v>
      </c>
      <c r="AA501" t="s">
        <v>4123</v>
      </c>
      <c r="AB501" t="s">
        <v>119</v>
      </c>
      <c r="AC501" t="s">
        <v>4124</v>
      </c>
      <c r="AD501" t="s">
        <v>622</v>
      </c>
      <c r="AE501" t="s">
        <v>4123</v>
      </c>
      <c r="AF501" t="s">
        <v>119</v>
      </c>
      <c r="AG501" t="s">
        <v>4124</v>
      </c>
      <c r="AI501" t="s">
        <v>5663</v>
      </c>
      <c r="AJ501" t="s">
        <v>622</v>
      </c>
      <c r="AK501" t="s">
        <v>99</v>
      </c>
      <c r="AL501" t="s">
        <v>5664</v>
      </c>
      <c r="AM501" t="s">
        <v>4127</v>
      </c>
      <c r="AN501" t="s">
        <v>2555</v>
      </c>
      <c r="AR501" t="s">
        <v>125</v>
      </c>
      <c r="AT501" t="s">
        <v>5665</v>
      </c>
      <c r="AV501" t="s">
        <v>128</v>
      </c>
      <c r="AZ501" t="s">
        <v>80</v>
      </c>
    </row>
    <row r="502" spans="1:52" hidden="1" x14ac:dyDescent="0.25">
      <c r="A502" t="s">
        <v>5666</v>
      </c>
      <c r="B502" t="s">
        <v>4119</v>
      </c>
      <c r="C502" t="s">
        <v>5667</v>
      </c>
      <c r="D502" t="s">
        <v>2544</v>
      </c>
      <c r="E502" t="s">
        <v>5668</v>
      </c>
      <c r="F502" t="s">
        <v>4122</v>
      </c>
      <c r="G502" t="s">
        <v>4122</v>
      </c>
      <c r="J502" t="s">
        <v>80</v>
      </c>
      <c r="K502" t="s">
        <v>110</v>
      </c>
      <c r="L502" t="s">
        <v>111</v>
      </c>
      <c r="M502">
        <v>60400</v>
      </c>
      <c r="P502" t="s">
        <v>154</v>
      </c>
      <c r="Q502" t="s">
        <v>731</v>
      </c>
      <c r="R502" t="s">
        <v>732</v>
      </c>
      <c r="S502" t="s">
        <v>733</v>
      </c>
      <c r="T502" t="s">
        <v>4018</v>
      </c>
      <c r="U502" t="s">
        <v>3470</v>
      </c>
      <c r="V502" t="s">
        <v>2624</v>
      </c>
      <c r="W502" t="s">
        <v>5605</v>
      </c>
      <c r="X502" t="s">
        <v>5606</v>
      </c>
      <c r="Y502" t="s">
        <v>93</v>
      </c>
      <c r="Z502" t="s">
        <v>622</v>
      </c>
      <c r="AA502" t="s">
        <v>4123</v>
      </c>
      <c r="AB502" t="s">
        <v>119</v>
      </c>
      <c r="AC502" t="s">
        <v>4124</v>
      </c>
      <c r="AD502" t="s">
        <v>622</v>
      </c>
      <c r="AE502" t="s">
        <v>4123</v>
      </c>
      <c r="AF502" t="s">
        <v>119</v>
      </c>
      <c r="AG502" t="s">
        <v>4124</v>
      </c>
      <c r="AI502" t="s">
        <v>5663</v>
      </c>
      <c r="AJ502" t="s">
        <v>622</v>
      </c>
      <c r="AK502" t="s">
        <v>99</v>
      </c>
      <c r="AL502" t="s">
        <v>5669</v>
      </c>
      <c r="AM502" t="s">
        <v>4127</v>
      </c>
      <c r="AN502" t="s">
        <v>2555</v>
      </c>
      <c r="AR502" t="s">
        <v>125</v>
      </c>
      <c r="AT502" t="s">
        <v>5670</v>
      </c>
      <c r="AV502" t="s">
        <v>128</v>
      </c>
      <c r="AZ502" t="s">
        <v>80</v>
      </c>
    </row>
    <row r="503" spans="1:52" hidden="1" x14ac:dyDescent="0.25">
      <c r="A503" t="s">
        <v>5671</v>
      </c>
      <c r="B503" t="s">
        <v>4119</v>
      </c>
      <c r="C503" t="s">
        <v>5667</v>
      </c>
      <c r="D503" t="s">
        <v>2544</v>
      </c>
      <c r="E503" t="s">
        <v>5672</v>
      </c>
      <c r="F503" t="s">
        <v>4122</v>
      </c>
      <c r="G503" t="s">
        <v>4122</v>
      </c>
      <c r="J503" t="s">
        <v>80</v>
      </c>
      <c r="K503" t="s">
        <v>110</v>
      </c>
      <c r="L503" t="s">
        <v>111</v>
      </c>
      <c r="M503">
        <v>60400</v>
      </c>
      <c r="P503" t="s">
        <v>154</v>
      </c>
      <c r="Q503" t="s">
        <v>731</v>
      </c>
      <c r="R503" t="s">
        <v>732</v>
      </c>
      <c r="S503" t="s">
        <v>733</v>
      </c>
      <c r="T503" t="s">
        <v>4018</v>
      </c>
      <c r="U503" t="s">
        <v>3470</v>
      </c>
      <c r="V503" t="s">
        <v>2624</v>
      </c>
      <c r="W503" t="s">
        <v>4019</v>
      </c>
      <c r="X503" t="s">
        <v>4020</v>
      </c>
      <c r="Y503" t="s">
        <v>93</v>
      </c>
      <c r="Z503" t="s">
        <v>622</v>
      </c>
      <c r="AA503" t="s">
        <v>4123</v>
      </c>
      <c r="AB503" t="s">
        <v>119</v>
      </c>
      <c r="AC503" t="s">
        <v>4124</v>
      </c>
      <c r="AD503" t="s">
        <v>622</v>
      </c>
      <c r="AE503" t="s">
        <v>4123</v>
      </c>
      <c r="AF503" t="s">
        <v>119</v>
      </c>
      <c r="AG503" t="s">
        <v>4124</v>
      </c>
      <c r="AI503" t="s">
        <v>5663</v>
      </c>
      <c r="AJ503" t="s">
        <v>622</v>
      </c>
      <c r="AK503" t="s">
        <v>99</v>
      </c>
      <c r="AL503" t="s">
        <v>5673</v>
      </c>
      <c r="AM503" t="s">
        <v>5674</v>
      </c>
      <c r="AN503" t="s">
        <v>2555</v>
      </c>
      <c r="AR503" t="s">
        <v>125</v>
      </c>
      <c r="AT503" t="s">
        <v>5675</v>
      </c>
      <c r="AV503" t="s">
        <v>128</v>
      </c>
      <c r="AZ503" t="s">
        <v>80</v>
      </c>
    </row>
    <row r="504" spans="1:52" hidden="1" x14ac:dyDescent="0.25">
      <c r="A504" t="s">
        <v>5676</v>
      </c>
      <c r="B504" t="s">
        <v>4119</v>
      </c>
      <c r="C504" t="s">
        <v>5667</v>
      </c>
      <c r="D504" t="s">
        <v>2544</v>
      </c>
      <c r="E504" t="s">
        <v>5677</v>
      </c>
      <c r="F504" t="s">
        <v>4122</v>
      </c>
      <c r="G504" t="s">
        <v>4122</v>
      </c>
      <c r="J504" t="s">
        <v>80</v>
      </c>
      <c r="K504" t="s">
        <v>110</v>
      </c>
      <c r="L504" t="s">
        <v>111</v>
      </c>
      <c r="M504">
        <v>60400</v>
      </c>
      <c r="P504" t="s">
        <v>154</v>
      </c>
      <c r="Q504" t="s">
        <v>731</v>
      </c>
      <c r="R504" t="s">
        <v>732</v>
      </c>
      <c r="S504" t="s">
        <v>733</v>
      </c>
      <c r="T504" t="s">
        <v>4018</v>
      </c>
      <c r="U504" t="s">
        <v>3470</v>
      </c>
      <c r="V504" t="s">
        <v>2624</v>
      </c>
      <c r="W504" t="s">
        <v>5678</v>
      </c>
      <c r="X504" t="s">
        <v>5618</v>
      </c>
      <c r="Y504" t="s">
        <v>93</v>
      </c>
      <c r="Z504" t="s">
        <v>622</v>
      </c>
      <c r="AA504" t="s">
        <v>4123</v>
      </c>
      <c r="AB504" t="s">
        <v>119</v>
      </c>
      <c r="AC504" t="s">
        <v>4124</v>
      </c>
      <c r="AD504" t="s">
        <v>622</v>
      </c>
      <c r="AE504" t="s">
        <v>4123</v>
      </c>
      <c r="AF504" t="s">
        <v>119</v>
      </c>
      <c r="AG504" t="s">
        <v>4124</v>
      </c>
      <c r="AI504" t="s">
        <v>5663</v>
      </c>
      <c r="AJ504" t="s">
        <v>622</v>
      </c>
      <c r="AK504" t="s">
        <v>99</v>
      </c>
      <c r="AL504" t="s">
        <v>5679</v>
      </c>
      <c r="AM504" t="s">
        <v>5674</v>
      </c>
      <c r="AN504" t="s">
        <v>2555</v>
      </c>
      <c r="AR504" t="s">
        <v>125</v>
      </c>
      <c r="AT504" t="s">
        <v>5680</v>
      </c>
      <c r="AV504" t="s">
        <v>128</v>
      </c>
      <c r="AZ504" t="s">
        <v>80</v>
      </c>
    </row>
    <row r="505" spans="1:52" hidden="1" x14ac:dyDescent="0.25">
      <c r="A505" t="s">
        <v>5681</v>
      </c>
      <c r="B505" t="s">
        <v>4057</v>
      </c>
      <c r="C505" t="s">
        <v>5667</v>
      </c>
      <c r="D505" t="s">
        <v>2544</v>
      </c>
      <c r="E505" t="s">
        <v>5682</v>
      </c>
      <c r="F505" t="s">
        <v>4060</v>
      </c>
      <c r="G505" t="s">
        <v>4060</v>
      </c>
      <c r="J505" t="s">
        <v>80</v>
      </c>
      <c r="K505" t="s">
        <v>110</v>
      </c>
      <c r="L505" t="s">
        <v>111</v>
      </c>
      <c r="M505">
        <v>60429</v>
      </c>
      <c r="P505" t="s">
        <v>154</v>
      </c>
      <c r="Q505" t="s">
        <v>1284</v>
      </c>
      <c r="R505" t="s">
        <v>1285</v>
      </c>
      <c r="S505" t="s">
        <v>1124</v>
      </c>
      <c r="T505" t="s">
        <v>4018</v>
      </c>
      <c r="U505" t="s">
        <v>4061</v>
      </c>
      <c r="V505" t="s">
        <v>1955</v>
      </c>
      <c r="W505" t="s">
        <v>5611</v>
      </c>
      <c r="X505" t="s">
        <v>4020</v>
      </c>
      <c r="Y505" t="s">
        <v>93</v>
      </c>
      <c r="Z505" t="s">
        <v>119</v>
      </c>
      <c r="AA505" t="s">
        <v>2459</v>
      </c>
      <c r="AB505" t="s">
        <v>622</v>
      </c>
      <c r="AC505" t="s">
        <v>4062</v>
      </c>
      <c r="AD505" t="s">
        <v>119</v>
      </c>
      <c r="AE505" t="s">
        <v>2459</v>
      </c>
      <c r="AF505" t="s">
        <v>622</v>
      </c>
      <c r="AG505" t="s">
        <v>4062</v>
      </c>
      <c r="AI505" t="s">
        <v>2460</v>
      </c>
      <c r="AJ505" t="s">
        <v>119</v>
      </c>
      <c r="AK505" t="s">
        <v>99</v>
      </c>
      <c r="AL505" t="s">
        <v>5683</v>
      </c>
      <c r="AM505" t="s">
        <v>4054</v>
      </c>
      <c r="AN505" t="s">
        <v>2555</v>
      </c>
      <c r="AR505" t="s">
        <v>125</v>
      </c>
      <c r="AT505" t="s">
        <v>5684</v>
      </c>
      <c r="AV505" t="s">
        <v>128</v>
      </c>
      <c r="AZ505" t="s">
        <v>80</v>
      </c>
    </row>
    <row r="506" spans="1:52" hidden="1" x14ac:dyDescent="0.25">
      <c r="A506" t="s">
        <v>5685</v>
      </c>
      <c r="B506" t="s">
        <v>4057</v>
      </c>
      <c r="C506" t="s">
        <v>5667</v>
      </c>
      <c r="D506" t="s">
        <v>2544</v>
      </c>
      <c r="E506" t="s">
        <v>5686</v>
      </c>
      <c r="F506" t="s">
        <v>4060</v>
      </c>
      <c r="G506" t="s">
        <v>4060</v>
      </c>
      <c r="J506" t="s">
        <v>80</v>
      </c>
      <c r="K506" t="s">
        <v>110</v>
      </c>
      <c r="L506" t="s">
        <v>111</v>
      </c>
      <c r="M506">
        <v>60429</v>
      </c>
      <c r="P506" t="s">
        <v>154</v>
      </c>
      <c r="Q506" t="s">
        <v>1284</v>
      </c>
      <c r="R506" t="s">
        <v>1285</v>
      </c>
      <c r="S506" t="s">
        <v>1124</v>
      </c>
      <c r="T506" t="s">
        <v>4018</v>
      </c>
      <c r="U506" t="s">
        <v>4061</v>
      </c>
      <c r="V506" t="s">
        <v>1955</v>
      </c>
      <c r="W506" t="s">
        <v>5605</v>
      </c>
      <c r="X506" t="s">
        <v>5606</v>
      </c>
      <c r="Y506" t="s">
        <v>93</v>
      </c>
      <c r="Z506" t="s">
        <v>119</v>
      </c>
      <c r="AA506" t="s">
        <v>2459</v>
      </c>
      <c r="AB506" t="s">
        <v>622</v>
      </c>
      <c r="AC506" t="s">
        <v>4062</v>
      </c>
      <c r="AD506" t="s">
        <v>119</v>
      </c>
      <c r="AE506" t="s">
        <v>2459</v>
      </c>
      <c r="AF506" t="s">
        <v>622</v>
      </c>
      <c r="AG506" t="s">
        <v>4062</v>
      </c>
      <c r="AI506" t="s">
        <v>2460</v>
      </c>
      <c r="AJ506" t="s">
        <v>119</v>
      </c>
      <c r="AK506" t="s">
        <v>99</v>
      </c>
      <c r="AL506" t="s">
        <v>5687</v>
      </c>
      <c r="AM506" t="s">
        <v>4054</v>
      </c>
      <c r="AN506" t="s">
        <v>2555</v>
      </c>
      <c r="AR506" t="s">
        <v>125</v>
      </c>
      <c r="AT506" t="s">
        <v>5688</v>
      </c>
      <c r="AV506" t="s">
        <v>128</v>
      </c>
      <c r="AZ506" t="s">
        <v>80</v>
      </c>
    </row>
    <row r="507" spans="1:52" hidden="1" x14ac:dyDescent="0.25">
      <c r="A507" t="s">
        <v>5689</v>
      </c>
      <c r="B507" t="s">
        <v>4057</v>
      </c>
      <c r="C507" t="s">
        <v>5690</v>
      </c>
      <c r="D507" t="s">
        <v>2544</v>
      </c>
      <c r="E507" t="s">
        <v>5691</v>
      </c>
      <c r="F507" t="s">
        <v>4060</v>
      </c>
      <c r="G507" t="s">
        <v>4060</v>
      </c>
      <c r="J507" t="s">
        <v>80</v>
      </c>
      <c r="K507" t="s">
        <v>110</v>
      </c>
      <c r="L507" t="s">
        <v>111</v>
      </c>
      <c r="M507">
        <v>60429</v>
      </c>
      <c r="P507" t="s">
        <v>154</v>
      </c>
      <c r="Q507" t="s">
        <v>1284</v>
      </c>
      <c r="R507" t="s">
        <v>1285</v>
      </c>
      <c r="S507" t="s">
        <v>1124</v>
      </c>
      <c r="T507" t="s">
        <v>4018</v>
      </c>
      <c r="U507" t="s">
        <v>4061</v>
      </c>
      <c r="V507" t="s">
        <v>1955</v>
      </c>
      <c r="W507" t="s">
        <v>5617</v>
      </c>
      <c r="X507" t="s">
        <v>5618</v>
      </c>
      <c r="Y507" t="s">
        <v>93</v>
      </c>
      <c r="Z507" t="s">
        <v>119</v>
      </c>
      <c r="AA507" t="s">
        <v>2459</v>
      </c>
      <c r="AB507" t="s">
        <v>622</v>
      </c>
      <c r="AC507" t="s">
        <v>4062</v>
      </c>
      <c r="AD507" t="s">
        <v>119</v>
      </c>
      <c r="AE507" t="s">
        <v>2459</v>
      </c>
      <c r="AF507" t="s">
        <v>622</v>
      </c>
      <c r="AG507" t="s">
        <v>4062</v>
      </c>
      <c r="AI507" t="s">
        <v>2460</v>
      </c>
      <c r="AJ507" t="s">
        <v>119</v>
      </c>
      <c r="AK507" t="s">
        <v>99</v>
      </c>
      <c r="AL507" t="s">
        <v>5692</v>
      </c>
      <c r="AM507" t="s">
        <v>4054</v>
      </c>
      <c r="AN507" t="s">
        <v>2555</v>
      </c>
      <c r="AR507" t="s">
        <v>125</v>
      </c>
      <c r="AT507" t="s">
        <v>5693</v>
      </c>
      <c r="AV507" t="s">
        <v>128</v>
      </c>
      <c r="AZ507" t="s">
        <v>80</v>
      </c>
    </row>
    <row r="508" spans="1:52" hidden="1" x14ac:dyDescent="0.25">
      <c r="A508" t="s">
        <v>5694</v>
      </c>
      <c r="B508" t="s">
        <v>4057</v>
      </c>
      <c r="C508" t="s">
        <v>5690</v>
      </c>
      <c r="D508" t="s">
        <v>2544</v>
      </c>
      <c r="E508" t="s">
        <v>5695</v>
      </c>
      <c r="F508" t="s">
        <v>4060</v>
      </c>
      <c r="G508" t="s">
        <v>4060</v>
      </c>
      <c r="J508" t="s">
        <v>80</v>
      </c>
      <c r="K508" t="s">
        <v>110</v>
      </c>
      <c r="L508" t="s">
        <v>111</v>
      </c>
      <c r="M508">
        <v>60429</v>
      </c>
      <c r="P508" t="s">
        <v>154</v>
      </c>
      <c r="Q508" t="s">
        <v>1284</v>
      </c>
      <c r="R508" t="s">
        <v>1285</v>
      </c>
      <c r="S508" t="s">
        <v>1124</v>
      </c>
      <c r="T508" t="s">
        <v>4018</v>
      </c>
      <c r="U508" t="s">
        <v>4061</v>
      </c>
      <c r="V508" t="s">
        <v>1955</v>
      </c>
      <c r="W508" t="s">
        <v>5599</v>
      </c>
      <c r="X508" t="s">
        <v>5600</v>
      </c>
      <c r="Y508" t="s">
        <v>93</v>
      </c>
      <c r="Z508" t="s">
        <v>119</v>
      </c>
      <c r="AA508" t="s">
        <v>2459</v>
      </c>
      <c r="AB508" t="s">
        <v>622</v>
      </c>
      <c r="AC508" t="s">
        <v>4062</v>
      </c>
      <c r="AD508" t="s">
        <v>119</v>
      </c>
      <c r="AE508" t="s">
        <v>2459</v>
      </c>
      <c r="AF508" t="s">
        <v>622</v>
      </c>
      <c r="AG508" t="s">
        <v>4062</v>
      </c>
      <c r="AI508" t="s">
        <v>2460</v>
      </c>
      <c r="AJ508" t="s">
        <v>119</v>
      </c>
      <c r="AK508" t="s">
        <v>99</v>
      </c>
      <c r="AL508" t="s">
        <v>5696</v>
      </c>
      <c r="AM508" t="s">
        <v>4054</v>
      </c>
      <c r="AN508" t="s">
        <v>2555</v>
      </c>
      <c r="AR508" t="s">
        <v>125</v>
      </c>
      <c r="AT508" t="s">
        <v>5697</v>
      </c>
      <c r="AV508" t="s">
        <v>128</v>
      </c>
      <c r="AZ508" t="s">
        <v>80</v>
      </c>
    </row>
    <row r="509" spans="1:52" hidden="1" x14ac:dyDescent="0.25">
      <c r="A509" t="s">
        <v>5698</v>
      </c>
      <c r="B509" t="s">
        <v>4072</v>
      </c>
      <c r="C509" t="s">
        <v>5690</v>
      </c>
      <c r="D509" t="s">
        <v>2544</v>
      </c>
      <c r="E509" t="s">
        <v>5699</v>
      </c>
      <c r="F509" t="s">
        <v>4075</v>
      </c>
      <c r="G509" t="s">
        <v>4075</v>
      </c>
      <c r="J509" t="s">
        <v>80</v>
      </c>
      <c r="K509" t="s">
        <v>110</v>
      </c>
      <c r="L509" t="s">
        <v>111</v>
      </c>
      <c r="M509">
        <v>60427</v>
      </c>
      <c r="P509" t="s">
        <v>154</v>
      </c>
      <c r="Q509" t="s">
        <v>539</v>
      </c>
      <c r="R509" t="s">
        <v>540</v>
      </c>
      <c r="S509" t="s">
        <v>541</v>
      </c>
      <c r="T509" t="s">
        <v>3996</v>
      </c>
      <c r="U509" t="s">
        <v>1415</v>
      </c>
      <c r="V509" t="s">
        <v>4076</v>
      </c>
      <c r="W509" t="s">
        <v>5587</v>
      </c>
      <c r="X509" t="s">
        <v>4000</v>
      </c>
      <c r="Y509" t="s">
        <v>93</v>
      </c>
      <c r="Z509" t="s">
        <v>119</v>
      </c>
      <c r="AA509" t="s">
        <v>4077</v>
      </c>
      <c r="AB509" t="s">
        <v>4001</v>
      </c>
      <c r="AC509" t="s">
        <v>4078</v>
      </c>
      <c r="AD509" t="s">
        <v>119</v>
      </c>
      <c r="AE509" t="s">
        <v>4077</v>
      </c>
      <c r="AF509" t="s">
        <v>4001</v>
      </c>
      <c r="AG509" t="s">
        <v>4078</v>
      </c>
      <c r="AI509" t="s">
        <v>4079</v>
      </c>
      <c r="AJ509" t="s">
        <v>119</v>
      </c>
      <c r="AK509" t="s">
        <v>99</v>
      </c>
      <c r="AL509" t="s">
        <v>5700</v>
      </c>
      <c r="AM509" t="s">
        <v>4081</v>
      </c>
      <c r="AN509" t="s">
        <v>2578</v>
      </c>
      <c r="AR509" t="s">
        <v>125</v>
      </c>
      <c r="AT509" t="s">
        <v>5701</v>
      </c>
      <c r="AV509" t="s">
        <v>128</v>
      </c>
      <c r="AZ509" t="s">
        <v>80</v>
      </c>
    </row>
    <row r="510" spans="1:52" hidden="1" x14ac:dyDescent="0.25">
      <c r="A510" t="s">
        <v>5702</v>
      </c>
      <c r="B510" t="s">
        <v>4072</v>
      </c>
      <c r="C510" t="s">
        <v>5690</v>
      </c>
      <c r="D510" t="s">
        <v>2544</v>
      </c>
      <c r="E510" t="s">
        <v>5703</v>
      </c>
      <c r="F510" t="s">
        <v>4075</v>
      </c>
      <c r="G510" t="s">
        <v>4075</v>
      </c>
      <c r="J510" t="s">
        <v>80</v>
      </c>
      <c r="K510" t="s">
        <v>110</v>
      </c>
      <c r="L510" t="s">
        <v>111</v>
      </c>
      <c r="M510">
        <v>60427</v>
      </c>
      <c r="P510" t="s">
        <v>154</v>
      </c>
      <c r="Q510" t="s">
        <v>539</v>
      </c>
      <c r="R510" t="s">
        <v>540</v>
      </c>
      <c r="S510" t="s">
        <v>541</v>
      </c>
      <c r="T510" t="s">
        <v>3996</v>
      </c>
      <c r="U510" t="s">
        <v>1415</v>
      </c>
      <c r="V510" t="s">
        <v>4076</v>
      </c>
      <c r="W510" t="s">
        <v>5582</v>
      </c>
      <c r="X510" t="s">
        <v>4000</v>
      </c>
      <c r="Y510" t="s">
        <v>93</v>
      </c>
      <c r="Z510" t="s">
        <v>119</v>
      </c>
      <c r="AA510" t="s">
        <v>4077</v>
      </c>
      <c r="AB510" t="s">
        <v>4001</v>
      </c>
      <c r="AC510" t="s">
        <v>4078</v>
      </c>
      <c r="AD510" t="s">
        <v>119</v>
      </c>
      <c r="AE510" t="s">
        <v>4077</v>
      </c>
      <c r="AF510" t="s">
        <v>4001</v>
      </c>
      <c r="AG510" t="s">
        <v>4078</v>
      </c>
      <c r="AI510" t="s">
        <v>4079</v>
      </c>
      <c r="AJ510" t="s">
        <v>119</v>
      </c>
      <c r="AK510" t="s">
        <v>99</v>
      </c>
      <c r="AL510" t="s">
        <v>5704</v>
      </c>
      <c r="AM510" t="s">
        <v>4081</v>
      </c>
      <c r="AN510" t="s">
        <v>2578</v>
      </c>
      <c r="AR510" t="s">
        <v>125</v>
      </c>
      <c r="AT510" t="s">
        <v>5705</v>
      </c>
      <c r="AV510" t="s">
        <v>128</v>
      </c>
      <c r="AZ510" t="s">
        <v>80</v>
      </c>
    </row>
    <row r="511" spans="1:52" hidden="1" x14ac:dyDescent="0.25">
      <c r="A511" t="s">
        <v>5706</v>
      </c>
      <c r="B511" t="s">
        <v>4072</v>
      </c>
      <c r="C511" t="s">
        <v>5690</v>
      </c>
      <c r="D511" t="s">
        <v>2544</v>
      </c>
      <c r="E511" t="s">
        <v>5707</v>
      </c>
      <c r="F511" t="s">
        <v>4075</v>
      </c>
      <c r="G511" t="s">
        <v>4075</v>
      </c>
      <c r="J511" t="s">
        <v>80</v>
      </c>
      <c r="K511" t="s">
        <v>110</v>
      </c>
      <c r="L511" t="s">
        <v>111</v>
      </c>
      <c r="M511">
        <v>60427</v>
      </c>
      <c r="P511" t="s">
        <v>154</v>
      </c>
      <c r="Q511" t="s">
        <v>539</v>
      </c>
      <c r="R511" t="s">
        <v>540</v>
      </c>
      <c r="S511" t="s">
        <v>541</v>
      </c>
      <c r="T511" t="s">
        <v>3996</v>
      </c>
      <c r="U511" t="s">
        <v>1415</v>
      </c>
      <c r="V511" t="s">
        <v>4076</v>
      </c>
      <c r="W511" t="s">
        <v>5592</v>
      </c>
      <c r="X511" t="s">
        <v>5593</v>
      </c>
      <c r="Y511" t="s">
        <v>93</v>
      </c>
      <c r="Z511" t="s">
        <v>119</v>
      </c>
      <c r="AA511" t="s">
        <v>4077</v>
      </c>
      <c r="AB511" t="s">
        <v>4001</v>
      </c>
      <c r="AC511" t="s">
        <v>4078</v>
      </c>
      <c r="AD511" t="s">
        <v>119</v>
      </c>
      <c r="AE511" t="s">
        <v>4077</v>
      </c>
      <c r="AF511" t="s">
        <v>4001</v>
      </c>
      <c r="AG511" t="s">
        <v>4078</v>
      </c>
      <c r="AI511" t="s">
        <v>4079</v>
      </c>
      <c r="AJ511" t="s">
        <v>119</v>
      </c>
      <c r="AK511" t="s">
        <v>99</v>
      </c>
      <c r="AL511" t="s">
        <v>5708</v>
      </c>
      <c r="AM511" t="s">
        <v>4064</v>
      </c>
      <c r="AN511" t="s">
        <v>2578</v>
      </c>
      <c r="AR511" t="s">
        <v>125</v>
      </c>
      <c r="AT511" t="s">
        <v>5709</v>
      </c>
      <c r="AV511" t="s">
        <v>128</v>
      </c>
      <c r="AZ511" t="s">
        <v>80</v>
      </c>
    </row>
    <row r="512" spans="1:52" hidden="1" x14ac:dyDescent="0.25">
      <c r="A512" t="s">
        <v>5710</v>
      </c>
      <c r="B512" t="s">
        <v>4072</v>
      </c>
      <c r="C512" t="s">
        <v>5711</v>
      </c>
      <c r="D512" t="s">
        <v>2544</v>
      </c>
      <c r="E512" t="s">
        <v>5712</v>
      </c>
      <c r="F512" t="s">
        <v>4075</v>
      </c>
      <c r="G512" t="s">
        <v>4075</v>
      </c>
      <c r="J512" t="s">
        <v>80</v>
      </c>
      <c r="K512" t="s">
        <v>110</v>
      </c>
      <c r="L512" t="s">
        <v>111</v>
      </c>
      <c r="M512">
        <v>60427</v>
      </c>
      <c r="P512" t="s">
        <v>154</v>
      </c>
      <c r="Q512" t="s">
        <v>539</v>
      </c>
      <c r="R512" t="s">
        <v>540</v>
      </c>
      <c r="S512" t="s">
        <v>541</v>
      </c>
      <c r="T512" t="s">
        <v>3996</v>
      </c>
      <c r="U512" t="s">
        <v>1415</v>
      </c>
      <c r="V512" t="s">
        <v>4076</v>
      </c>
      <c r="W512" t="s">
        <v>5576</v>
      </c>
      <c r="X512" t="s">
        <v>5577</v>
      </c>
      <c r="Y512" t="s">
        <v>93</v>
      </c>
      <c r="Z512" t="s">
        <v>119</v>
      </c>
      <c r="AA512" t="s">
        <v>4077</v>
      </c>
      <c r="AB512" t="s">
        <v>4001</v>
      </c>
      <c r="AC512" t="s">
        <v>4078</v>
      </c>
      <c r="AD512" t="s">
        <v>119</v>
      </c>
      <c r="AE512" t="s">
        <v>4077</v>
      </c>
      <c r="AF512" t="s">
        <v>4001</v>
      </c>
      <c r="AG512" t="s">
        <v>4078</v>
      </c>
      <c r="AI512" t="s">
        <v>4079</v>
      </c>
      <c r="AJ512" t="s">
        <v>119</v>
      </c>
      <c r="AK512" t="s">
        <v>99</v>
      </c>
      <c r="AL512" t="s">
        <v>5713</v>
      </c>
      <c r="AM512" t="s">
        <v>4064</v>
      </c>
      <c r="AN512" t="s">
        <v>2578</v>
      </c>
      <c r="AR512" t="s">
        <v>125</v>
      </c>
      <c r="AT512" t="s">
        <v>5714</v>
      </c>
      <c r="AV512" t="s">
        <v>128</v>
      </c>
      <c r="AZ512" t="s">
        <v>80</v>
      </c>
    </row>
    <row r="513" spans="1:52" hidden="1" x14ac:dyDescent="0.25">
      <c r="A513" t="s">
        <v>5715</v>
      </c>
      <c r="B513" t="s">
        <v>4088</v>
      </c>
      <c r="C513" t="s">
        <v>5711</v>
      </c>
      <c r="D513" t="s">
        <v>2544</v>
      </c>
      <c r="E513" t="s">
        <v>5716</v>
      </c>
      <c r="F513" t="s">
        <v>4091</v>
      </c>
      <c r="G513" t="s">
        <v>4091</v>
      </c>
      <c r="J513" t="s">
        <v>80</v>
      </c>
      <c r="K513" t="s">
        <v>110</v>
      </c>
      <c r="L513" t="s">
        <v>111</v>
      </c>
      <c r="M513">
        <v>60425</v>
      </c>
      <c r="P513" t="s">
        <v>154</v>
      </c>
      <c r="Q513" t="s">
        <v>1284</v>
      </c>
      <c r="R513" t="s">
        <v>1285</v>
      </c>
      <c r="S513" t="s">
        <v>1124</v>
      </c>
      <c r="T513" t="s">
        <v>4018</v>
      </c>
      <c r="U513" t="s">
        <v>4092</v>
      </c>
      <c r="V513" t="s">
        <v>1955</v>
      </c>
      <c r="W513" t="s">
        <v>4019</v>
      </c>
      <c r="X513" t="s">
        <v>4020</v>
      </c>
      <c r="Y513" t="s">
        <v>93</v>
      </c>
      <c r="Z513" t="s">
        <v>119</v>
      </c>
      <c r="AA513" t="s">
        <v>3812</v>
      </c>
      <c r="AB513" t="s">
        <v>622</v>
      </c>
      <c r="AC513" t="s">
        <v>4093</v>
      </c>
      <c r="AD513" t="s">
        <v>119</v>
      </c>
      <c r="AE513" t="s">
        <v>3812</v>
      </c>
      <c r="AF513" t="s">
        <v>622</v>
      </c>
      <c r="AG513" t="s">
        <v>4093</v>
      </c>
      <c r="AI513" t="s">
        <v>4094</v>
      </c>
      <c r="AJ513" t="s">
        <v>119</v>
      </c>
      <c r="AK513" t="s">
        <v>99</v>
      </c>
      <c r="AL513" t="s">
        <v>5717</v>
      </c>
      <c r="AM513" t="s">
        <v>4096</v>
      </c>
      <c r="AN513" t="s">
        <v>2555</v>
      </c>
      <c r="AR513" t="s">
        <v>125</v>
      </c>
      <c r="AT513" t="s">
        <v>5718</v>
      </c>
      <c r="AV513" t="s">
        <v>128</v>
      </c>
      <c r="AZ513" t="s">
        <v>80</v>
      </c>
    </row>
    <row r="514" spans="1:52" hidden="1" x14ac:dyDescent="0.25">
      <c r="A514" t="s">
        <v>5719</v>
      </c>
      <c r="B514" t="s">
        <v>4088</v>
      </c>
      <c r="C514" t="s">
        <v>5711</v>
      </c>
      <c r="D514" t="s">
        <v>2544</v>
      </c>
      <c r="E514" t="s">
        <v>5720</v>
      </c>
      <c r="F514" t="s">
        <v>4091</v>
      </c>
      <c r="G514" t="s">
        <v>4091</v>
      </c>
      <c r="J514" t="s">
        <v>80</v>
      </c>
      <c r="K514" t="s">
        <v>110</v>
      </c>
      <c r="L514" t="s">
        <v>111</v>
      </c>
      <c r="M514">
        <v>60425</v>
      </c>
      <c r="P514" t="s">
        <v>154</v>
      </c>
      <c r="Q514" t="s">
        <v>1284</v>
      </c>
      <c r="R514" t="s">
        <v>1285</v>
      </c>
      <c r="S514" t="s">
        <v>1124</v>
      </c>
      <c r="T514" t="s">
        <v>4018</v>
      </c>
      <c r="U514" t="s">
        <v>4092</v>
      </c>
      <c r="V514" t="s">
        <v>1955</v>
      </c>
      <c r="W514" t="s">
        <v>5605</v>
      </c>
      <c r="X514" t="s">
        <v>5606</v>
      </c>
      <c r="Y514" t="s">
        <v>93</v>
      </c>
      <c r="Z514" t="s">
        <v>119</v>
      </c>
      <c r="AA514" t="s">
        <v>3812</v>
      </c>
      <c r="AB514" t="s">
        <v>622</v>
      </c>
      <c r="AC514" t="s">
        <v>4093</v>
      </c>
      <c r="AD514" t="s">
        <v>119</v>
      </c>
      <c r="AE514" t="s">
        <v>3812</v>
      </c>
      <c r="AF514" t="s">
        <v>622</v>
      </c>
      <c r="AG514" t="s">
        <v>4093</v>
      </c>
      <c r="AI514" t="s">
        <v>4094</v>
      </c>
      <c r="AJ514" t="s">
        <v>119</v>
      </c>
      <c r="AK514" t="s">
        <v>99</v>
      </c>
      <c r="AL514" t="s">
        <v>5721</v>
      </c>
      <c r="AM514" t="s">
        <v>4096</v>
      </c>
      <c r="AN514" t="s">
        <v>2555</v>
      </c>
      <c r="AR514" t="s">
        <v>125</v>
      </c>
      <c r="AT514" t="s">
        <v>5722</v>
      </c>
      <c r="AV514" t="s">
        <v>128</v>
      </c>
      <c r="AZ514" t="s">
        <v>80</v>
      </c>
    </row>
    <row r="515" spans="1:52" hidden="1" x14ac:dyDescent="0.25">
      <c r="A515" t="s">
        <v>5723</v>
      </c>
      <c r="B515" t="s">
        <v>4088</v>
      </c>
      <c r="C515" t="s">
        <v>5711</v>
      </c>
      <c r="D515" t="s">
        <v>2544</v>
      </c>
      <c r="E515" t="s">
        <v>5724</v>
      </c>
      <c r="F515" t="s">
        <v>4091</v>
      </c>
      <c r="G515" t="s">
        <v>4091</v>
      </c>
      <c r="J515" t="s">
        <v>80</v>
      </c>
      <c r="K515" t="s">
        <v>110</v>
      </c>
      <c r="L515" t="s">
        <v>111</v>
      </c>
      <c r="M515">
        <v>60425</v>
      </c>
      <c r="P515" t="s">
        <v>154</v>
      </c>
      <c r="Q515" t="s">
        <v>1284</v>
      </c>
      <c r="R515" t="s">
        <v>1285</v>
      </c>
      <c r="S515" t="s">
        <v>1124</v>
      </c>
      <c r="T515" t="s">
        <v>4018</v>
      </c>
      <c r="U515" t="s">
        <v>4092</v>
      </c>
      <c r="V515" t="s">
        <v>1955</v>
      </c>
      <c r="W515" t="s">
        <v>5637</v>
      </c>
      <c r="X515" t="s">
        <v>5638</v>
      </c>
      <c r="Y515" t="s">
        <v>93</v>
      </c>
      <c r="Z515" t="s">
        <v>119</v>
      </c>
      <c r="AA515" t="s">
        <v>3812</v>
      </c>
      <c r="AB515" t="s">
        <v>622</v>
      </c>
      <c r="AC515" t="s">
        <v>4093</v>
      </c>
      <c r="AD515" t="s">
        <v>119</v>
      </c>
      <c r="AE515" t="s">
        <v>3812</v>
      </c>
      <c r="AF515" t="s">
        <v>622</v>
      </c>
      <c r="AG515" t="s">
        <v>4093</v>
      </c>
      <c r="AI515" t="s">
        <v>4094</v>
      </c>
      <c r="AJ515" t="s">
        <v>119</v>
      </c>
      <c r="AK515" t="s">
        <v>99</v>
      </c>
      <c r="AL515" t="s">
        <v>5725</v>
      </c>
      <c r="AM515" t="s">
        <v>4096</v>
      </c>
      <c r="AN515" t="s">
        <v>2555</v>
      </c>
      <c r="AR515" t="s">
        <v>125</v>
      </c>
      <c r="AT515" t="s">
        <v>5726</v>
      </c>
      <c r="AV515" t="s">
        <v>128</v>
      </c>
      <c r="AZ515" t="s">
        <v>80</v>
      </c>
    </row>
    <row r="516" spans="1:52" hidden="1" x14ac:dyDescent="0.25">
      <c r="A516" t="s">
        <v>5727</v>
      </c>
      <c r="B516" t="s">
        <v>4088</v>
      </c>
      <c r="C516" t="s">
        <v>5711</v>
      </c>
      <c r="D516" t="s">
        <v>2544</v>
      </c>
      <c r="E516" t="s">
        <v>5728</v>
      </c>
      <c r="F516" t="s">
        <v>4091</v>
      </c>
      <c r="G516" t="s">
        <v>4091</v>
      </c>
      <c r="J516" t="s">
        <v>80</v>
      </c>
      <c r="K516" t="s">
        <v>110</v>
      </c>
      <c r="L516" t="s">
        <v>111</v>
      </c>
      <c r="M516">
        <v>60425</v>
      </c>
      <c r="P516" t="s">
        <v>154</v>
      </c>
      <c r="Q516" t="s">
        <v>1284</v>
      </c>
      <c r="R516" t="s">
        <v>1285</v>
      </c>
      <c r="S516" t="s">
        <v>1124</v>
      </c>
      <c r="T516" t="s">
        <v>4018</v>
      </c>
      <c r="U516" t="s">
        <v>4092</v>
      </c>
      <c r="V516" t="s">
        <v>1955</v>
      </c>
      <c r="W516" t="s">
        <v>5599</v>
      </c>
      <c r="X516" t="s">
        <v>5600</v>
      </c>
      <c r="Y516" t="s">
        <v>93</v>
      </c>
      <c r="Z516" t="s">
        <v>119</v>
      </c>
      <c r="AA516" t="s">
        <v>3812</v>
      </c>
      <c r="AB516" t="s">
        <v>622</v>
      </c>
      <c r="AC516" t="s">
        <v>4093</v>
      </c>
      <c r="AD516" t="s">
        <v>119</v>
      </c>
      <c r="AE516" t="s">
        <v>3812</v>
      </c>
      <c r="AF516" t="s">
        <v>622</v>
      </c>
      <c r="AG516" t="s">
        <v>4093</v>
      </c>
      <c r="AI516" t="s">
        <v>5729</v>
      </c>
      <c r="AJ516" t="s">
        <v>119</v>
      </c>
      <c r="AK516" t="s">
        <v>99</v>
      </c>
      <c r="AL516" t="s">
        <v>5730</v>
      </c>
      <c r="AM516" t="s">
        <v>4081</v>
      </c>
      <c r="AN516" t="s">
        <v>2555</v>
      </c>
      <c r="AR516" t="s">
        <v>125</v>
      </c>
      <c r="AT516" t="s">
        <v>5731</v>
      </c>
      <c r="AV516" t="s">
        <v>128</v>
      </c>
      <c r="AZ516" t="s">
        <v>80</v>
      </c>
    </row>
    <row r="517" spans="1:52" hidden="1" x14ac:dyDescent="0.25">
      <c r="A517" t="s">
        <v>5732</v>
      </c>
      <c r="B517" t="s">
        <v>4099</v>
      </c>
      <c r="C517" t="s">
        <v>5733</v>
      </c>
      <c r="D517" t="s">
        <v>2544</v>
      </c>
      <c r="E517" t="s">
        <v>5734</v>
      </c>
      <c r="F517" t="s">
        <v>4102</v>
      </c>
      <c r="G517" t="s">
        <v>4102</v>
      </c>
      <c r="J517" t="s">
        <v>80</v>
      </c>
      <c r="K517" t="s">
        <v>110</v>
      </c>
      <c r="L517" t="s">
        <v>111</v>
      </c>
      <c r="M517">
        <v>60423</v>
      </c>
      <c r="P517" t="s">
        <v>154</v>
      </c>
      <c r="Q517" t="s">
        <v>539</v>
      </c>
      <c r="R517" t="s">
        <v>540</v>
      </c>
      <c r="S517" t="s">
        <v>541</v>
      </c>
      <c r="T517" t="s">
        <v>4018</v>
      </c>
      <c r="U517" t="s">
        <v>4092</v>
      </c>
      <c r="V517" t="s">
        <v>1955</v>
      </c>
      <c r="W517" t="s">
        <v>4019</v>
      </c>
      <c r="X517" t="s">
        <v>4020</v>
      </c>
      <c r="Y517" t="s">
        <v>93</v>
      </c>
      <c r="Z517" t="s">
        <v>119</v>
      </c>
      <c r="AA517" t="s">
        <v>3323</v>
      </c>
      <c r="AB517" t="s">
        <v>622</v>
      </c>
      <c r="AC517" t="s">
        <v>4103</v>
      </c>
      <c r="AD517" t="s">
        <v>119</v>
      </c>
      <c r="AE517" t="s">
        <v>3323</v>
      </c>
      <c r="AF517" t="s">
        <v>622</v>
      </c>
      <c r="AG517" t="s">
        <v>4103</v>
      </c>
      <c r="AI517" t="s">
        <v>4104</v>
      </c>
      <c r="AJ517" t="s">
        <v>119</v>
      </c>
      <c r="AK517" t="s">
        <v>99</v>
      </c>
      <c r="AL517" t="s">
        <v>5735</v>
      </c>
      <c r="AM517" t="s">
        <v>4106</v>
      </c>
      <c r="AN517" t="s">
        <v>2555</v>
      </c>
      <c r="AR517" t="s">
        <v>125</v>
      </c>
      <c r="AT517" t="s">
        <v>5736</v>
      </c>
      <c r="AV517" t="s">
        <v>128</v>
      </c>
      <c r="AZ517" t="s">
        <v>80</v>
      </c>
    </row>
    <row r="518" spans="1:52" hidden="1" x14ac:dyDescent="0.25">
      <c r="A518" t="s">
        <v>5737</v>
      </c>
      <c r="B518" t="s">
        <v>4099</v>
      </c>
      <c r="C518" t="s">
        <v>5738</v>
      </c>
      <c r="D518" t="s">
        <v>2544</v>
      </c>
      <c r="E518" t="s">
        <v>5739</v>
      </c>
      <c r="F518" t="s">
        <v>4102</v>
      </c>
      <c r="G518" t="s">
        <v>4102</v>
      </c>
      <c r="J518" t="s">
        <v>80</v>
      </c>
      <c r="K518" t="s">
        <v>110</v>
      </c>
      <c r="L518" t="s">
        <v>111</v>
      </c>
      <c r="M518">
        <v>60423</v>
      </c>
      <c r="P518" t="s">
        <v>154</v>
      </c>
      <c r="Q518" t="s">
        <v>539</v>
      </c>
      <c r="R518" t="s">
        <v>540</v>
      </c>
      <c r="S518" t="s">
        <v>541</v>
      </c>
      <c r="T518" t="s">
        <v>4018</v>
      </c>
      <c r="U518" t="s">
        <v>4092</v>
      </c>
      <c r="V518" t="s">
        <v>1955</v>
      </c>
      <c r="W518" t="s">
        <v>5605</v>
      </c>
      <c r="X518" t="s">
        <v>5606</v>
      </c>
      <c r="Y518" t="s">
        <v>93</v>
      </c>
      <c r="Z518" t="s">
        <v>119</v>
      </c>
      <c r="AA518" t="s">
        <v>3323</v>
      </c>
      <c r="AB518" t="s">
        <v>622</v>
      </c>
      <c r="AC518" t="s">
        <v>4103</v>
      </c>
      <c r="AD518" t="s">
        <v>119</v>
      </c>
      <c r="AE518" t="s">
        <v>3323</v>
      </c>
      <c r="AF518" t="s">
        <v>622</v>
      </c>
      <c r="AG518" t="s">
        <v>4103</v>
      </c>
      <c r="AI518" t="s">
        <v>4104</v>
      </c>
      <c r="AJ518" t="s">
        <v>119</v>
      </c>
      <c r="AK518" t="s">
        <v>99</v>
      </c>
      <c r="AL518" t="s">
        <v>5740</v>
      </c>
      <c r="AM518" t="s">
        <v>5741</v>
      </c>
      <c r="AN518" t="s">
        <v>2555</v>
      </c>
      <c r="AR518" t="s">
        <v>125</v>
      </c>
      <c r="AT518" t="s">
        <v>5742</v>
      </c>
      <c r="AV518" t="s">
        <v>128</v>
      </c>
      <c r="AZ518" t="s">
        <v>80</v>
      </c>
    </row>
    <row r="519" spans="1:52" hidden="1" x14ac:dyDescent="0.25">
      <c r="A519" t="s">
        <v>5743</v>
      </c>
      <c r="B519" t="s">
        <v>4099</v>
      </c>
      <c r="C519" t="s">
        <v>5738</v>
      </c>
      <c r="D519" t="s">
        <v>2544</v>
      </c>
      <c r="E519" t="s">
        <v>5744</v>
      </c>
      <c r="F519" t="s">
        <v>4102</v>
      </c>
      <c r="G519" t="s">
        <v>4102</v>
      </c>
      <c r="J519" t="s">
        <v>80</v>
      </c>
      <c r="K519" t="s">
        <v>110</v>
      </c>
      <c r="L519" t="s">
        <v>111</v>
      </c>
      <c r="M519">
        <v>60423</v>
      </c>
      <c r="P519" t="s">
        <v>154</v>
      </c>
      <c r="Q519" t="s">
        <v>539</v>
      </c>
      <c r="R519" t="s">
        <v>540</v>
      </c>
      <c r="S519" t="s">
        <v>541</v>
      </c>
      <c r="T519" t="s">
        <v>4018</v>
      </c>
      <c r="U519" t="s">
        <v>4092</v>
      </c>
      <c r="V519" t="s">
        <v>1955</v>
      </c>
      <c r="W519" t="s">
        <v>5637</v>
      </c>
      <c r="X519" t="s">
        <v>5638</v>
      </c>
      <c r="Y519" t="s">
        <v>93</v>
      </c>
      <c r="Z519" t="s">
        <v>119</v>
      </c>
      <c r="AA519" t="s">
        <v>3323</v>
      </c>
      <c r="AB519" t="s">
        <v>622</v>
      </c>
      <c r="AC519" t="s">
        <v>4103</v>
      </c>
      <c r="AD519" t="s">
        <v>119</v>
      </c>
      <c r="AE519" t="s">
        <v>3323</v>
      </c>
      <c r="AF519" t="s">
        <v>622</v>
      </c>
      <c r="AG519" t="s">
        <v>4103</v>
      </c>
      <c r="AI519" t="s">
        <v>4104</v>
      </c>
      <c r="AJ519" t="s">
        <v>119</v>
      </c>
      <c r="AK519" t="s">
        <v>99</v>
      </c>
      <c r="AL519" t="s">
        <v>5745</v>
      </c>
      <c r="AM519" t="s">
        <v>5741</v>
      </c>
      <c r="AN519" t="s">
        <v>2555</v>
      </c>
      <c r="AR519" t="s">
        <v>125</v>
      </c>
      <c r="AT519" t="s">
        <v>5746</v>
      </c>
      <c r="AV519" t="s">
        <v>128</v>
      </c>
      <c r="AZ519" t="s">
        <v>80</v>
      </c>
    </row>
    <row r="520" spans="1:52" hidden="1" x14ac:dyDescent="0.25">
      <c r="A520" t="s">
        <v>5747</v>
      </c>
      <c r="B520" t="s">
        <v>4099</v>
      </c>
      <c r="C520" t="s">
        <v>5738</v>
      </c>
      <c r="D520" t="s">
        <v>2544</v>
      </c>
      <c r="E520" t="s">
        <v>5748</v>
      </c>
      <c r="F520" t="s">
        <v>4102</v>
      </c>
      <c r="G520" t="s">
        <v>4102</v>
      </c>
      <c r="J520" t="s">
        <v>80</v>
      </c>
      <c r="K520" t="s">
        <v>110</v>
      </c>
      <c r="L520" t="s">
        <v>111</v>
      </c>
      <c r="M520">
        <v>60423</v>
      </c>
      <c r="P520" t="s">
        <v>154</v>
      </c>
      <c r="Q520" t="s">
        <v>539</v>
      </c>
      <c r="R520" t="s">
        <v>540</v>
      </c>
      <c r="S520" t="s">
        <v>541</v>
      </c>
      <c r="T520" t="s">
        <v>4018</v>
      </c>
      <c r="U520" t="s">
        <v>4092</v>
      </c>
      <c r="V520" t="s">
        <v>1955</v>
      </c>
      <c r="W520" t="s">
        <v>5599</v>
      </c>
      <c r="X520" t="s">
        <v>5600</v>
      </c>
      <c r="Y520" t="s">
        <v>93</v>
      </c>
      <c r="Z520" t="s">
        <v>119</v>
      </c>
      <c r="AA520" t="s">
        <v>3323</v>
      </c>
      <c r="AB520" t="s">
        <v>622</v>
      </c>
      <c r="AC520" t="s">
        <v>4103</v>
      </c>
      <c r="AD520" t="s">
        <v>119</v>
      </c>
      <c r="AE520" t="s">
        <v>3323</v>
      </c>
      <c r="AF520" t="s">
        <v>622</v>
      </c>
      <c r="AG520" t="s">
        <v>4103</v>
      </c>
      <c r="AI520" t="s">
        <v>4104</v>
      </c>
      <c r="AJ520" t="s">
        <v>119</v>
      </c>
      <c r="AK520" t="s">
        <v>99</v>
      </c>
      <c r="AL520" t="s">
        <v>5749</v>
      </c>
      <c r="AM520" t="s">
        <v>5750</v>
      </c>
      <c r="AN520" t="s">
        <v>2555</v>
      </c>
      <c r="AR520" t="s">
        <v>125</v>
      </c>
      <c r="AT520" t="s">
        <v>5751</v>
      </c>
      <c r="AV520" t="s">
        <v>128</v>
      </c>
      <c r="AZ520" t="s">
        <v>80</v>
      </c>
    </row>
    <row r="521" spans="1:52" hidden="1" x14ac:dyDescent="0.25">
      <c r="A521" t="s">
        <v>5752</v>
      </c>
      <c r="B521" t="s">
        <v>4109</v>
      </c>
      <c r="C521" t="s">
        <v>5738</v>
      </c>
      <c r="D521" t="s">
        <v>2544</v>
      </c>
      <c r="E521" t="s">
        <v>5753</v>
      </c>
      <c r="F521" t="s">
        <v>4112</v>
      </c>
      <c r="G521" t="s">
        <v>4112</v>
      </c>
      <c r="J521" t="s">
        <v>80</v>
      </c>
      <c r="K521" t="s">
        <v>110</v>
      </c>
      <c r="L521" t="s">
        <v>111</v>
      </c>
      <c r="M521">
        <v>60421</v>
      </c>
      <c r="P521" t="s">
        <v>154</v>
      </c>
      <c r="Q521" t="s">
        <v>539</v>
      </c>
      <c r="R521" t="s">
        <v>540</v>
      </c>
      <c r="S521" t="s">
        <v>541</v>
      </c>
      <c r="T521" t="s">
        <v>3996</v>
      </c>
      <c r="U521" t="s">
        <v>1415</v>
      </c>
      <c r="V521" t="s">
        <v>4076</v>
      </c>
      <c r="W521" t="s">
        <v>3999</v>
      </c>
      <c r="X521" t="s">
        <v>4000</v>
      </c>
      <c r="Y521" t="s">
        <v>93</v>
      </c>
      <c r="Z521" t="s">
        <v>119</v>
      </c>
      <c r="AA521" t="s">
        <v>2523</v>
      </c>
      <c r="AB521" t="s">
        <v>4001</v>
      </c>
      <c r="AC521" t="s">
        <v>4113</v>
      </c>
      <c r="AD521" t="s">
        <v>119</v>
      </c>
      <c r="AE521" t="s">
        <v>2523</v>
      </c>
      <c r="AF521" t="s">
        <v>4001</v>
      </c>
      <c r="AG521" t="s">
        <v>4113</v>
      </c>
      <c r="AI521" t="s">
        <v>4114</v>
      </c>
      <c r="AJ521" t="s">
        <v>119</v>
      </c>
      <c r="AK521" t="s">
        <v>99</v>
      </c>
      <c r="AL521" t="s">
        <v>5754</v>
      </c>
      <c r="AM521" t="s">
        <v>4116</v>
      </c>
      <c r="AN521" t="s">
        <v>2578</v>
      </c>
      <c r="AR521" t="s">
        <v>125</v>
      </c>
      <c r="AT521" t="s">
        <v>5755</v>
      </c>
      <c r="AV521" t="s">
        <v>128</v>
      </c>
      <c r="AZ521" t="s">
        <v>80</v>
      </c>
    </row>
    <row r="522" spans="1:52" hidden="1" x14ac:dyDescent="0.25">
      <c r="A522" t="s">
        <v>5756</v>
      </c>
      <c r="B522" t="s">
        <v>4109</v>
      </c>
      <c r="C522" t="s">
        <v>5757</v>
      </c>
      <c r="D522" t="s">
        <v>2544</v>
      </c>
      <c r="E522" t="s">
        <v>5758</v>
      </c>
      <c r="F522" t="s">
        <v>4112</v>
      </c>
      <c r="G522" t="s">
        <v>4112</v>
      </c>
      <c r="J522" t="s">
        <v>80</v>
      </c>
      <c r="K522" t="s">
        <v>110</v>
      </c>
      <c r="L522" t="s">
        <v>111</v>
      </c>
      <c r="M522">
        <v>60421</v>
      </c>
      <c r="P522" t="s">
        <v>154</v>
      </c>
      <c r="Q522" t="s">
        <v>539</v>
      </c>
      <c r="R522" t="s">
        <v>540</v>
      </c>
      <c r="S522" t="s">
        <v>541</v>
      </c>
      <c r="T522" t="s">
        <v>3996</v>
      </c>
      <c r="U522" t="s">
        <v>1415</v>
      </c>
      <c r="V522" t="s">
        <v>4076</v>
      </c>
      <c r="W522" t="s">
        <v>5582</v>
      </c>
      <c r="X522" t="s">
        <v>4000</v>
      </c>
      <c r="Y522" t="s">
        <v>93</v>
      </c>
      <c r="Z522" t="s">
        <v>119</v>
      </c>
      <c r="AA522" t="s">
        <v>2523</v>
      </c>
      <c r="AB522" t="s">
        <v>4001</v>
      </c>
      <c r="AC522" t="s">
        <v>4113</v>
      </c>
      <c r="AD522" t="s">
        <v>119</v>
      </c>
      <c r="AE522" t="s">
        <v>2523</v>
      </c>
      <c r="AF522" t="s">
        <v>4001</v>
      </c>
      <c r="AG522" t="s">
        <v>4113</v>
      </c>
      <c r="AI522" t="s">
        <v>4114</v>
      </c>
      <c r="AJ522" t="s">
        <v>119</v>
      </c>
      <c r="AK522" t="s">
        <v>99</v>
      </c>
      <c r="AL522" t="s">
        <v>5759</v>
      </c>
      <c r="AM522" t="s">
        <v>4116</v>
      </c>
      <c r="AN522" t="s">
        <v>2578</v>
      </c>
      <c r="AR522" t="s">
        <v>125</v>
      </c>
      <c r="AT522" t="s">
        <v>5760</v>
      </c>
      <c r="AV522" t="s">
        <v>128</v>
      </c>
      <c r="AZ522" t="s">
        <v>80</v>
      </c>
    </row>
    <row r="523" spans="1:52" hidden="1" x14ac:dyDescent="0.25">
      <c r="A523" t="s">
        <v>5761</v>
      </c>
      <c r="B523" t="s">
        <v>4109</v>
      </c>
      <c r="C523" t="s">
        <v>5757</v>
      </c>
      <c r="D523" t="s">
        <v>2544</v>
      </c>
      <c r="E523" t="s">
        <v>5762</v>
      </c>
      <c r="F523" t="s">
        <v>4112</v>
      </c>
      <c r="G523" t="s">
        <v>4112</v>
      </c>
      <c r="J523" t="s">
        <v>80</v>
      </c>
      <c r="K523" t="s">
        <v>110</v>
      </c>
      <c r="L523" t="s">
        <v>111</v>
      </c>
      <c r="M523">
        <v>60421</v>
      </c>
      <c r="P523" t="s">
        <v>154</v>
      </c>
      <c r="Q523" t="s">
        <v>539</v>
      </c>
      <c r="R523" t="s">
        <v>540</v>
      </c>
      <c r="S523" t="s">
        <v>541</v>
      </c>
      <c r="T523" t="s">
        <v>3996</v>
      </c>
      <c r="U523" t="s">
        <v>1415</v>
      </c>
      <c r="V523" t="s">
        <v>4076</v>
      </c>
      <c r="W523" t="s">
        <v>5657</v>
      </c>
      <c r="X523" t="s">
        <v>5593</v>
      </c>
      <c r="Y523" t="s">
        <v>93</v>
      </c>
      <c r="Z523" t="s">
        <v>119</v>
      </c>
      <c r="AA523" t="s">
        <v>2523</v>
      </c>
      <c r="AB523" t="s">
        <v>4001</v>
      </c>
      <c r="AC523" t="s">
        <v>4113</v>
      </c>
      <c r="AD523" t="s">
        <v>119</v>
      </c>
      <c r="AE523" t="s">
        <v>2523</v>
      </c>
      <c r="AF523" t="s">
        <v>4001</v>
      </c>
      <c r="AG523" t="s">
        <v>4113</v>
      </c>
      <c r="AI523" t="s">
        <v>4114</v>
      </c>
      <c r="AJ523" t="s">
        <v>119</v>
      </c>
      <c r="AK523" t="s">
        <v>99</v>
      </c>
      <c r="AL523" t="s">
        <v>5763</v>
      </c>
      <c r="AM523" t="s">
        <v>4127</v>
      </c>
      <c r="AN523" t="s">
        <v>2578</v>
      </c>
      <c r="AR523" t="s">
        <v>125</v>
      </c>
      <c r="AT523" t="s">
        <v>5764</v>
      </c>
      <c r="AV523" t="s">
        <v>128</v>
      </c>
      <c r="AZ523" t="s">
        <v>80</v>
      </c>
    </row>
    <row r="524" spans="1:52" hidden="1" x14ac:dyDescent="0.25">
      <c r="A524" t="s">
        <v>5765</v>
      </c>
      <c r="B524" t="s">
        <v>4109</v>
      </c>
      <c r="C524" t="s">
        <v>5757</v>
      </c>
      <c r="D524" t="s">
        <v>2544</v>
      </c>
      <c r="E524" t="s">
        <v>5766</v>
      </c>
      <c r="F524" t="s">
        <v>4112</v>
      </c>
      <c r="G524" t="s">
        <v>4112</v>
      </c>
      <c r="J524" t="s">
        <v>80</v>
      </c>
      <c r="K524" t="s">
        <v>110</v>
      </c>
      <c r="L524" t="s">
        <v>111</v>
      </c>
      <c r="M524">
        <v>60421</v>
      </c>
      <c r="P524" t="s">
        <v>154</v>
      </c>
      <c r="Q524" t="s">
        <v>539</v>
      </c>
      <c r="R524" t="s">
        <v>540</v>
      </c>
      <c r="S524" t="s">
        <v>541</v>
      </c>
      <c r="T524" t="s">
        <v>3996</v>
      </c>
      <c r="U524" t="s">
        <v>1415</v>
      </c>
      <c r="V524" t="s">
        <v>4076</v>
      </c>
      <c r="W524" t="s">
        <v>5642</v>
      </c>
      <c r="X524" t="s">
        <v>5643</v>
      </c>
      <c r="Y524" t="s">
        <v>93</v>
      </c>
      <c r="Z524" t="s">
        <v>119</v>
      </c>
      <c r="AA524" t="s">
        <v>2523</v>
      </c>
      <c r="AB524" t="s">
        <v>4001</v>
      </c>
      <c r="AC524" t="s">
        <v>4113</v>
      </c>
      <c r="AD524" t="s">
        <v>119</v>
      </c>
      <c r="AE524" t="s">
        <v>2523</v>
      </c>
      <c r="AF524" t="s">
        <v>4001</v>
      </c>
      <c r="AG524" t="s">
        <v>4113</v>
      </c>
      <c r="AI524" t="s">
        <v>4114</v>
      </c>
      <c r="AJ524" t="s">
        <v>119</v>
      </c>
      <c r="AK524" t="s">
        <v>99</v>
      </c>
      <c r="AL524" t="s">
        <v>5767</v>
      </c>
      <c r="AM524" t="s">
        <v>4127</v>
      </c>
      <c r="AN524" t="s">
        <v>2578</v>
      </c>
      <c r="AR524" t="s">
        <v>125</v>
      </c>
      <c r="AT524" t="s">
        <v>5768</v>
      </c>
      <c r="AV524" t="s">
        <v>128</v>
      </c>
      <c r="AZ524" t="s">
        <v>80</v>
      </c>
    </row>
    <row r="525" spans="1:52" hidden="1" x14ac:dyDescent="0.25">
      <c r="A525" t="s">
        <v>5769</v>
      </c>
      <c r="B525" t="s">
        <v>5770</v>
      </c>
      <c r="C525" t="s">
        <v>5771</v>
      </c>
      <c r="D525" t="s">
        <v>2544</v>
      </c>
      <c r="E525" t="s">
        <v>5772</v>
      </c>
      <c r="F525" t="s">
        <v>5773</v>
      </c>
      <c r="G525" t="s">
        <v>5773</v>
      </c>
      <c r="J525" t="s">
        <v>80</v>
      </c>
      <c r="K525" t="s">
        <v>110</v>
      </c>
      <c r="L525" t="s">
        <v>111</v>
      </c>
      <c r="M525">
        <v>69585</v>
      </c>
      <c r="P525" t="s">
        <v>134</v>
      </c>
      <c r="Q525" t="s">
        <v>1744</v>
      </c>
      <c r="R525" t="s">
        <v>1550</v>
      </c>
      <c r="S525" t="s">
        <v>774</v>
      </c>
      <c r="T525" t="s">
        <v>1082</v>
      </c>
      <c r="U525" t="s">
        <v>1083</v>
      </c>
      <c r="V525" t="s">
        <v>1084</v>
      </c>
      <c r="W525" t="s">
        <v>5774</v>
      </c>
      <c r="X525" t="s">
        <v>5775</v>
      </c>
      <c r="Y525" t="s">
        <v>93</v>
      </c>
      <c r="Z525" t="s">
        <v>119</v>
      </c>
      <c r="AA525" t="s">
        <v>5776</v>
      </c>
      <c r="AB525" t="s">
        <v>182</v>
      </c>
      <c r="AC525" t="s">
        <v>5777</v>
      </c>
      <c r="AD525" t="s">
        <v>119</v>
      </c>
      <c r="AE525" t="s">
        <v>5776</v>
      </c>
      <c r="AF525" t="s">
        <v>182</v>
      </c>
      <c r="AG525" t="s">
        <v>5777</v>
      </c>
      <c r="AI525" t="s">
        <v>5778</v>
      </c>
      <c r="AJ525" t="s">
        <v>119</v>
      </c>
      <c r="AK525" t="s">
        <v>99</v>
      </c>
      <c r="AL525" t="s">
        <v>5779</v>
      </c>
      <c r="AM525" t="s">
        <v>5780</v>
      </c>
      <c r="AN525" t="s">
        <v>2578</v>
      </c>
      <c r="AR525" t="s">
        <v>125</v>
      </c>
      <c r="AT525" t="s">
        <v>5781</v>
      </c>
      <c r="AV525" t="s">
        <v>128</v>
      </c>
      <c r="AZ525" t="s">
        <v>80</v>
      </c>
    </row>
    <row r="526" spans="1:52" hidden="1" x14ac:dyDescent="0.25">
      <c r="A526" t="s">
        <v>5782</v>
      </c>
      <c r="B526" t="s">
        <v>5770</v>
      </c>
      <c r="C526" t="s">
        <v>5771</v>
      </c>
      <c r="D526" t="s">
        <v>2544</v>
      </c>
      <c r="E526" t="s">
        <v>5783</v>
      </c>
      <c r="F526" t="s">
        <v>5773</v>
      </c>
      <c r="G526" t="s">
        <v>5773</v>
      </c>
      <c r="J526" t="s">
        <v>80</v>
      </c>
      <c r="K526" t="s">
        <v>110</v>
      </c>
      <c r="L526" t="s">
        <v>111</v>
      </c>
      <c r="M526">
        <v>69585</v>
      </c>
      <c r="P526" t="s">
        <v>134</v>
      </c>
      <c r="Q526" t="s">
        <v>1744</v>
      </c>
      <c r="R526" t="s">
        <v>1550</v>
      </c>
      <c r="S526" t="s">
        <v>774</v>
      </c>
      <c r="T526" t="s">
        <v>1082</v>
      </c>
      <c r="U526" t="s">
        <v>1083</v>
      </c>
      <c r="V526" t="s">
        <v>1084</v>
      </c>
      <c r="W526" t="s">
        <v>3302</v>
      </c>
      <c r="X526" t="s">
        <v>5784</v>
      </c>
      <c r="Y526" t="s">
        <v>93</v>
      </c>
      <c r="Z526" t="s">
        <v>119</v>
      </c>
      <c r="AA526" t="s">
        <v>5776</v>
      </c>
      <c r="AB526" t="s">
        <v>182</v>
      </c>
      <c r="AC526" t="s">
        <v>5777</v>
      </c>
      <c r="AD526" t="s">
        <v>119</v>
      </c>
      <c r="AE526" t="s">
        <v>5776</v>
      </c>
      <c r="AF526" t="s">
        <v>182</v>
      </c>
      <c r="AG526" t="s">
        <v>5777</v>
      </c>
      <c r="AI526" t="s">
        <v>5778</v>
      </c>
      <c r="AJ526" t="s">
        <v>119</v>
      </c>
      <c r="AK526" t="s">
        <v>99</v>
      </c>
      <c r="AL526" t="s">
        <v>5785</v>
      </c>
      <c r="AM526" t="s">
        <v>5780</v>
      </c>
      <c r="AN526" t="s">
        <v>2578</v>
      </c>
      <c r="AR526" t="s">
        <v>125</v>
      </c>
      <c r="AT526" t="s">
        <v>5786</v>
      </c>
      <c r="AV526" t="s">
        <v>128</v>
      </c>
      <c r="AZ526" t="s">
        <v>80</v>
      </c>
    </row>
    <row r="527" spans="1:52" hidden="1" x14ac:dyDescent="0.25">
      <c r="A527" t="s">
        <v>5787</v>
      </c>
      <c r="B527" t="s">
        <v>5788</v>
      </c>
      <c r="C527" t="s">
        <v>5789</v>
      </c>
      <c r="D527" t="s">
        <v>2544</v>
      </c>
      <c r="E527" t="s">
        <v>5790</v>
      </c>
      <c r="F527" t="s">
        <v>5791</v>
      </c>
      <c r="G527" t="s">
        <v>5791</v>
      </c>
      <c r="J527" t="s">
        <v>80</v>
      </c>
      <c r="K527" t="s">
        <v>110</v>
      </c>
      <c r="L527" t="s">
        <v>111</v>
      </c>
      <c r="M527">
        <v>69581</v>
      </c>
      <c r="P527" t="s">
        <v>154</v>
      </c>
      <c r="Q527" t="s">
        <v>539</v>
      </c>
      <c r="R527" t="s">
        <v>540</v>
      </c>
      <c r="S527" t="s">
        <v>541</v>
      </c>
      <c r="T527" t="s">
        <v>1082</v>
      </c>
      <c r="U527" t="s">
        <v>619</v>
      </c>
      <c r="V527" t="s">
        <v>5792</v>
      </c>
      <c r="W527" t="s">
        <v>232</v>
      </c>
      <c r="X527" t="s">
        <v>5793</v>
      </c>
      <c r="Y527" t="s">
        <v>93</v>
      </c>
      <c r="Z527" t="s">
        <v>119</v>
      </c>
      <c r="AA527" t="s">
        <v>1898</v>
      </c>
      <c r="AB527" t="s">
        <v>182</v>
      </c>
      <c r="AC527" t="s">
        <v>5794</v>
      </c>
      <c r="AD527" t="s">
        <v>119</v>
      </c>
      <c r="AE527" t="s">
        <v>1898</v>
      </c>
      <c r="AF527" t="s">
        <v>182</v>
      </c>
      <c r="AG527" t="s">
        <v>5794</v>
      </c>
      <c r="AI527" t="s">
        <v>5795</v>
      </c>
      <c r="AJ527" t="s">
        <v>119</v>
      </c>
      <c r="AK527" t="s">
        <v>99</v>
      </c>
      <c r="AL527" t="s">
        <v>5796</v>
      </c>
      <c r="AM527" t="s">
        <v>5797</v>
      </c>
      <c r="AN527" t="s">
        <v>2578</v>
      </c>
      <c r="AR527" t="s">
        <v>125</v>
      </c>
      <c r="AT527" t="s">
        <v>5798</v>
      </c>
      <c r="AV527" t="s">
        <v>128</v>
      </c>
      <c r="AZ527" t="s">
        <v>80</v>
      </c>
    </row>
    <row r="528" spans="1:52" hidden="1" x14ac:dyDescent="0.25">
      <c r="A528" t="s">
        <v>5799</v>
      </c>
      <c r="B528" t="s">
        <v>5800</v>
      </c>
      <c r="C528" t="s">
        <v>5801</v>
      </c>
      <c r="D528" t="s">
        <v>2544</v>
      </c>
      <c r="E528" t="s">
        <v>5802</v>
      </c>
      <c r="F528" t="s">
        <v>5803</v>
      </c>
      <c r="G528" t="s">
        <v>5803</v>
      </c>
      <c r="J528" t="s">
        <v>80</v>
      </c>
      <c r="K528" t="s">
        <v>110</v>
      </c>
      <c r="L528" t="s">
        <v>111</v>
      </c>
      <c r="M528">
        <v>66153</v>
      </c>
      <c r="O528" t="s">
        <v>5804</v>
      </c>
      <c r="P528" t="s">
        <v>212</v>
      </c>
      <c r="Q528" t="s">
        <v>1284</v>
      </c>
      <c r="R528" t="s">
        <v>1285</v>
      </c>
      <c r="S528" t="s">
        <v>1124</v>
      </c>
      <c r="T528" t="s">
        <v>5805</v>
      </c>
      <c r="U528" t="s">
        <v>5806</v>
      </c>
      <c r="V528" t="s">
        <v>3250</v>
      </c>
      <c r="W528" t="s">
        <v>425</v>
      </c>
      <c r="X528" t="s">
        <v>5807</v>
      </c>
      <c r="Y528" t="s">
        <v>93</v>
      </c>
      <c r="Z528" t="s">
        <v>249</v>
      </c>
      <c r="AA528" t="s">
        <v>1164</v>
      </c>
      <c r="AB528" t="s">
        <v>622</v>
      </c>
      <c r="AC528" t="s">
        <v>5808</v>
      </c>
      <c r="AD528" t="s">
        <v>249</v>
      </c>
      <c r="AE528" t="s">
        <v>1164</v>
      </c>
      <c r="AF528" t="s">
        <v>622</v>
      </c>
      <c r="AG528" t="s">
        <v>5808</v>
      </c>
      <c r="AI528" t="s">
        <v>656</v>
      </c>
      <c r="AJ528" t="s">
        <v>249</v>
      </c>
      <c r="AK528" t="s">
        <v>99</v>
      </c>
      <c r="AL528" t="s">
        <v>5809</v>
      </c>
      <c r="AM528" t="s">
        <v>5810</v>
      </c>
      <c r="AN528" t="s">
        <v>2555</v>
      </c>
      <c r="AR528" t="s">
        <v>125</v>
      </c>
      <c r="AT528" t="s">
        <v>5811</v>
      </c>
      <c r="AV528" t="s">
        <v>190</v>
      </c>
      <c r="AZ528" t="s">
        <v>80</v>
      </c>
    </row>
    <row r="529" spans="1:52" hidden="1" x14ac:dyDescent="0.25">
      <c r="A529" t="s">
        <v>5812</v>
      </c>
      <c r="B529" t="s">
        <v>5800</v>
      </c>
      <c r="C529" t="s">
        <v>5801</v>
      </c>
      <c r="D529" t="s">
        <v>2544</v>
      </c>
      <c r="E529" t="s">
        <v>5813</v>
      </c>
      <c r="F529" t="s">
        <v>5803</v>
      </c>
      <c r="G529" t="s">
        <v>5803</v>
      </c>
      <c r="J529" t="s">
        <v>80</v>
      </c>
      <c r="K529" t="s">
        <v>110</v>
      </c>
      <c r="L529" t="s">
        <v>111</v>
      </c>
      <c r="M529">
        <v>66153</v>
      </c>
      <c r="O529" t="s">
        <v>5804</v>
      </c>
      <c r="P529" t="s">
        <v>212</v>
      </c>
      <c r="Q529" t="s">
        <v>1284</v>
      </c>
      <c r="R529" t="s">
        <v>1285</v>
      </c>
      <c r="S529" t="s">
        <v>1124</v>
      </c>
      <c r="T529" t="s">
        <v>5805</v>
      </c>
      <c r="U529" t="s">
        <v>5806</v>
      </c>
      <c r="V529" t="s">
        <v>3250</v>
      </c>
      <c r="W529" t="s">
        <v>439</v>
      </c>
      <c r="X529" t="s">
        <v>5814</v>
      </c>
      <c r="Y529" t="s">
        <v>93</v>
      </c>
      <c r="Z529" t="s">
        <v>249</v>
      </c>
      <c r="AA529" t="s">
        <v>1164</v>
      </c>
      <c r="AB529" t="s">
        <v>622</v>
      </c>
      <c r="AC529" t="s">
        <v>5808</v>
      </c>
      <c r="AD529" t="s">
        <v>249</v>
      </c>
      <c r="AE529" t="s">
        <v>1164</v>
      </c>
      <c r="AF529" t="s">
        <v>622</v>
      </c>
      <c r="AG529" t="s">
        <v>5808</v>
      </c>
      <c r="AI529" t="s">
        <v>656</v>
      </c>
      <c r="AJ529" t="s">
        <v>249</v>
      </c>
      <c r="AK529" t="s">
        <v>99</v>
      </c>
      <c r="AL529" t="s">
        <v>5815</v>
      </c>
      <c r="AM529" t="s">
        <v>5810</v>
      </c>
      <c r="AN529" t="s">
        <v>2555</v>
      </c>
      <c r="AR529" t="s">
        <v>125</v>
      </c>
      <c r="AT529" t="s">
        <v>5816</v>
      </c>
      <c r="AV529" t="s">
        <v>190</v>
      </c>
      <c r="AZ529" t="s">
        <v>80</v>
      </c>
    </row>
    <row r="530" spans="1:52" hidden="1" x14ac:dyDescent="0.25">
      <c r="A530" t="s">
        <v>5817</v>
      </c>
      <c r="B530" t="s">
        <v>5818</v>
      </c>
      <c r="C530" t="s">
        <v>5819</v>
      </c>
      <c r="D530" t="s">
        <v>2544</v>
      </c>
      <c r="E530" t="s">
        <v>5820</v>
      </c>
      <c r="F530" t="s">
        <v>5821</v>
      </c>
      <c r="G530" t="s">
        <v>5821</v>
      </c>
      <c r="J530" t="s">
        <v>80</v>
      </c>
      <c r="K530" t="s">
        <v>110</v>
      </c>
      <c r="L530" t="s">
        <v>111</v>
      </c>
      <c r="M530">
        <v>66151</v>
      </c>
      <c r="O530" t="s">
        <v>5822</v>
      </c>
      <c r="P530" t="s">
        <v>212</v>
      </c>
      <c r="Q530" t="s">
        <v>3469</v>
      </c>
      <c r="R530" t="s">
        <v>2488</v>
      </c>
      <c r="S530" t="s">
        <v>1016</v>
      </c>
      <c r="T530" t="s">
        <v>5805</v>
      </c>
      <c r="U530" t="s">
        <v>487</v>
      </c>
      <c r="V530" t="s">
        <v>372</v>
      </c>
      <c r="W530" t="s">
        <v>347</v>
      </c>
      <c r="X530" t="s">
        <v>5823</v>
      </c>
      <c r="Y530" t="s">
        <v>93</v>
      </c>
      <c r="Z530" t="s">
        <v>249</v>
      </c>
      <c r="AA530" t="s">
        <v>3501</v>
      </c>
      <c r="AB530" t="s">
        <v>622</v>
      </c>
      <c r="AC530" t="s">
        <v>1806</v>
      </c>
      <c r="AD530" t="s">
        <v>249</v>
      </c>
      <c r="AE530" t="s">
        <v>3501</v>
      </c>
      <c r="AF530" t="s">
        <v>622</v>
      </c>
      <c r="AG530" t="s">
        <v>1806</v>
      </c>
      <c r="AI530" t="s">
        <v>5824</v>
      </c>
      <c r="AJ530" t="s">
        <v>249</v>
      </c>
      <c r="AK530" t="s">
        <v>99</v>
      </c>
      <c r="AL530" t="s">
        <v>5825</v>
      </c>
      <c r="AM530" t="s">
        <v>5826</v>
      </c>
      <c r="AN530" t="s">
        <v>2555</v>
      </c>
      <c r="AR530" t="s">
        <v>125</v>
      </c>
      <c r="AT530" t="s">
        <v>5827</v>
      </c>
      <c r="AV530" t="s">
        <v>190</v>
      </c>
      <c r="AZ530" t="s">
        <v>80</v>
      </c>
    </row>
    <row r="531" spans="1:52" hidden="1" x14ac:dyDescent="0.25">
      <c r="A531" t="s">
        <v>5828</v>
      </c>
      <c r="B531" t="s">
        <v>5818</v>
      </c>
      <c r="C531" t="s">
        <v>5819</v>
      </c>
      <c r="D531" t="s">
        <v>2544</v>
      </c>
      <c r="E531" t="s">
        <v>5829</v>
      </c>
      <c r="F531" t="s">
        <v>5821</v>
      </c>
      <c r="G531" t="s">
        <v>5821</v>
      </c>
      <c r="J531" t="s">
        <v>80</v>
      </c>
      <c r="K531" t="s">
        <v>110</v>
      </c>
      <c r="L531" t="s">
        <v>111</v>
      </c>
      <c r="M531">
        <v>66151</v>
      </c>
      <c r="O531" t="s">
        <v>5822</v>
      </c>
      <c r="P531" t="s">
        <v>212</v>
      </c>
      <c r="Q531" t="s">
        <v>3469</v>
      </c>
      <c r="R531" t="s">
        <v>2488</v>
      </c>
      <c r="S531" t="s">
        <v>1016</v>
      </c>
      <c r="T531" t="s">
        <v>5805</v>
      </c>
      <c r="U531" t="s">
        <v>487</v>
      </c>
      <c r="V531" t="s">
        <v>372</v>
      </c>
      <c r="W531" t="s">
        <v>359</v>
      </c>
      <c r="X531" t="s">
        <v>5830</v>
      </c>
      <c r="Y531" t="s">
        <v>93</v>
      </c>
      <c r="Z531" t="s">
        <v>249</v>
      </c>
      <c r="AA531" t="s">
        <v>3501</v>
      </c>
      <c r="AB531" t="s">
        <v>622</v>
      </c>
      <c r="AC531" t="s">
        <v>1806</v>
      </c>
      <c r="AD531" t="s">
        <v>249</v>
      </c>
      <c r="AE531" t="s">
        <v>3501</v>
      </c>
      <c r="AF531" t="s">
        <v>622</v>
      </c>
      <c r="AG531" t="s">
        <v>1806</v>
      </c>
      <c r="AI531" t="s">
        <v>5824</v>
      </c>
      <c r="AJ531" t="s">
        <v>249</v>
      </c>
      <c r="AK531" t="s">
        <v>99</v>
      </c>
      <c r="AL531" t="s">
        <v>5831</v>
      </c>
      <c r="AM531" t="s">
        <v>5826</v>
      </c>
      <c r="AN531" t="s">
        <v>2555</v>
      </c>
      <c r="AR531" t="s">
        <v>125</v>
      </c>
      <c r="AT531" t="s">
        <v>5832</v>
      </c>
      <c r="AV531" t="s">
        <v>190</v>
      </c>
      <c r="AZ531" t="s">
        <v>80</v>
      </c>
    </row>
    <row r="532" spans="1:52" hidden="1" x14ac:dyDescent="0.25">
      <c r="A532" t="s">
        <v>5833</v>
      </c>
      <c r="B532" t="s">
        <v>5834</v>
      </c>
      <c r="C532" t="s">
        <v>5835</v>
      </c>
      <c r="D532" t="s">
        <v>2544</v>
      </c>
      <c r="E532" t="s">
        <v>5836</v>
      </c>
      <c r="F532" t="s">
        <v>5837</v>
      </c>
      <c r="G532" t="s">
        <v>5837</v>
      </c>
      <c r="J532" t="s">
        <v>80</v>
      </c>
      <c r="K532" t="s">
        <v>110</v>
      </c>
      <c r="L532" t="s">
        <v>111</v>
      </c>
      <c r="M532">
        <v>69571</v>
      </c>
      <c r="P532" t="s">
        <v>154</v>
      </c>
      <c r="Q532" t="s">
        <v>1284</v>
      </c>
      <c r="R532" t="s">
        <v>1285</v>
      </c>
      <c r="S532" t="s">
        <v>1124</v>
      </c>
      <c r="T532" t="s">
        <v>1082</v>
      </c>
      <c r="U532" t="s">
        <v>619</v>
      </c>
      <c r="V532" t="s">
        <v>5792</v>
      </c>
      <c r="W532" t="s">
        <v>797</v>
      </c>
      <c r="X532" t="s">
        <v>1085</v>
      </c>
      <c r="Y532" t="s">
        <v>93</v>
      </c>
      <c r="Z532" t="s">
        <v>119</v>
      </c>
      <c r="AA532" t="s">
        <v>5838</v>
      </c>
      <c r="AB532" t="s">
        <v>182</v>
      </c>
      <c r="AC532" t="s">
        <v>5839</v>
      </c>
      <c r="AD532" t="s">
        <v>119</v>
      </c>
      <c r="AE532" t="s">
        <v>5838</v>
      </c>
      <c r="AF532" t="s">
        <v>182</v>
      </c>
      <c r="AG532" t="s">
        <v>5839</v>
      </c>
      <c r="AI532" t="s">
        <v>4431</v>
      </c>
      <c r="AJ532" t="s">
        <v>119</v>
      </c>
      <c r="AK532" t="s">
        <v>99</v>
      </c>
      <c r="AL532" t="s">
        <v>5840</v>
      </c>
      <c r="AM532" t="s">
        <v>5841</v>
      </c>
      <c r="AN532" t="s">
        <v>2578</v>
      </c>
      <c r="AR532" t="s">
        <v>125</v>
      </c>
      <c r="AT532" t="s">
        <v>5842</v>
      </c>
      <c r="AV532" t="s">
        <v>128</v>
      </c>
      <c r="AZ532" t="s">
        <v>80</v>
      </c>
    </row>
    <row r="533" spans="1:52" hidden="1" x14ac:dyDescent="0.25">
      <c r="A533" t="s">
        <v>5843</v>
      </c>
      <c r="B533" t="s">
        <v>5844</v>
      </c>
      <c r="C533" t="s">
        <v>5845</v>
      </c>
      <c r="D533" t="s">
        <v>2544</v>
      </c>
      <c r="E533" t="s">
        <v>5846</v>
      </c>
      <c r="F533" t="s">
        <v>5847</v>
      </c>
      <c r="G533" t="s">
        <v>5847</v>
      </c>
      <c r="J533" t="s">
        <v>80</v>
      </c>
      <c r="K533" t="s">
        <v>110</v>
      </c>
      <c r="L533" t="s">
        <v>111</v>
      </c>
      <c r="M533">
        <v>66569</v>
      </c>
      <c r="P533" t="s">
        <v>154</v>
      </c>
      <c r="Q533" t="s">
        <v>731</v>
      </c>
      <c r="R533" t="s">
        <v>732</v>
      </c>
      <c r="S533" t="s">
        <v>733</v>
      </c>
      <c r="T533" t="s">
        <v>618</v>
      </c>
      <c r="U533" t="s">
        <v>1530</v>
      </c>
      <c r="V533" t="s">
        <v>198</v>
      </c>
      <c r="W533" t="s">
        <v>161</v>
      </c>
      <c r="X533" t="s">
        <v>5848</v>
      </c>
      <c r="Y533" t="s">
        <v>93</v>
      </c>
      <c r="Z533" t="s">
        <v>119</v>
      </c>
      <c r="AA533" t="s">
        <v>5849</v>
      </c>
      <c r="AB533" t="s">
        <v>622</v>
      </c>
      <c r="AC533" t="s">
        <v>5850</v>
      </c>
      <c r="AD533" t="s">
        <v>119</v>
      </c>
      <c r="AE533" t="s">
        <v>5849</v>
      </c>
      <c r="AF533" t="s">
        <v>622</v>
      </c>
      <c r="AG533" t="s">
        <v>5850</v>
      </c>
      <c r="AI533" t="s">
        <v>5851</v>
      </c>
      <c r="AJ533" t="s">
        <v>119</v>
      </c>
      <c r="AK533" t="s">
        <v>99</v>
      </c>
      <c r="AL533" t="s">
        <v>5852</v>
      </c>
      <c r="AM533" t="s">
        <v>5853</v>
      </c>
      <c r="AN533" t="s">
        <v>2555</v>
      </c>
      <c r="AR533" t="s">
        <v>125</v>
      </c>
      <c r="AT533" t="s">
        <v>5854</v>
      </c>
      <c r="AV533" t="s">
        <v>128</v>
      </c>
      <c r="AZ533" t="s">
        <v>80</v>
      </c>
    </row>
    <row r="534" spans="1:52" hidden="1" x14ac:dyDescent="0.25">
      <c r="A534" t="s">
        <v>5855</v>
      </c>
      <c r="B534" t="s">
        <v>5856</v>
      </c>
      <c r="C534" t="s">
        <v>5857</v>
      </c>
      <c r="D534" t="s">
        <v>2544</v>
      </c>
      <c r="E534" t="s">
        <v>5858</v>
      </c>
      <c r="F534" t="s">
        <v>5859</v>
      </c>
      <c r="G534" t="s">
        <v>5859</v>
      </c>
      <c r="J534" t="s">
        <v>80</v>
      </c>
      <c r="K534" t="s">
        <v>110</v>
      </c>
      <c r="L534" t="s">
        <v>111</v>
      </c>
      <c r="M534">
        <v>69779</v>
      </c>
      <c r="O534" t="s">
        <v>617</v>
      </c>
      <c r="P534" t="s">
        <v>154</v>
      </c>
      <c r="Q534" t="s">
        <v>539</v>
      </c>
      <c r="R534" t="s">
        <v>540</v>
      </c>
      <c r="S534" t="s">
        <v>541</v>
      </c>
      <c r="T534" t="s">
        <v>5805</v>
      </c>
      <c r="U534" t="s">
        <v>5860</v>
      </c>
      <c r="V534" t="s">
        <v>1851</v>
      </c>
      <c r="W534" t="s">
        <v>347</v>
      </c>
      <c r="X534" t="s">
        <v>5823</v>
      </c>
      <c r="Y534" t="s">
        <v>93</v>
      </c>
      <c r="Z534" t="s">
        <v>249</v>
      </c>
      <c r="AA534" t="s">
        <v>5861</v>
      </c>
      <c r="AB534" t="s">
        <v>622</v>
      </c>
      <c r="AC534" t="s">
        <v>5862</v>
      </c>
      <c r="AD534" t="s">
        <v>249</v>
      </c>
      <c r="AE534" t="s">
        <v>5861</v>
      </c>
      <c r="AF534" t="s">
        <v>622</v>
      </c>
      <c r="AG534" t="s">
        <v>5862</v>
      </c>
      <c r="AI534" t="s">
        <v>3371</v>
      </c>
      <c r="AJ534" t="s">
        <v>249</v>
      </c>
      <c r="AK534" t="s">
        <v>99</v>
      </c>
      <c r="AL534" t="s">
        <v>5863</v>
      </c>
      <c r="AM534" t="s">
        <v>5864</v>
      </c>
      <c r="AN534" t="s">
        <v>2555</v>
      </c>
      <c r="AR534" t="s">
        <v>125</v>
      </c>
      <c r="AT534" t="s">
        <v>5865</v>
      </c>
      <c r="AV534" t="s">
        <v>190</v>
      </c>
      <c r="AZ534" t="s">
        <v>80</v>
      </c>
    </row>
    <row r="535" spans="1:52" hidden="1" x14ac:dyDescent="0.25">
      <c r="A535" t="s">
        <v>5866</v>
      </c>
      <c r="B535" t="s">
        <v>5856</v>
      </c>
      <c r="C535" t="s">
        <v>5857</v>
      </c>
      <c r="D535" t="s">
        <v>2544</v>
      </c>
      <c r="E535" t="s">
        <v>5867</v>
      </c>
      <c r="F535" t="s">
        <v>5859</v>
      </c>
      <c r="G535" t="s">
        <v>5859</v>
      </c>
      <c r="J535" t="s">
        <v>80</v>
      </c>
      <c r="K535" t="s">
        <v>110</v>
      </c>
      <c r="L535" t="s">
        <v>111</v>
      </c>
      <c r="M535">
        <v>69779</v>
      </c>
      <c r="O535" t="s">
        <v>617</v>
      </c>
      <c r="P535" t="s">
        <v>154</v>
      </c>
      <c r="Q535" t="s">
        <v>539</v>
      </c>
      <c r="R535" t="s">
        <v>540</v>
      </c>
      <c r="S535" t="s">
        <v>541</v>
      </c>
      <c r="T535" t="s">
        <v>5805</v>
      </c>
      <c r="U535" t="s">
        <v>5860</v>
      </c>
      <c r="V535" t="s">
        <v>1851</v>
      </c>
      <c r="W535" t="s">
        <v>359</v>
      </c>
      <c r="X535" t="s">
        <v>5830</v>
      </c>
      <c r="Y535" t="s">
        <v>93</v>
      </c>
      <c r="Z535" t="s">
        <v>249</v>
      </c>
      <c r="AA535" t="s">
        <v>5861</v>
      </c>
      <c r="AB535" t="s">
        <v>622</v>
      </c>
      <c r="AC535" t="s">
        <v>5862</v>
      </c>
      <c r="AD535" t="s">
        <v>249</v>
      </c>
      <c r="AE535" t="s">
        <v>5861</v>
      </c>
      <c r="AF535" t="s">
        <v>622</v>
      </c>
      <c r="AG535" t="s">
        <v>5862</v>
      </c>
      <c r="AI535" t="s">
        <v>5868</v>
      </c>
      <c r="AJ535" t="s">
        <v>249</v>
      </c>
      <c r="AK535" t="s">
        <v>99</v>
      </c>
      <c r="AL535" t="s">
        <v>5869</v>
      </c>
      <c r="AM535" t="s">
        <v>5864</v>
      </c>
      <c r="AN535" t="s">
        <v>2555</v>
      </c>
      <c r="AR535" t="s">
        <v>125</v>
      </c>
      <c r="AT535" t="s">
        <v>5870</v>
      </c>
      <c r="AV535" t="s">
        <v>190</v>
      </c>
      <c r="AZ535" t="s">
        <v>80</v>
      </c>
    </row>
    <row r="536" spans="1:52" hidden="1" x14ac:dyDescent="0.25">
      <c r="A536" t="s">
        <v>5871</v>
      </c>
      <c r="B536" t="s">
        <v>3450</v>
      </c>
      <c r="C536" t="s">
        <v>5872</v>
      </c>
      <c r="D536" t="s">
        <v>2544</v>
      </c>
      <c r="E536" t="s">
        <v>5873</v>
      </c>
      <c r="F536" t="s">
        <v>3453</v>
      </c>
      <c r="G536" t="s">
        <v>3453</v>
      </c>
      <c r="J536" t="s">
        <v>80</v>
      </c>
      <c r="K536" t="s">
        <v>110</v>
      </c>
      <c r="L536" t="s">
        <v>111</v>
      </c>
      <c r="M536">
        <v>66567</v>
      </c>
      <c r="O536" t="s">
        <v>3454</v>
      </c>
      <c r="P536" t="s">
        <v>154</v>
      </c>
      <c r="Q536" t="s">
        <v>1284</v>
      </c>
      <c r="R536" t="s">
        <v>1285</v>
      </c>
      <c r="S536" t="s">
        <v>1124</v>
      </c>
      <c r="T536" t="s">
        <v>158</v>
      </c>
      <c r="U536" t="s">
        <v>3455</v>
      </c>
      <c r="V536" t="s">
        <v>3456</v>
      </c>
      <c r="W536" t="s">
        <v>5874</v>
      </c>
      <c r="X536" t="s">
        <v>5875</v>
      </c>
      <c r="Y536" t="s">
        <v>93</v>
      </c>
      <c r="Z536" t="s">
        <v>119</v>
      </c>
      <c r="AA536" t="s">
        <v>3459</v>
      </c>
      <c r="AB536" t="s">
        <v>163</v>
      </c>
      <c r="AC536" t="s">
        <v>2142</v>
      </c>
      <c r="AD536" t="s">
        <v>119</v>
      </c>
      <c r="AE536" t="s">
        <v>3459</v>
      </c>
      <c r="AF536" t="s">
        <v>163</v>
      </c>
      <c r="AG536" t="s">
        <v>2142</v>
      </c>
      <c r="AI536" t="s">
        <v>5876</v>
      </c>
      <c r="AJ536" t="s">
        <v>119</v>
      </c>
      <c r="AK536" t="s">
        <v>99</v>
      </c>
      <c r="AL536" t="s">
        <v>5877</v>
      </c>
      <c r="AM536" t="s">
        <v>3462</v>
      </c>
      <c r="AN536" t="s">
        <v>2555</v>
      </c>
      <c r="AR536" t="s">
        <v>125</v>
      </c>
      <c r="AT536" t="s">
        <v>5878</v>
      </c>
      <c r="AV536" t="s">
        <v>190</v>
      </c>
      <c r="AZ536" t="s">
        <v>80</v>
      </c>
    </row>
    <row r="537" spans="1:52" hidden="1" x14ac:dyDescent="0.25">
      <c r="A537" t="s">
        <v>5879</v>
      </c>
      <c r="B537" t="s">
        <v>5880</v>
      </c>
      <c r="C537" t="s">
        <v>5881</v>
      </c>
      <c r="D537" t="s">
        <v>2544</v>
      </c>
      <c r="E537" t="s">
        <v>5882</v>
      </c>
      <c r="F537" t="s">
        <v>5883</v>
      </c>
      <c r="G537" t="s">
        <v>5883</v>
      </c>
      <c r="J537" t="s">
        <v>80</v>
      </c>
      <c r="K537" t="s">
        <v>110</v>
      </c>
      <c r="L537" t="s">
        <v>111</v>
      </c>
      <c r="M537">
        <v>66565</v>
      </c>
      <c r="P537" t="s">
        <v>154</v>
      </c>
      <c r="Q537" t="s">
        <v>539</v>
      </c>
      <c r="R537" t="s">
        <v>540</v>
      </c>
      <c r="S537" t="s">
        <v>541</v>
      </c>
      <c r="T537" t="s">
        <v>1564</v>
      </c>
      <c r="U537" t="s">
        <v>5884</v>
      </c>
      <c r="V537" t="s">
        <v>2714</v>
      </c>
      <c r="W537" t="s">
        <v>161</v>
      </c>
      <c r="X537" t="s">
        <v>5885</v>
      </c>
      <c r="Y537" t="s">
        <v>93</v>
      </c>
      <c r="Z537" t="s">
        <v>182</v>
      </c>
      <c r="AA537" t="s">
        <v>5886</v>
      </c>
      <c r="AB537" t="s">
        <v>622</v>
      </c>
      <c r="AC537" t="s">
        <v>5887</v>
      </c>
      <c r="AD537" t="s">
        <v>182</v>
      </c>
      <c r="AE537" t="s">
        <v>5886</v>
      </c>
      <c r="AF537" t="s">
        <v>622</v>
      </c>
      <c r="AG537" t="s">
        <v>5887</v>
      </c>
      <c r="AI537" t="s">
        <v>5888</v>
      </c>
      <c r="AJ537" t="s">
        <v>182</v>
      </c>
      <c r="AK537" t="s">
        <v>99</v>
      </c>
      <c r="AL537" t="s">
        <v>5889</v>
      </c>
      <c r="AM537" t="s">
        <v>5890</v>
      </c>
      <c r="AN537" t="s">
        <v>2555</v>
      </c>
      <c r="AR537" t="s">
        <v>125</v>
      </c>
      <c r="AT537" t="s">
        <v>5891</v>
      </c>
      <c r="AV537" t="s">
        <v>128</v>
      </c>
      <c r="AZ537" t="s">
        <v>80</v>
      </c>
    </row>
    <row r="538" spans="1:52" hidden="1" x14ac:dyDescent="0.25">
      <c r="A538" t="s">
        <v>5892</v>
      </c>
      <c r="B538" t="s">
        <v>5893</v>
      </c>
      <c r="C538" t="s">
        <v>5894</v>
      </c>
      <c r="D538" t="s">
        <v>2544</v>
      </c>
      <c r="E538" t="s">
        <v>5895</v>
      </c>
      <c r="F538" t="s">
        <v>5896</v>
      </c>
      <c r="G538" t="s">
        <v>5896</v>
      </c>
      <c r="J538" t="s">
        <v>80</v>
      </c>
      <c r="K538" t="s">
        <v>110</v>
      </c>
      <c r="L538" t="s">
        <v>111</v>
      </c>
      <c r="M538">
        <v>66561</v>
      </c>
      <c r="P538" t="s">
        <v>154</v>
      </c>
      <c r="Q538" t="s">
        <v>3469</v>
      </c>
      <c r="R538" t="s">
        <v>2488</v>
      </c>
      <c r="S538" t="s">
        <v>1016</v>
      </c>
      <c r="T538" t="s">
        <v>158</v>
      </c>
      <c r="U538" t="s">
        <v>5897</v>
      </c>
      <c r="V538" t="s">
        <v>2062</v>
      </c>
      <c r="W538" t="s">
        <v>797</v>
      </c>
      <c r="X538" t="s">
        <v>5898</v>
      </c>
      <c r="Y538" t="s">
        <v>93</v>
      </c>
      <c r="Z538" t="s">
        <v>119</v>
      </c>
      <c r="AA538" t="s">
        <v>1722</v>
      </c>
      <c r="AB538" t="s">
        <v>163</v>
      </c>
      <c r="AC538" t="s">
        <v>5899</v>
      </c>
      <c r="AD538" t="s">
        <v>119</v>
      </c>
      <c r="AE538" t="s">
        <v>1722</v>
      </c>
      <c r="AF538" t="s">
        <v>163</v>
      </c>
      <c r="AG538" t="s">
        <v>5899</v>
      </c>
      <c r="AI538" t="s">
        <v>1724</v>
      </c>
      <c r="AJ538" t="s">
        <v>119</v>
      </c>
      <c r="AK538" t="s">
        <v>99</v>
      </c>
      <c r="AL538" t="s">
        <v>5900</v>
      </c>
      <c r="AM538" t="s">
        <v>5901</v>
      </c>
      <c r="AN538" t="s">
        <v>2555</v>
      </c>
      <c r="AR538" t="s">
        <v>125</v>
      </c>
      <c r="AT538" t="s">
        <v>5902</v>
      </c>
      <c r="AV538" t="s">
        <v>128</v>
      </c>
      <c r="AZ538" t="s">
        <v>80</v>
      </c>
    </row>
    <row r="539" spans="1:52" hidden="1" x14ac:dyDescent="0.25">
      <c r="A539" t="s">
        <v>5903</v>
      </c>
      <c r="B539" t="s">
        <v>5904</v>
      </c>
      <c r="C539" t="s">
        <v>5905</v>
      </c>
      <c r="D539" t="s">
        <v>2544</v>
      </c>
      <c r="E539" t="s">
        <v>5906</v>
      </c>
      <c r="F539" t="s">
        <v>5907</v>
      </c>
      <c r="G539" t="s">
        <v>5907</v>
      </c>
      <c r="J539" t="s">
        <v>80</v>
      </c>
      <c r="K539" t="s">
        <v>110</v>
      </c>
      <c r="L539" t="s">
        <v>111</v>
      </c>
      <c r="M539">
        <v>66559</v>
      </c>
      <c r="P539" t="s">
        <v>154</v>
      </c>
      <c r="Q539" t="s">
        <v>1284</v>
      </c>
      <c r="R539" t="s">
        <v>1285</v>
      </c>
      <c r="S539" t="s">
        <v>1124</v>
      </c>
      <c r="T539" t="s">
        <v>618</v>
      </c>
      <c r="U539" t="s">
        <v>5908</v>
      </c>
      <c r="V539" t="s">
        <v>5367</v>
      </c>
      <c r="W539" t="s">
        <v>161</v>
      </c>
      <c r="X539" t="s">
        <v>5848</v>
      </c>
      <c r="Y539" t="s">
        <v>93</v>
      </c>
      <c r="Z539" t="s">
        <v>119</v>
      </c>
      <c r="AA539" t="s">
        <v>5909</v>
      </c>
      <c r="AB539" t="s">
        <v>622</v>
      </c>
      <c r="AC539" t="s">
        <v>3833</v>
      </c>
      <c r="AD539" t="s">
        <v>119</v>
      </c>
      <c r="AE539" t="s">
        <v>5909</v>
      </c>
      <c r="AF539" t="s">
        <v>622</v>
      </c>
      <c r="AG539" t="s">
        <v>3833</v>
      </c>
      <c r="AI539" t="s">
        <v>2629</v>
      </c>
      <c r="AJ539" t="s">
        <v>119</v>
      </c>
      <c r="AK539" t="s">
        <v>99</v>
      </c>
      <c r="AL539" t="s">
        <v>5910</v>
      </c>
      <c r="AM539" t="s">
        <v>5911</v>
      </c>
      <c r="AN539" t="s">
        <v>2555</v>
      </c>
      <c r="AR539" t="s">
        <v>125</v>
      </c>
      <c r="AT539" t="s">
        <v>5912</v>
      </c>
      <c r="AV539" t="s">
        <v>128</v>
      </c>
      <c r="AZ539" t="s">
        <v>80</v>
      </c>
    </row>
    <row r="540" spans="1:52" hidden="1" x14ac:dyDescent="0.25">
      <c r="A540" t="s">
        <v>5913</v>
      </c>
      <c r="B540" t="s">
        <v>5914</v>
      </c>
      <c r="C540" t="s">
        <v>5905</v>
      </c>
      <c r="D540" t="s">
        <v>2544</v>
      </c>
      <c r="E540" t="s">
        <v>5915</v>
      </c>
      <c r="F540" t="s">
        <v>5916</v>
      </c>
      <c r="G540" t="s">
        <v>5916</v>
      </c>
      <c r="J540" t="s">
        <v>80</v>
      </c>
      <c r="K540" t="s">
        <v>110</v>
      </c>
      <c r="L540" t="s">
        <v>111</v>
      </c>
      <c r="M540">
        <v>66557</v>
      </c>
      <c r="P540" t="s">
        <v>154</v>
      </c>
      <c r="Q540" t="s">
        <v>1284</v>
      </c>
      <c r="R540" t="s">
        <v>1285</v>
      </c>
      <c r="S540" t="s">
        <v>1124</v>
      </c>
      <c r="T540" t="s">
        <v>1564</v>
      </c>
      <c r="U540" t="s">
        <v>5917</v>
      </c>
      <c r="V540" t="s">
        <v>5918</v>
      </c>
      <c r="W540" t="s">
        <v>161</v>
      </c>
      <c r="X540" t="s">
        <v>5885</v>
      </c>
      <c r="Y540" t="s">
        <v>93</v>
      </c>
      <c r="Z540" t="s">
        <v>182</v>
      </c>
      <c r="AA540" t="s">
        <v>2574</v>
      </c>
      <c r="AB540" t="s">
        <v>622</v>
      </c>
      <c r="AC540" t="s">
        <v>5352</v>
      </c>
      <c r="AD540" t="s">
        <v>182</v>
      </c>
      <c r="AE540" t="s">
        <v>2574</v>
      </c>
      <c r="AF540" t="s">
        <v>622</v>
      </c>
      <c r="AG540" t="s">
        <v>5352</v>
      </c>
      <c r="AI540" t="s">
        <v>4660</v>
      </c>
      <c r="AJ540" t="s">
        <v>182</v>
      </c>
      <c r="AK540" t="s">
        <v>99</v>
      </c>
      <c r="AL540" t="s">
        <v>5919</v>
      </c>
      <c r="AM540" t="s">
        <v>5911</v>
      </c>
      <c r="AN540" t="s">
        <v>2555</v>
      </c>
      <c r="AR540" t="s">
        <v>125</v>
      </c>
      <c r="AT540" t="s">
        <v>5920</v>
      </c>
      <c r="AV540" t="s">
        <v>128</v>
      </c>
      <c r="AZ540" t="s">
        <v>80</v>
      </c>
    </row>
    <row r="541" spans="1:52" hidden="1" x14ac:dyDescent="0.25">
      <c r="A541" t="s">
        <v>5921</v>
      </c>
      <c r="B541" t="s">
        <v>5922</v>
      </c>
      <c r="C541" t="s">
        <v>5923</v>
      </c>
      <c r="D541" t="s">
        <v>2544</v>
      </c>
      <c r="E541" t="s">
        <v>5924</v>
      </c>
      <c r="F541" t="s">
        <v>5925</v>
      </c>
      <c r="G541" t="s">
        <v>5925</v>
      </c>
      <c r="J541" t="s">
        <v>80</v>
      </c>
      <c r="K541" t="s">
        <v>110</v>
      </c>
      <c r="L541" t="s">
        <v>111</v>
      </c>
      <c r="M541">
        <v>66518</v>
      </c>
      <c r="P541" t="s">
        <v>154</v>
      </c>
      <c r="Q541" t="s">
        <v>1284</v>
      </c>
      <c r="R541" t="s">
        <v>1285</v>
      </c>
      <c r="S541" t="s">
        <v>1124</v>
      </c>
      <c r="T541" t="s">
        <v>1564</v>
      </c>
      <c r="U541" t="s">
        <v>3456</v>
      </c>
      <c r="V541" t="s">
        <v>3015</v>
      </c>
      <c r="W541" t="s">
        <v>161</v>
      </c>
      <c r="X541" t="s">
        <v>5885</v>
      </c>
      <c r="Y541" t="s">
        <v>93</v>
      </c>
      <c r="Z541" t="s">
        <v>622</v>
      </c>
      <c r="AA541" t="s">
        <v>5482</v>
      </c>
      <c r="AB541" t="s">
        <v>182</v>
      </c>
      <c r="AC541" t="s">
        <v>4139</v>
      </c>
      <c r="AD541" t="s">
        <v>622</v>
      </c>
      <c r="AE541" t="s">
        <v>5482</v>
      </c>
      <c r="AF541" t="s">
        <v>182</v>
      </c>
      <c r="AG541" t="s">
        <v>4139</v>
      </c>
      <c r="AI541" t="s">
        <v>5926</v>
      </c>
      <c r="AJ541" t="s">
        <v>622</v>
      </c>
      <c r="AK541" t="s">
        <v>99</v>
      </c>
      <c r="AL541" t="s">
        <v>5927</v>
      </c>
      <c r="AM541" t="s">
        <v>5928</v>
      </c>
      <c r="AN541" t="s">
        <v>2555</v>
      </c>
      <c r="AR541" t="s">
        <v>125</v>
      </c>
      <c r="AT541" t="s">
        <v>5929</v>
      </c>
      <c r="AV541" t="s">
        <v>190</v>
      </c>
      <c r="AZ541" t="s">
        <v>80</v>
      </c>
    </row>
    <row r="542" spans="1:52" hidden="1" x14ac:dyDescent="0.25">
      <c r="A542" t="s">
        <v>5930</v>
      </c>
      <c r="B542" t="s">
        <v>5931</v>
      </c>
      <c r="C542" t="s">
        <v>5923</v>
      </c>
      <c r="D542" t="s">
        <v>2544</v>
      </c>
      <c r="E542" t="s">
        <v>5932</v>
      </c>
      <c r="F542" t="s">
        <v>5933</v>
      </c>
      <c r="G542" t="s">
        <v>5933</v>
      </c>
      <c r="J542" t="s">
        <v>80</v>
      </c>
      <c r="K542" t="s">
        <v>110</v>
      </c>
      <c r="L542" t="s">
        <v>111</v>
      </c>
      <c r="M542">
        <v>66516</v>
      </c>
      <c r="P542" t="s">
        <v>154</v>
      </c>
      <c r="Q542" t="s">
        <v>1284</v>
      </c>
      <c r="R542" t="s">
        <v>1285</v>
      </c>
      <c r="S542" t="s">
        <v>1124</v>
      </c>
      <c r="T542" t="s">
        <v>618</v>
      </c>
      <c r="U542" t="s">
        <v>1605</v>
      </c>
      <c r="V542" t="s">
        <v>852</v>
      </c>
      <c r="W542" t="s">
        <v>161</v>
      </c>
      <c r="X542" t="s">
        <v>5848</v>
      </c>
      <c r="Y542" t="s">
        <v>93</v>
      </c>
      <c r="Z542" t="s">
        <v>622</v>
      </c>
      <c r="AA542" t="s">
        <v>5934</v>
      </c>
      <c r="AB542" t="s">
        <v>119</v>
      </c>
      <c r="AC542" t="s">
        <v>5935</v>
      </c>
      <c r="AD542" t="s">
        <v>622</v>
      </c>
      <c r="AE542" t="s">
        <v>5934</v>
      </c>
      <c r="AF542" t="s">
        <v>119</v>
      </c>
      <c r="AG542" t="s">
        <v>5935</v>
      </c>
      <c r="AI542" t="s">
        <v>4965</v>
      </c>
      <c r="AJ542" t="s">
        <v>622</v>
      </c>
      <c r="AK542" t="s">
        <v>99</v>
      </c>
      <c r="AL542" t="s">
        <v>5936</v>
      </c>
      <c r="AM542" t="s">
        <v>5928</v>
      </c>
      <c r="AN542" t="s">
        <v>2555</v>
      </c>
      <c r="AR542" t="s">
        <v>125</v>
      </c>
      <c r="AT542" t="s">
        <v>5937</v>
      </c>
      <c r="AV542" t="s">
        <v>128</v>
      </c>
      <c r="AZ542" t="s">
        <v>80</v>
      </c>
    </row>
    <row r="543" spans="1:52" hidden="1" x14ac:dyDescent="0.25">
      <c r="A543" t="s">
        <v>5938</v>
      </c>
      <c r="B543" t="s">
        <v>5939</v>
      </c>
      <c r="C543" t="s">
        <v>5940</v>
      </c>
      <c r="D543" t="s">
        <v>2544</v>
      </c>
      <c r="E543" t="s">
        <v>5941</v>
      </c>
      <c r="F543" t="s">
        <v>5942</v>
      </c>
      <c r="G543" t="s">
        <v>5942</v>
      </c>
      <c r="J543" t="s">
        <v>80</v>
      </c>
      <c r="K543" t="s">
        <v>110</v>
      </c>
      <c r="L543" t="s">
        <v>111</v>
      </c>
      <c r="M543">
        <v>66551</v>
      </c>
      <c r="P543" t="s">
        <v>154</v>
      </c>
      <c r="Q543" t="s">
        <v>731</v>
      </c>
      <c r="R543" t="s">
        <v>732</v>
      </c>
      <c r="S543" t="s">
        <v>733</v>
      </c>
      <c r="T543" t="s">
        <v>1564</v>
      </c>
      <c r="U543" t="s">
        <v>470</v>
      </c>
      <c r="V543" t="s">
        <v>1566</v>
      </c>
      <c r="W543" t="s">
        <v>161</v>
      </c>
      <c r="X543" t="s">
        <v>5885</v>
      </c>
      <c r="Y543" t="s">
        <v>93</v>
      </c>
      <c r="Z543" t="s">
        <v>182</v>
      </c>
      <c r="AA543" t="s">
        <v>5943</v>
      </c>
      <c r="AB543" t="s">
        <v>622</v>
      </c>
      <c r="AC543" t="s">
        <v>3985</v>
      </c>
      <c r="AD543" t="s">
        <v>182</v>
      </c>
      <c r="AE543" t="s">
        <v>5943</v>
      </c>
      <c r="AF543" t="s">
        <v>622</v>
      </c>
      <c r="AG543" t="s">
        <v>3985</v>
      </c>
      <c r="AI543" t="s">
        <v>3987</v>
      </c>
      <c r="AJ543" t="s">
        <v>182</v>
      </c>
      <c r="AK543" t="s">
        <v>99</v>
      </c>
      <c r="AL543" t="s">
        <v>5944</v>
      </c>
      <c r="AM543" t="s">
        <v>5945</v>
      </c>
      <c r="AN543" t="s">
        <v>2555</v>
      </c>
      <c r="AR543" t="s">
        <v>125</v>
      </c>
      <c r="AT543" t="s">
        <v>5946</v>
      </c>
      <c r="AV543" t="s">
        <v>128</v>
      </c>
      <c r="AZ543" t="s">
        <v>80</v>
      </c>
    </row>
    <row r="544" spans="1:52" hidden="1" x14ac:dyDescent="0.25">
      <c r="A544" t="s">
        <v>5947</v>
      </c>
      <c r="B544" t="s">
        <v>5948</v>
      </c>
      <c r="C544" t="s">
        <v>5940</v>
      </c>
      <c r="D544" t="s">
        <v>2544</v>
      </c>
      <c r="E544" t="s">
        <v>5949</v>
      </c>
      <c r="F544" t="s">
        <v>5950</v>
      </c>
      <c r="G544" t="s">
        <v>5950</v>
      </c>
      <c r="J544" t="s">
        <v>80</v>
      </c>
      <c r="K544" t="s">
        <v>110</v>
      </c>
      <c r="L544" t="s">
        <v>111</v>
      </c>
      <c r="M544">
        <v>66136</v>
      </c>
      <c r="O544" t="s">
        <v>5822</v>
      </c>
      <c r="P544" t="s">
        <v>212</v>
      </c>
      <c r="Q544" t="s">
        <v>3469</v>
      </c>
      <c r="R544" t="s">
        <v>2488</v>
      </c>
      <c r="S544" t="s">
        <v>1016</v>
      </c>
      <c r="T544" t="s">
        <v>618</v>
      </c>
      <c r="U544" t="s">
        <v>5908</v>
      </c>
      <c r="V544" t="s">
        <v>934</v>
      </c>
      <c r="W544" t="s">
        <v>797</v>
      </c>
      <c r="X544" t="s">
        <v>621</v>
      </c>
      <c r="Y544" t="s">
        <v>93</v>
      </c>
      <c r="Z544" t="s">
        <v>622</v>
      </c>
      <c r="AA544" t="s">
        <v>2459</v>
      </c>
      <c r="AB544" t="s">
        <v>119</v>
      </c>
      <c r="AC544" t="s">
        <v>2791</v>
      </c>
      <c r="AD544" t="s">
        <v>622</v>
      </c>
      <c r="AE544" t="s">
        <v>2459</v>
      </c>
      <c r="AF544" t="s">
        <v>119</v>
      </c>
      <c r="AG544" t="s">
        <v>2791</v>
      </c>
      <c r="AI544" t="s">
        <v>5951</v>
      </c>
      <c r="AJ544" t="s">
        <v>622</v>
      </c>
      <c r="AK544" t="s">
        <v>99</v>
      </c>
      <c r="AL544" t="s">
        <v>5952</v>
      </c>
      <c r="AM544" t="s">
        <v>5953</v>
      </c>
      <c r="AN544" t="s">
        <v>2555</v>
      </c>
      <c r="AR544" t="s">
        <v>125</v>
      </c>
      <c r="AT544" t="s">
        <v>5954</v>
      </c>
      <c r="AV544" t="s">
        <v>190</v>
      </c>
      <c r="AZ544" t="s">
        <v>80</v>
      </c>
    </row>
    <row r="545" spans="1:52" hidden="1" x14ac:dyDescent="0.25">
      <c r="A545" t="s">
        <v>5955</v>
      </c>
      <c r="B545" t="s">
        <v>5956</v>
      </c>
      <c r="C545" t="s">
        <v>5957</v>
      </c>
      <c r="D545" t="s">
        <v>2544</v>
      </c>
      <c r="E545" t="s">
        <v>5958</v>
      </c>
      <c r="F545" t="s">
        <v>5959</v>
      </c>
      <c r="G545" t="s">
        <v>5959</v>
      </c>
      <c r="J545" t="s">
        <v>80</v>
      </c>
      <c r="K545" t="s">
        <v>110</v>
      </c>
      <c r="L545" t="s">
        <v>111</v>
      </c>
      <c r="M545">
        <v>66134</v>
      </c>
      <c r="O545" t="s">
        <v>5804</v>
      </c>
      <c r="P545" t="s">
        <v>212</v>
      </c>
      <c r="Q545" t="s">
        <v>731</v>
      </c>
      <c r="R545" t="s">
        <v>732</v>
      </c>
      <c r="S545" t="s">
        <v>733</v>
      </c>
      <c r="T545" t="s">
        <v>618</v>
      </c>
      <c r="U545" t="s">
        <v>5960</v>
      </c>
      <c r="V545" t="s">
        <v>5961</v>
      </c>
      <c r="W545" t="s">
        <v>697</v>
      </c>
      <c r="X545" t="s">
        <v>1066</v>
      </c>
      <c r="Y545" t="s">
        <v>93</v>
      </c>
      <c r="Z545" t="s">
        <v>622</v>
      </c>
      <c r="AA545" t="s">
        <v>5962</v>
      </c>
      <c r="AB545" t="s">
        <v>119</v>
      </c>
      <c r="AC545" t="s">
        <v>5963</v>
      </c>
      <c r="AD545" t="s">
        <v>622</v>
      </c>
      <c r="AE545" t="s">
        <v>5962</v>
      </c>
      <c r="AF545" t="s">
        <v>119</v>
      </c>
      <c r="AG545" t="s">
        <v>5963</v>
      </c>
      <c r="AI545" t="s">
        <v>5964</v>
      </c>
      <c r="AJ545" t="s">
        <v>622</v>
      </c>
      <c r="AK545" t="s">
        <v>99</v>
      </c>
      <c r="AL545" t="s">
        <v>5965</v>
      </c>
      <c r="AM545" t="s">
        <v>5953</v>
      </c>
      <c r="AN545" t="s">
        <v>2555</v>
      </c>
      <c r="AR545" t="s">
        <v>125</v>
      </c>
      <c r="AT545" t="s">
        <v>5966</v>
      </c>
      <c r="AV545" t="s">
        <v>190</v>
      </c>
      <c r="AZ545" t="s">
        <v>80</v>
      </c>
    </row>
    <row r="546" spans="1:52" hidden="1" x14ac:dyDescent="0.25">
      <c r="A546" t="s">
        <v>5967</v>
      </c>
      <c r="B546" t="s">
        <v>5968</v>
      </c>
      <c r="C546" t="s">
        <v>5957</v>
      </c>
      <c r="D546" t="s">
        <v>2544</v>
      </c>
      <c r="E546" t="s">
        <v>5969</v>
      </c>
      <c r="F546" t="s">
        <v>5970</v>
      </c>
      <c r="G546" t="s">
        <v>5970</v>
      </c>
      <c r="J546" t="s">
        <v>80</v>
      </c>
      <c r="K546" t="s">
        <v>110</v>
      </c>
      <c r="L546" t="s">
        <v>111</v>
      </c>
      <c r="M546">
        <v>66132</v>
      </c>
      <c r="O546" t="s">
        <v>636</v>
      </c>
      <c r="P546" t="s">
        <v>212</v>
      </c>
      <c r="Q546" t="s">
        <v>539</v>
      </c>
      <c r="R546" t="s">
        <v>540</v>
      </c>
      <c r="S546" t="s">
        <v>541</v>
      </c>
      <c r="T546" t="s">
        <v>618</v>
      </c>
      <c r="U546" t="s">
        <v>5971</v>
      </c>
      <c r="V546" t="s">
        <v>5972</v>
      </c>
      <c r="W546" t="s">
        <v>797</v>
      </c>
      <c r="X546" t="s">
        <v>621</v>
      </c>
      <c r="Y546" t="s">
        <v>93</v>
      </c>
      <c r="Z546" t="s">
        <v>622</v>
      </c>
      <c r="AA546" t="s">
        <v>5973</v>
      </c>
      <c r="AB546" t="s">
        <v>119</v>
      </c>
      <c r="AC546" t="s">
        <v>5962</v>
      </c>
      <c r="AD546" t="s">
        <v>622</v>
      </c>
      <c r="AE546" t="s">
        <v>5973</v>
      </c>
      <c r="AF546" t="s">
        <v>119</v>
      </c>
      <c r="AG546" t="s">
        <v>5962</v>
      </c>
      <c r="AI546" t="s">
        <v>5974</v>
      </c>
      <c r="AJ546" t="s">
        <v>622</v>
      </c>
      <c r="AK546" t="s">
        <v>99</v>
      </c>
      <c r="AL546" t="s">
        <v>5975</v>
      </c>
      <c r="AM546" t="s">
        <v>5953</v>
      </c>
      <c r="AN546" t="s">
        <v>2555</v>
      </c>
      <c r="AR546" t="s">
        <v>125</v>
      </c>
      <c r="AT546" t="s">
        <v>5976</v>
      </c>
      <c r="AV546" t="s">
        <v>190</v>
      </c>
      <c r="AZ546" t="s">
        <v>80</v>
      </c>
    </row>
    <row r="547" spans="1:52" hidden="1" x14ac:dyDescent="0.25">
      <c r="A547" t="s">
        <v>5977</v>
      </c>
      <c r="B547" t="s">
        <v>5978</v>
      </c>
      <c r="C547" t="s">
        <v>5979</v>
      </c>
      <c r="D547" t="s">
        <v>2544</v>
      </c>
      <c r="E547" t="s">
        <v>5980</v>
      </c>
      <c r="F547" t="s">
        <v>5981</v>
      </c>
      <c r="G547" t="s">
        <v>5981</v>
      </c>
      <c r="J547" t="s">
        <v>80</v>
      </c>
      <c r="K547" t="s">
        <v>110</v>
      </c>
      <c r="L547" t="s">
        <v>111</v>
      </c>
      <c r="M547">
        <v>66514</v>
      </c>
      <c r="O547" t="s">
        <v>5982</v>
      </c>
      <c r="P547" t="s">
        <v>154</v>
      </c>
      <c r="Q547" t="s">
        <v>539</v>
      </c>
      <c r="R547" t="s">
        <v>540</v>
      </c>
      <c r="S547" t="s">
        <v>541</v>
      </c>
      <c r="T547" t="s">
        <v>618</v>
      </c>
      <c r="U547" t="s">
        <v>619</v>
      </c>
      <c r="V547" t="s">
        <v>2611</v>
      </c>
      <c r="W547" t="s">
        <v>161</v>
      </c>
      <c r="X547" t="s">
        <v>5848</v>
      </c>
      <c r="Y547" t="s">
        <v>93</v>
      </c>
      <c r="Z547" t="s">
        <v>622</v>
      </c>
      <c r="AA547" t="s">
        <v>5983</v>
      </c>
      <c r="AB547" t="s">
        <v>119</v>
      </c>
      <c r="AC547" t="s">
        <v>491</v>
      </c>
      <c r="AD547" t="s">
        <v>622</v>
      </c>
      <c r="AE547" t="s">
        <v>5983</v>
      </c>
      <c r="AF547" t="s">
        <v>119</v>
      </c>
      <c r="AG547" t="s">
        <v>491</v>
      </c>
      <c r="AI547" t="s">
        <v>5984</v>
      </c>
      <c r="AJ547" t="s">
        <v>622</v>
      </c>
      <c r="AK547" t="s">
        <v>99</v>
      </c>
      <c r="AL547" t="s">
        <v>5985</v>
      </c>
      <c r="AM547" t="s">
        <v>5986</v>
      </c>
      <c r="AN547" t="s">
        <v>2555</v>
      </c>
      <c r="AR547" t="s">
        <v>125</v>
      </c>
      <c r="AT547" t="s">
        <v>5987</v>
      </c>
      <c r="AV547" t="s">
        <v>190</v>
      </c>
      <c r="AZ547" t="s">
        <v>80</v>
      </c>
    </row>
    <row r="548" spans="1:52" hidden="1" x14ac:dyDescent="0.25">
      <c r="A548" t="s">
        <v>5988</v>
      </c>
      <c r="B548" t="s">
        <v>5989</v>
      </c>
      <c r="C548" t="s">
        <v>5990</v>
      </c>
      <c r="D548" t="s">
        <v>2544</v>
      </c>
      <c r="E548" t="s">
        <v>5991</v>
      </c>
      <c r="F548" t="s">
        <v>5992</v>
      </c>
      <c r="G548" t="s">
        <v>5992</v>
      </c>
      <c r="J548" t="s">
        <v>80</v>
      </c>
      <c r="K548" t="s">
        <v>110</v>
      </c>
      <c r="L548" t="s">
        <v>111</v>
      </c>
      <c r="M548">
        <v>66508</v>
      </c>
      <c r="P548" t="s">
        <v>154</v>
      </c>
      <c r="Q548" t="s">
        <v>1284</v>
      </c>
      <c r="R548" t="s">
        <v>1285</v>
      </c>
      <c r="S548" t="s">
        <v>1124</v>
      </c>
      <c r="T548" t="s">
        <v>618</v>
      </c>
      <c r="U548" t="s">
        <v>5993</v>
      </c>
      <c r="V548" t="s">
        <v>1801</v>
      </c>
      <c r="W548" t="s">
        <v>161</v>
      </c>
      <c r="X548" t="s">
        <v>5848</v>
      </c>
      <c r="Y548" t="s">
        <v>93</v>
      </c>
      <c r="Z548" t="s">
        <v>622</v>
      </c>
      <c r="AA548" t="s">
        <v>5994</v>
      </c>
      <c r="AB548" t="s">
        <v>119</v>
      </c>
      <c r="AC548" t="s">
        <v>623</v>
      </c>
      <c r="AD548" t="s">
        <v>622</v>
      </c>
      <c r="AE548" t="s">
        <v>5994</v>
      </c>
      <c r="AF548" t="s">
        <v>119</v>
      </c>
      <c r="AG548" t="s">
        <v>623</v>
      </c>
      <c r="AI548" t="s">
        <v>5995</v>
      </c>
      <c r="AJ548" t="s">
        <v>622</v>
      </c>
      <c r="AK548" t="s">
        <v>99</v>
      </c>
      <c r="AL548" t="s">
        <v>5996</v>
      </c>
      <c r="AM548" t="s">
        <v>5997</v>
      </c>
      <c r="AN548" t="s">
        <v>2555</v>
      </c>
      <c r="AR548" t="s">
        <v>125</v>
      </c>
      <c r="AT548" t="s">
        <v>5998</v>
      </c>
      <c r="AV548" t="s">
        <v>128</v>
      </c>
      <c r="AZ548" t="s">
        <v>80</v>
      </c>
    </row>
    <row r="549" spans="1:52" hidden="1" x14ac:dyDescent="0.25">
      <c r="A549" t="s">
        <v>5999</v>
      </c>
      <c r="B549" t="s">
        <v>6000</v>
      </c>
      <c r="C549" t="s">
        <v>6001</v>
      </c>
      <c r="D549" t="s">
        <v>2544</v>
      </c>
      <c r="E549" t="s">
        <v>6002</v>
      </c>
      <c r="F549" t="s">
        <v>6003</v>
      </c>
      <c r="G549" t="s">
        <v>6003</v>
      </c>
      <c r="J549" t="s">
        <v>80</v>
      </c>
      <c r="K549" t="s">
        <v>110</v>
      </c>
      <c r="L549" t="s">
        <v>111</v>
      </c>
      <c r="M549">
        <v>66506</v>
      </c>
      <c r="O549" t="s">
        <v>3454</v>
      </c>
      <c r="P549" t="s">
        <v>154</v>
      </c>
      <c r="Q549" t="s">
        <v>3469</v>
      </c>
      <c r="R549" t="s">
        <v>2488</v>
      </c>
      <c r="S549" t="s">
        <v>1016</v>
      </c>
      <c r="T549" t="s">
        <v>158</v>
      </c>
      <c r="U549" t="s">
        <v>6004</v>
      </c>
      <c r="V549" t="s">
        <v>1720</v>
      </c>
      <c r="W549" t="s">
        <v>797</v>
      </c>
      <c r="X549" t="s">
        <v>5898</v>
      </c>
      <c r="Y549" t="s">
        <v>93</v>
      </c>
      <c r="Z549" t="s">
        <v>163</v>
      </c>
      <c r="AA549" t="s">
        <v>6005</v>
      </c>
      <c r="AB549" t="s">
        <v>119</v>
      </c>
      <c r="AC549" t="s">
        <v>800</v>
      </c>
      <c r="AD549" t="s">
        <v>163</v>
      </c>
      <c r="AE549" t="s">
        <v>6005</v>
      </c>
      <c r="AF549" t="s">
        <v>119</v>
      </c>
      <c r="AG549" t="s">
        <v>800</v>
      </c>
      <c r="AI549" t="s">
        <v>6006</v>
      </c>
      <c r="AJ549" t="s">
        <v>163</v>
      </c>
      <c r="AK549" t="s">
        <v>99</v>
      </c>
      <c r="AL549" t="s">
        <v>6007</v>
      </c>
      <c r="AM549" t="s">
        <v>6008</v>
      </c>
      <c r="AN549" t="s">
        <v>2555</v>
      </c>
      <c r="AR549" t="s">
        <v>125</v>
      </c>
      <c r="AT549" t="s">
        <v>6009</v>
      </c>
      <c r="AV549" t="s">
        <v>190</v>
      </c>
      <c r="AZ549" t="s">
        <v>80</v>
      </c>
    </row>
    <row r="550" spans="1:52" hidden="1" x14ac:dyDescent="0.25">
      <c r="A550" t="s">
        <v>6010</v>
      </c>
      <c r="B550" t="s">
        <v>6011</v>
      </c>
      <c r="C550" t="s">
        <v>6012</v>
      </c>
      <c r="D550" t="s">
        <v>2544</v>
      </c>
      <c r="E550" t="s">
        <v>6013</v>
      </c>
      <c r="F550" t="s">
        <v>6014</v>
      </c>
      <c r="G550" t="s">
        <v>6014</v>
      </c>
      <c r="J550" t="s">
        <v>80</v>
      </c>
      <c r="K550" t="s">
        <v>110</v>
      </c>
      <c r="L550" t="s">
        <v>111</v>
      </c>
      <c r="M550">
        <v>66504</v>
      </c>
      <c r="P550" t="s">
        <v>154</v>
      </c>
      <c r="Q550" t="s">
        <v>1284</v>
      </c>
      <c r="R550" t="s">
        <v>1285</v>
      </c>
      <c r="S550" t="s">
        <v>1124</v>
      </c>
      <c r="T550" t="s">
        <v>618</v>
      </c>
      <c r="U550" t="s">
        <v>6015</v>
      </c>
      <c r="V550" t="s">
        <v>934</v>
      </c>
      <c r="W550" t="s">
        <v>161</v>
      </c>
      <c r="X550" t="s">
        <v>5848</v>
      </c>
      <c r="Y550" t="s">
        <v>93</v>
      </c>
      <c r="Z550" t="s">
        <v>622</v>
      </c>
      <c r="AA550" t="s">
        <v>2726</v>
      </c>
      <c r="AB550" t="s">
        <v>119</v>
      </c>
      <c r="AC550" t="s">
        <v>6016</v>
      </c>
      <c r="AD550" t="s">
        <v>622</v>
      </c>
      <c r="AE550" t="s">
        <v>2726</v>
      </c>
      <c r="AF550" t="s">
        <v>119</v>
      </c>
      <c r="AG550" t="s">
        <v>6016</v>
      </c>
      <c r="AI550" t="s">
        <v>6017</v>
      </c>
      <c r="AJ550" t="s">
        <v>622</v>
      </c>
      <c r="AK550" t="s">
        <v>99</v>
      </c>
      <c r="AL550" t="s">
        <v>6018</v>
      </c>
      <c r="AM550" t="s">
        <v>6019</v>
      </c>
      <c r="AN550" t="s">
        <v>2555</v>
      </c>
      <c r="AR550" t="s">
        <v>125</v>
      </c>
      <c r="AT550" t="s">
        <v>6020</v>
      </c>
      <c r="AV550" t="s">
        <v>190</v>
      </c>
      <c r="AZ550" t="s">
        <v>80</v>
      </c>
    </row>
    <row r="551" spans="1:52" hidden="1" x14ac:dyDescent="0.25">
      <c r="A551" t="s">
        <v>6021</v>
      </c>
      <c r="B551" t="s">
        <v>292</v>
      </c>
      <c r="C551" t="s">
        <v>6022</v>
      </c>
      <c r="D551" t="s">
        <v>2544</v>
      </c>
      <c r="E551" t="s">
        <v>6023</v>
      </c>
      <c r="F551" t="s">
        <v>295</v>
      </c>
      <c r="G551" t="s">
        <v>295</v>
      </c>
      <c r="J551" t="s">
        <v>80</v>
      </c>
      <c r="K551" t="s">
        <v>110</v>
      </c>
      <c r="L551" t="s">
        <v>111</v>
      </c>
      <c r="M551" t="s">
        <v>297</v>
      </c>
      <c r="O551" t="s">
        <v>298</v>
      </c>
      <c r="P551" t="s">
        <v>154</v>
      </c>
      <c r="Q551" t="s">
        <v>731</v>
      </c>
      <c r="R551" t="s">
        <v>732</v>
      </c>
      <c r="S551" t="s">
        <v>733</v>
      </c>
      <c r="T551" t="s">
        <v>299</v>
      </c>
      <c r="U551" t="s">
        <v>300</v>
      </c>
      <c r="V551" t="s">
        <v>301</v>
      </c>
      <c r="W551" t="s">
        <v>601</v>
      </c>
      <c r="X551" t="s">
        <v>6024</v>
      </c>
      <c r="Y551" t="s">
        <v>93</v>
      </c>
      <c r="Z551" t="s">
        <v>304</v>
      </c>
      <c r="AA551" t="s">
        <v>305</v>
      </c>
      <c r="AB551" t="s">
        <v>119</v>
      </c>
      <c r="AC551" t="s">
        <v>306</v>
      </c>
      <c r="AD551" t="s">
        <v>304</v>
      </c>
      <c r="AE551" t="s">
        <v>305</v>
      </c>
      <c r="AF551" t="s">
        <v>119</v>
      </c>
      <c r="AG551" t="s">
        <v>306</v>
      </c>
      <c r="AI551" t="s">
        <v>6025</v>
      </c>
      <c r="AJ551" t="s">
        <v>304</v>
      </c>
      <c r="AK551" t="s">
        <v>99</v>
      </c>
      <c r="AL551" t="s">
        <v>6026</v>
      </c>
      <c r="AM551" t="s">
        <v>6027</v>
      </c>
      <c r="AN551" t="s">
        <v>2555</v>
      </c>
      <c r="AR551" t="s">
        <v>125</v>
      </c>
      <c r="AT551" t="s">
        <v>6028</v>
      </c>
      <c r="AV551" t="s">
        <v>190</v>
      </c>
      <c r="AZ551" t="s">
        <v>80</v>
      </c>
    </row>
    <row r="552" spans="1:52" hidden="1" x14ac:dyDescent="0.25">
      <c r="A552" t="s">
        <v>6029</v>
      </c>
      <c r="B552" t="s">
        <v>6030</v>
      </c>
      <c r="C552" t="s">
        <v>6031</v>
      </c>
      <c r="D552" t="s">
        <v>2544</v>
      </c>
      <c r="E552" t="s">
        <v>6032</v>
      </c>
      <c r="F552" t="s">
        <v>6033</v>
      </c>
      <c r="G552" t="s">
        <v>6033</v>
      </c>
      <c r="J552" t="s">
        <v>80</v>
      </c>
      <c r="K552" t="s">
        <v>110</v>
      </c>
      <c r="L552" t="s">
        <v>111</v>
      </c>
      <c r="M552">
        <v>66500</v>
      </c>
      <c r="P552" t="s">
        <v>154</v>
      </c>
      <c r="Q552" t="s">
        <v>3469</v>
      </c>
      <c r="R552" t="s">
        <v>2488</v>
      </c>
      <c r="S552" t="s">
        <v>1016</v>
      </c>
      <c r="T552" t="s">
        <v>158</v>
      </c>
      <c r="U552" t="s">
        <v>5897</v>
      </c>
      <c r="V552" t="s">
        <v>1895</v>
      </c>
      <c r="W552" t="s">
        <v>797</v>
      </c>
      <c r="X552" t="s">
        <v>5898</v>
      </c>
      <c r="Y552" t="s">
        <v>93</v>
      </c>
      <c r="Z552" t="s">
        <v>163</v>
      </c>
      <c r="AA552" t="s">
        <v>1698</v>
      </c>
      <c r="AB552" t="s">
        <v>119</v>
      </c>
      <c r="AC552" t="s">
        <v>6034</v>
      </c>
      <c r="AD552" t="s">
        <v>163</v>
      </c>
      <c r="AE552" t="s">
        <v>1698</v>
      </c>
      <c r="AF552" t="s">
        <v>119</v>
      </c>
      <c r="AG552" t="s">
        <v>6034</v>
      </c>
      <c r="AI552" t="s">
        <v>6035</v>
      </c>
      <c r="AJ552" t="s">
        <v>163</v>
      </c>
      <c r="AK552" t="s">
        <v>99</v>
      </c>
      <c r="AL552" t="s">
        <v>6036</v>
      </c>
      <c r="AM552" t="s">
        <v>6037</v>
      </c>
      <c r="AN552" t="s">
        <v>2555</v>
      </c>
      <c r="AR552" t="s">
        <v>125</v>
      </c>
      <c r="AT552" t="s">
        <v>6038</v>
      </c>
      <c r="AV552" t="s">
        <v>128</v>
      </c>
      <c r="AZ552" t="s">
        <v>80</v>
      </c>
    </row>
    <row r="553" spans="1:52" hidden="1" x14ac:dyDescent="0.25">
      <c r="A553" t="s">
        <v>6039</v>
      </c>
      <c r="B553" t="s">
        <v>1692</v>
      </c>
      <c r="C553" t="s">
        <v>6031</v>
      </c>
      <c r="D553" t="s">
        <v>2544</v>
      </c>
      <c r="E553" t="s">
        <v>6040</v>
      </c>
      <c r="F553" t="s">
        <v>1695</v>
      </c>
      <c r="G553" t="s">
        <v>1695</v>
      </c>
      <c r="J553" t="s">
        <v>80</v>
      </c>
      <c r="K553" t="s">
        <v>110</v>
      </c>
      <c r="L553" t="s">
        <v>111</v>
      </c>
      <c r="M553">
        <v>69500</v>
      </c>
      <c r="P553" t="s">
        <v>134</v>
      </c>
      <c r="Q553" t="s">
        <v>1744</v>
      </c>
      <c r="R553" t="s">
        <v>1550</v>
      </c>
      <c r="S553" t="s">
        <v>774</v>
      </c>
      <c r="T553" t="s">
        <v>1082</v>
      </c>
      <c r="U553" t="s">
        <v>1083</v>
      </c>
      <c r="V553" t="s">
        <v>1084</v>
      </c>
      <c r="W553" t="s">
        <v>302</v>
      </c>
      <c r="X553" t="s">
        <v>1708</v>
      </c>
      <c r="Y553" t="s">
        <v>93</v>
      </c>
      <c r="Z553" t="s">
        <v>182</v>
      </c>
      <c r="AA553" t="s">
        <v>1697</v>
      </c>
      <c r="AB553" t="s">
        <v>119</v>
      </c>
      <c r="AC553" t="s">
        <v>1698</v>
      </c>
      <c r="AD553" t="s">
        <v>182</v>
      </c>
      <c r="AE553" t="s">
        <v>1697</v>
      </c>
      <c r="AF553" t="s">
        <v>119</v>
      </c>
      <c r="AG553" t="s">
        <v>1698</v>
      </c>
      <c r="AI553" t="s">
        <v>6041</v>
      </c>
      <c r="AJ553" t="s">
        <v>182</v>
      </c>
      <c r="AK553" t="s">
        <v>99</v>
      </c>
      <c r="AL553" t="s">
        <v>6042</v>
      </c>
      <c r="AM553" t="s">
        <v>6037</v>
      </c>
      <c r="AN553" t="s">
        <v>2578</v>
      </c>
      <c r="AR553" t="s">
        <v>125</v>
      </c>
      <c r="AT553" t="s">
        <v>6043</v>
      </c>
      <c r="AV553" t="s">
        <v>128</v>
      </c>
      <c r="AZ553" t="s">
        <v>80</v>
      </c>
    </row>
    <row r="554" spans="1:52" hidden="1" x14ac:dyDescent="0.25">
      <c r="A554" t="s">
        <v>6044</v>
      </c>
      <c r="B554" t="s">
        <v>6045</v>
      </c>
      <c r="C554" t="s">
        <v>6031</v>
      </c>
      <c r="D554" t="s">
        <v>2544</v>
      </c>
      <c r="E554" t="s">
        <v>6046</v>
      </c>
      <c r="F554" t="s">
        <v>6047</v>
      </c>
      <c r="G554" t="s">
        <v>6047</v>
      </c>
      <c r="J554" t="s">
        <v>80</v>
      </c>
      <c r="K554" t="s">
        <v>110</v>
      </c>
      <c r="L554" t="s">
        <v>111</v>
      </c>
      <c r="M554">
        <v>66134</v>
      </c>
      <c r="O554" t="s">
        <v>5804</v>
      </c>
      <c r="P554" t="s">
        <v>212</v>
      </c>
      <c r="Q554" t="s">
        <v>731</v>
      </c>
      <c r="R554" t="s">
        <v>732</v>
      </c>
      <c r="S554" t="s">
        <v>733</v>
      </c>
      <c r="T554" t="s">
        <v>618</v>
      </c>
      <c r="U554" t="s">
        <v>5960</v>
      </c>
      <c r="V554" t="s">
        <v>5961</v>
      </c>
      <c r="W554" t="s">
        <v>797</v>
      </c>
      <c r="X554" t="s">
        <v>621</v>
      </c>
      <c r="Y554" t="s">
        <v>93</v>
      </c>
      <c r="Z554" t="s">
        <v>622</v>
      </c>
      <c r="AA554" t="s">
        <v>5962</v>
      </c>
      <c r="AB554" t="s">
        <v>119</v>
      </c>
      <c r="AC554" t="s">
        <v>5963</v>
      </c>
      <c r="AD554" t="s">
        <v>622</v>
      </c>
      <c r="AE554" t="s">
        <v>5962</v>
      </c>
      <c r="AF554" t="s">
        <v>119</v>
      </c>
      <c r="AG554" t="s">
        <v>5963</v>
      </c>
      <c r="AI554" t="s">
        <v>5964</v>
      </c>
      <c r="AJ554" t="s">
        <v>622</v>
      </c>
      <c r="AK554" t="s">
        <v>99</v>
      </c>
      <c r="AL554" t="s">
        <v>6048</v>
      </c>
      <c r="AM554" t="s">
        <v>6037</v>
      </c>
      <c r="AN554" t="s">
        <v>2555</v>
      </c>
      <c r="AR554" t="s">
        <v>125</v>
      </c>
      <c r="AT554" t="s">
        <v>6049</v>
      </c>
      <c r="AV554" t="s">
        <v>190</v>
      </c>
      <c r="AZ554" t="s">
        <v>80</v>
      </c>
    </row>
    <row r="555" spans="1:52" hidden="1" x14ac:dyDescent="0.25">
      <c r="A555" t="s">
        <v>6050</v>
      </c>
      <c r="B555" t="s">
        <v>6051</v>
      </c>
      <c r="C555" t="s">
        <v>6052</v>
      </c>
      <c r="D555" t="s">
        <v>2544</v>
      </c>
      <c r="E555" t="s">
        <v>6053</v>
      </c>
      <c r="F555" t="s">
        <v>6054</v>
      </c>
      <c r="G555" t="s">
        <v>6054</v>
      </c>
      <c r="J555" t="s">
        <v>80</v>
      </c>
      <c r="K555" t="s">
        <v>110</v>
      </c>
      <c r="L555" t="s">
        <v>111</v>
      </c>
      <c r="M555" t="s">
        <v>6055</v>
      </c>
      <c r="O555" t="s">
        <v>6056</v>
      </c>
      <c r="P555" t="s">
        <v>154</v>
      </c>
      <c r="Q555" t="s">
        <v>3469</v>
      </c>
      <c r="R555" t="s">
        <v>2488</v>
      </c>
      <c r="S555" t="s">
        <v>1016</v>
      </c>
      <c r="T555" t="s">
        <v>299</v>
      </c>
      <c r="U555" t="s">
        <v>6057</v>
      </c>
      <c r="V555" t="s">
        <v>6058</v>
      </c>
      <c r="W555" t="s">
        <v>697</v>
      </c>
      <c r="X555" t="s">
        <v>303</v>
      </c>
      <c r="Y555" t="s">
        <v>93</v>
      </c>
      <c r="Z555" t="s">
        <v>304</v>
      </c>
      <c r="AA555" t="s">
        <v>6059</v>
      </c>
      <c r="AB555" t="s">
        <v>119</v>
      </c>
      <c r="AC555" t="s">
        <v>2677</v>
      </c>
      <c r="AD555" t="s">
        <v>304</v>
      </c>
      <c r="AE555" t="s">
        <v>6059</v>
      </c>
      <c r="AF555" t="s">
        <v>119</v>
      </c>
      <c r="AG555" t="s">
        <v>2677</v>
      </c>
      <c r="AI555" t="s">
        <v>3516</v>
      </c>
      <c r="AJ555" t="s">
        <v>304</v>
      </c>
      <c r="AK555" t="s">
        <v>99</v>
      </c>
      <c r="AL555" t="s">
        <v>6060</v>
      </c>
      <c r="AM555" t="s">
        <v>6061</v>
      </c>
      <c r="AN555" t="s">
        <v>2555</v>
      </c>
      <c r="AR555" t="s">
        <v>125</v>
      </c>
      <c r="AT555" t="s">
        <v>6062</v>
      </c>
      <c r="AV555" t="s">
        <v>190</v>
      </c>
      <c r="AZ555" t="s">
        <v>80</v>
      </c>
    </row>
    <row r="556" spans="1:52" hidden="1" x14ac:dyDescent="0.25">
      <c r="A556" t="s">
        <v>6063</v>
      </c>
      <c r="B556" t="s">
        <v>6064</v>
      </c>
      <c r="C556" t="s">
        <v>6052</v>
      </c>
      <c r="D556" t="s">
        <v>2544</v>
      </c>
      <c r="E556" t="s">
        <v>6065</v>
      </c>
      <c r="F556" t="s">
        <v>6066</v>
      </c>
      <c r="G556" t="s">
        <v>6066</v>
      </c>
      <c r="J556" t="s">
        <v>80</v>
      </c>
      <c r="K556" t="s">
        <v>110</v>
      </c>
      <c r="L556" t="s">
        <v>111</v>
      </c>
      <c r="M556" t="s">
        <v>6067</v>
      </c>
      <c r="O556" t="s">
        <v>6056</v>
      </c>
      <c r="P556" t="s">
        <v>154</v>
      </c>
      <c r="Q556" t="s">
        <v>539</v>
      </c>
      <c r="R556" t="s">
        <v>540</v>
      </c>
      <c r="S556" t="s">
        <v>541</v>
      </c>
      <c r="T556" t="s">
        <v>6068</v>
      </c>
      <c r="U556" t="s">
        <v>6069</v>
      </c>
      <c r="V556" t="s">
        <v>1801</v>
      </c>
      <c r="W556" t="s">
        <v>797</v>
      </c>
      <c r="X556" t="s">
        <v>6070</v>
      </c>
      <c r="Y556" t="s">
        <v>93</v>
      </c>
      <c r="Z556" t="s">
        <v>5170</v>
      </c>
      <c r="AA556" t="s">
        <v>2726</v>
      </c>
      <c r="AB556" t="s">
        <v>119</v>
      </c>
      <c r="AC556" t="s">
        <v>2677</v>
      </c>
      <c r="AD556" t="s">
        <v>5170</v>
      </c>
      <c r="AE556" t="s">
        <v>2726</v>
      </c>
      <c r="AF556" t="s">
        <v>119</v>
      </c>
      <c r="AG556" t="s">
        <v>2677</v>
      </c>
      <c r="AI556" t="s">
        <v>3516</v>
      </c>
      <c r="AJ556" t="s">
        <v>5170</v>
      </c>
      <c r="AK556" t="s">
        <v>99</v>
      </c>
      <c r="AL556" t="s">
        <v>6071</v>
      </c>
      <c r="AM556" t="s">
        <v>6072</v>
      </c>
      <c r="AN556" t="s">
        <v>2555</v>
      </c>
      <c r="AR556" t="s">
        <v>125</v>
      </c>
      <c r="AT556" t="s">
        <v>6073</v>
      </c>
      <c r="AV556" t="s">
        <v>190</v>
      </c>
      <c r="AZ556" t="s">
        <v>80</v>
      </c>
    </row>
    <row r="557" spans="1:52" hidden="1" x14ac:dyDescent="0.25">
      <c r="A557" t="s">
        <v>6074</v>
      </c>
      <c r="B557" t="s">
        <v>6075</v>
      </c>
      <c r="C557" t="s">
        <v>6076</v>
      </c>
      <c r="D557" t="s">
        <v>2544</v>
      </c>
      <c r="E557" t="s">
        <v>6077</v>
      </c>
      <c r="F557" t="s">
        <v>6078</v>
      </c>
      <c r="G557" t="s">
        <v>6078</v>
      </c>
      <c r="J557" t="s">
        <v>80</v>
      </c>
      <c r="K557" t="s">
        <v>110</v>
      </c>
      <c r="L557" t="s">
        <v>111</v>
      </c>
      <c r="M557" t="s">
        <v>6079</v>
      </c>
      <c r="P557" t="s">
        <v>134</v>
      </c>
      <c r="Q557" t="s">
        <v>2687</v>
      </c>
      <c r="R557" t="s">
        <v>1441</v>
      </c>
      <c r="S557" t="s">
        <v>748</v>
      </c>
      <c r="T557" t="s">
        <v>6080</v>
      </c>
      <c r="U557" t="s">
        <v>6081</v>
      </c>
      <c r="V557" t="s">
        <v>1449</v>
      </c>
      <c r="W557" t="s">
        <v>697</v>
      </c>
      <c r="X557" t="s">
        <v>6082</v>
      </c>
      <c r="Y557" t="s">
        <v>93</v>
      </c>
      <c r="Z557" t="s">
        <v>375</v>
      </c>
      <c r="AA557" t="s">
        <v>6083</v>
      </c>
      <c r="AB557" t="s">
        <v>119</v>
      </c>
      <c r="AC557" t="s">
        <v>6084</v>
      </c>
      <c r="AD557" t="s">
        <v>375</v>
      </c>
      <c r="AE557" t="s">
        <v>6083</v>
      </c>
      <c r="AF557" t="s">
        <v>119</v>
      </c>
      <c r="AG557" t="s">
        <v>6084</v>
      </c>
      <c r="AI557" t="s">
        <v>6085</v>
      </c>
      <c r="AJ557" t="s">
        <v>375</v>
      </c>
      <c r="AK557" t="s">
        <v>99</v>
      </c>
      <c r="AL557" t="s">
        <v>6086</v>
      </c>
      <c r="AM557" t="s">
        <v>6087</v>
      </c>
      <c r="AN557" t="s">
        <v>2555</v>
      </c>
      <c r="AR557" t="s">
        <v>125</v>
      </c>
      <c r="AT557" t="s">
        <v>6088</v>
      </c>
      <c r="AV557" t="s">
        <v>128</v>
      </c>
      <c r="AZ557" t="s">
        <v>80</v>
      </c>
    </row>
    <row r="558" spans="1:52" hidden="1" x14ac:dyDescent="0.25">
      <c r="A558" t="s">
        <v>6089</v>
      </c>
      <c r="B558" t="s">
        <v>6090</v>
      </c>
      <c r="C558" t="s">
        <v>6091</v>
      </c>
      <c r="D558" t="s">
        <v>2544</v>
      </c>
      <c r="E558" t="s">
        <v>6092</v>
      </c>
      <c r="F558" t="s">
        <v>6093</v>
      </c>
      <c r="G558" t="s">
        <v>6093</v>
      </c>
      <c r="J558" t="s">
        <v>80</v>
      </c>
      <c r="K558" t="s">
        <v>110</v>
      </c>
      <c r="L558" t="s">
        <v>111</v>
      </c>
      <c r="M558" t="s">
        <v>6094</v>
      </c>
      <c r="P558" t="s">
        <v>154</v>
      </c>
      <c r="Q558" t="s">
        <v>3469</v>
      </c>
      <c r="R558" t="s">
        <v>2488</v>
      </c>
      <c r="S558" t="s">
        <v>1016</v>
      </c>
      <c r="T558" t="s">
        <v>2968</v>
      </c>
      <c r="U558" t="s">
        <v>1364</v>
      </c>
      <c r="V558" t="s">
        <v>826</v>
      </c>
      <c r="W558" t="s">
        <v>697</v>
      </c>
      <c r="X558" t="s">
        <v>6095</v>
      </c>
      <c r="Y558" t="s">
        <v>93</v>
      </c>
      <c r="Z558" t="s">
        <v>119</v>
      </c>
      <c r="AA558" t="s">
        <v>6096</v>
      </c>
      <c r="AB558" t="s">
        <v>304</v>
      </c>
      <c r="AC558" t="s">
        <v>6097</v>
      </c>
      <c r="AD558" t="s">
        <v>119</v>
      </c>
      <c r="AE558" t="s">
        <v>6096</v>
      </c>
      <c r="AF558" t="s">
        <v>304</v>
      </c>
      <c r="AG558" t="s">
        <v>6097</v>
      </c>
      <c r="AI558" t="s">
        <v>6098</v>
      </c>
      <c r="AJ558" t="s">
        <v>119</v>
      </c>
      <c r="AK558" t="s">
        <v>99</v>
      </c>
      <c r="AL558" t="s">
        <v>6099</v>
      </c>
      <c r="AM558" t="s">
        <v>6100</v>
      </c>
      <c r="AN558" t="s">
        <v>2555</v>
      </c>
      <c r="AR558" t="s">
        <v>125</v>
      </c>
      <c r="AT558" t="s">
        <v>6101</v>
      </c>
      <c r="AV558" t="s">
        <v>128</v>
      </c>
      <c r="AZ558" t="s">
        <v>80</v>
      </c>
    </row>
    <row r="559" spans="1:52" hidden="1" x14ac:dyDescent="0.25">
      <c r="A559" t="s">
        <v>6102</v>
      </c>
      <c r="B559" t="s">
        <v>6103</v>
      </c>
      <c r="C559" t="s">
        <v>6104</v>
      </c>
      <c r="D559" t="s">
        <v>2544</v>
      </c>
      <c r="E559" t="s">
        <v>6105</v>
      </c>
      <c r="F559" t="s">
        <v>6106</v>
      </c>
      <c r="G559" t="s">
        <v>6106</v>
      </c>
      <c r="J559" t="s">
        <v>80</v>
      </c>
      <c r="K559" t="s">
        <v>110</v>
      </c>
      <c r="L559" t="s">
        <v>111</v>
      </c>
      <c r="M559" t="s">
        <v>6107</v>
      </c>
      <c r="P559" t="s">
        <v>154</v>
      </c>
      <c r="Q559" t="s">
        <v>3469</v>
      </c>
      <c r="R559" t="s">
        <v>2488</v>
      </c>
      <c r="S559" t="s">
        <v>1016</v>
      </c>
      <c r="T559" t="s">
        <v>320</v>
      </c>
      <c r="U559" t="s">
        <v>1566</v>
      </c>
      <c r="V559" t="s">
        <v>6108</v>
      </c>
      <c r="W559" t="s">
        <v>347</v>
      </c>
      <c r="X559" t="s">
        <v>6109</v>
      </c>
      <c r="Y559" t="s">
        <v>93</v>
      </c>
      <c r="Z559" t="s">
        <v>249</v>
      </c>
      <c r="AA559" t="s">
        <v>6110</v>
      </c>
      <c r="AB559" t="s">
        <v>304</v>
      </c>
      <c r="AC559" t="s">
        <v>6097</v>
      </c>
      <c r="AD559" t="s">
        <v>249</v>
      </c>
      <c r="AE559" t="s">
        <v>6110</v>
      </c>
      <c r="AF559" t="s">
        <v>304</v>
      </c>
      <c r="AG559" t="s">
        <v>6097</v>
      </c>
      <c r="AI559" t="s">
        <v>6111</v>
      </c>
      <c r="AJ559" t="s">
        <v>249</v>
      </c>
      <c r="AK559" t="s">
        <v>99</v>
      </c>
      <c r="AL559" t="s">
        <v>6112</v>
      </c>
      <c r="AM559" t="s">
        <v>6113</v>
      </c>
      <c r="AN559" t="s">
        <v>2555</v>
      </c>
      <c r="AR559" t="s">
        <v>125</v>
      </c>
      <c r="AT559" t="s">
        <v>6114</v>
      </c>
      <c r="AV559" t="s">
        <v>128</v>
      </c>
      <c r="AZ559" t="s">
        <v>80</v>
      </c>
    </row>
    <row r="560" spans="1:52" hidden="1" x14ac:dyDescent="0.25">
      <c r="A560" t="s">
        <v>6115</v>
      </c>
      <c r="B560" t="s">
        <v>6103</v>
      </c>
      <c r="C560" t="s">
        <v>6104</v>
      </c>
      <c r="D560" t="s">
        <v>2544</v>
      </c>
      <c r="E560" t="s">
        <v>6116</v>
      </c>
      <c r="F560" t="s">
        <v>6106</v>
      </c>
      <c r="G560" t="s">
        <v>6106</v>
      </c>
      <c r="J560" t="s">
        <v>80</v>
      </c>
      <c r="K560" t="s">
        <v>110</v>
      </c>
      <c r="L560" t="s">
        <v>111</v>
      </c>
      <c r="M560" t="s">
        <v>6107</v>
      </c>
      <c r="P560" t="s">
        <v>154</v>
      </c>
      <c r="Q560" t="s">
        <v>3469</v>
      </c>
      <c r="R560" t="s">
        <v>2488</v>
      </c>
      <c r="S560" t="s">
        <v>1016</v>
      </c>
      <c r="T560" t="s">
        <v>320</v>
      </c>
      <c r="U560" t="s">
        <v>1566</v>
      </c>
      <c r="V560" t="s">
        <v>6108</v>
      </c>
      <c r="W560" t="s">
        <v>359</v>
      </c>
      <c r="X560" t="s">
        <v>6117</v>
      </c>
      <c r="Y560" t="s">
        <v>93</v>
      </c>
      <c r="Z560" t="s">
        <v>249</v>
      </c>
      <c r="AA560" t="s">
        <v>6110</v>
      </c>
      <c r="AB560" t="s">
        <v>304</v>
      </c>
      <c r="AC560" t="s">
        <v>6097</v>
      </c>
      <c r="AD560" t="s">
        <v>249</v>
      </c>
      <c r="AE560" t="s">
        <v>6110</v>
      </c>
      <c r="AF560" t="s">
        <v>304</v>
      </c>
      <c r="AG560" t="s">
        <v>6097</v>
      </c>
      <c r="AI560" t="s">
        <v>570</v>
      </c>
      <c r="AJ560" t="s">
        <v>249</v>
      </c>
      <c r="AK560" t="s">
        <v>99</v>
      </c>
      <c r="AL560" t="s">
        <v>6118</v>
      </c>
      <c r="AM560" t="s">
        <v>6113</v>
      </c>
      <c r="AN560" t="s">
        <v>2555</v>
      </c>
      <c r="AR560" t="s">
        <v>125</v>
      </c>
      <c r="AT560" t="s">
        <v>6119</v>
      </c>
      <c r="AV560" t="s">
        <v>128</v>
      </c>
      <c r="AZ560" t="s">
        <v>80</v>
      </c>
    </row>
    <row r="561" spans="1:52" hidden="1" x14ac:dyDescent="0.25">
      <c r="A561" t="s">
        <v>6120</v>
      </c>
      <c r="B561" t="s">
        <v>6121</v>
      </c>
      <c r="C561" t="s">
        <v>6122</v>
      </c>
      <c r="D561" t="s">
        <v>2544</v>
      </c>
      <c r="E561" t="s">
        <v>6123</v>
      </c>
      <c r="F561" t="s">
        <v>6124</v>
      </c>
      <c r="G561" t="s">
        <v>6124</v>
      </c>
      <c r="J561" t="s">
        <v>80</v>
      </c>
      <c r="K561" t="s">
        <v>110</v>
      </c>
      <c r="L561" t="s">
        <v>111</v>
      </c>
      <c r="M561">
        <v>69795</v>
      </c>
      <c r="P561" t="s">
        <v>154</v>
      </c>
      <c r="Q561" t="s">
        <v>155</v>
      </c>
      <c r="R561" t="s">
        <v>156</v>
      </c>
      <c r="S561" t="s">
        <v>157</v>
      </c>
      <c r="T561" t="s">
        <v>244</v>
      </c>
      <c r="U561" t="s">
        <v>345</v>
      </c>
      <c r="V561" t="s">
        <v>346</v>
      </c>
      <c r="W561" t="s">
        <v>425</v>
      </c>
      <c r="X561" t="s">
        <v>6125</v>
      </c>
      <c r="Y561" t="s">
        <v>93</v>
      </c>
      <c r="Z561" t="s">
        <v>249</v>
      </c>
      <c r="AA561" t="s">
        <v>6126</v>
      </c>
      <c r="AB561" t="s">
        <v>119</v>
      </c>
      <c r="AC561" t="s">
        <v>6127</v>
      </c>
      <c r="AD561" t="s">
        <v>249</v>
      </c>
      <c r="AE561" t="s">
        <v>6126</v>
      </c>
      <c r="AF561" t="s">
        <v>119</v>
      </c>
      <c r="AG561" t="s">
        <v>6127</v>
      </c>
      <c r="AI561" t="s">
        <v>6128</v>
      </c>
      <c r="AJ561" t="s">
        <v>249</v>
      </c>
      <c r="AK561" t="s">
        <v>99</v>
      </c>
      <c r="AL561" t="s">
        <v>6129</v>
      </c>
      <c r="AM561" t="s">
        <v>6113</v>
      </c>
      <c r="AN561" t="s">
        <v>2578</v>
      </c>
      <c r="AR561" t="s">
        <v>125</v>
      </c>
      <c r="AT561" t="s">
        <v>6130</v>
      </c>
      <c r="AV561" t="s">
        <v>128</v>
      </c>
      <c r="AZ561" t="s">
        <v>80</v>
      </c>
    </row>
    <row r="562" spans="1:52" hidden="1" x14ac:dyDescent="0.25">
      <c r="A562" t="s">
        <v>6131</v>
      </c>
      <c r="B562" t="s">
        <v>6121</v>
      </c>
      <c r="C562" t="s">
        <v>6122</v>
      </c>
      <c r="D562" t="s">
        <v>2544</v>
      </c>
      <c r="E562" t="s">
        <v>6132</v>
      </c>
      <c r="F562" t="s">
        <v>6124</v>
      </c>
      <c r="G562" t="s">
        <v>6124</v>
      </c>
      <c r="J562" t="s">
        <v>80</v>
      </c>
      <c r="K562" t="s">
        <v>110</v>
      </c>
      <c r="L562" t="s">
        <v>111</v>
      </c>
      <c r="M562">
        <v>69795</v>
      </c>
      <c r="P562" t="s">
        <v>154</v>
      </c>
      <c r="Q562" t="s">
        <v>155</v>
      </c>
      <c r="R562" t="s">
        <v>156</v>
      </c>
      <c r="S562" t="s">
        <v>157</v>
      </c>
      <c r="T562" t="s">
        <v>244</v>
      </c>
      <c r="U562" t="s">
        <v>345</v>
      </c>
      <c r="V562" t="s">
        <v>346</v>
      </c>
      <c r="W562" t="s">
        <v>439</v>
      </c>
      <c r="X562" t="s">
        <v>6133</v>
      </c>
      <c r="Y562" t="s">
        <v>93</v>
      </c>
      <c r="Z562" t="s">
        <v>249</v>
      </c>
      <c r="AA562" t="s">
        <v>6126</v>
      </c>
      <c r="AB562" t="s">
        <v>119</v>
      </c>
      <c r="AC562" t="s">
        <v>6127</v>
      </c>
      <c r="AD562" t="s">
        <v>249</v>
      </c>
      <c r="AE562" t="s">
        <v>6126</v>
      </c>
      <c r="AF562" t="s">
        <v>119</v>
      </c>
      <c r="AG562" t="s">
        <v>6127</v>
      </c>
      <c r="AI562" t="s">
        <v>6134</v>
      </c>
      <c r="AJ562" t="s">
        <v>249</v>
      </c>
      <c r="AK562" t="s">
        <v>99</v>
      </c>
      <c r="AL562" t="s">
        <v>6135</v>
      </c>
      <c r="AM562" t="s">
        <v>6113</v>
      </c>
      <c r="AN562" t="s">
        <v>2578</v>
      </c>
      <c r="AR562" t="s">
        <v>125</v>
      </c>
      <c r="AT562" t="s">
        <v>6136</v>
      </c>
      <c r="AV562" t="s">
        <v>128</v>
      </c>
      <c r="AZ562" t="s">
        <v>80</v>
      </c>
    </row>
    <row r="563" spans="1:52" hidden="1" x14ac:dyDescent="0.25">
      <c r="A563" t="s">
        <v>6137</v>
      </c>
      <c r="B563" t="s">
        <v>6138</v>
      </c>
      <c r="C563" t="s">
        <v>6139</v>
      </c>
      <c r="D563" t="s">
        <v>2544</v>
      </c>
      <c r="E563" t="s">
        <v>6140</v>
      </c>
      <c r="F563" t="s">
        <v>6141</v>
      </c>
      <c r="G563" t="s">
        <v>6141</v>
      </c>
      <c r="J563" t="s">
        <v>80</v>
      </c>
      <c r="K563" t="s">
        <v>110</v>
      </c>
      <c r="L563" t="s">
        <v>111</v>
      </c>
      <c r="M563">
        <v>69793</v>
      </c>
      <c r="P563" t="s">
        <v>154</v>
      </c>
      <c r="Q563" t="s">
        <v>155</v>
      </c>
      <c r="R563" t="s">
        <v>156</v>
      </c>
      <c r="S563" t="s">
        <v>157</v>
      </c>
      <c r="T563" t="s">
        <v>244</v>
      </c>
      <c r="U563" t="s">
        <v>345</v>
      </c>
      <c r="V563" t="s">
        <v>346</v>
      </c>
      <c r="W563" t="s">
        <v>347</v>
      </c>
      <c r="X563" t="s">
        <v>348</v>
      </c>
      <c r="Y563" t="s">
        <v>93</v>
      </c>
      <c r="Z563" t="s">
        <v>249</v>
      </c>
      <c r="AA563" t="s">
        <v>6142</v>
      </c>
      <c r="AB563" t="s">
        <v>119</v>
      </c>
      <c r="AC563" t="s">
        <v>6143</v>
      </c>
      <c r="AD563" t="s">
        <v>249</v>
      </c>
      <c r="AE563" t="s">
        <v>6142</v>
      </c>
      <c r="AF563" t="s">
        <v>119</v>
      </c>
      <c r="AG563" t="s">
        <v>6143</v>
      </c>
      <c r="AI563" t="s">
        <v>6144</v>
      </c>
      <c r="AJ563" t="s">
        <v>249</v>
      </c>
      <c r="AK563" t="s">
        <v>99</v>
      </c>
      <c r="AL563" t="s">
        <v>6145</v>
      </c>
      <c r="AM563" t="s">
        <v>6146</v>
      </c>
      <c r="AN563" t="s">
        <v>2578</v>
      </c>
      <c r="AR563" t="s">
        <v>125</v>
      </c>
      <c r="AT563" t="s">
        <v>6147</v>
      </c>
      <c r="AV563" t="s">
        <v>128</v>
      </c>
      <c r="AZ563" t="s">
        <v>80</v>
      </c>
    </row>
    <row r="564" spans="1:52" hidden="1" x14ac:dyDescent="0.25">
      <c r="A564" t="s">
        <v>6148</v>
      </c>
      <c r="B564" t="s">
        <v>6138</v>
      </c>
      <c r="C564" t="s">
        <v>6139</v>
      </c>
      <c r="D564" t="s">
        <v>2544</v>
      </c>
      <c r="E564" t="s">
        <v>6149</v>
      </c>
      <c r="F564" t="s">
        <v>6141</v>
      </c>
      <c r="G564" t="s">
        <v>6141</v>
      </c>
      <c r="J564" t="s">
        <v>80</v>
      </c>
      <c r="K564" t="s">
        <v>110</v>
      </c>
      <c r="L564" t="s">
        <v>111</v>
      </c>
      <c r="M564">
        <v>69793</v>
      </c>
      <c r="P564" t="s">
        <v>154</v>
      </c>
      <c r="Q564" t="s">
        <v>155</v>
      </c>
      <c r="R564" t="s">
        <v>156</v>
      </c>
      <c r="S564" t="s">
        <v>157</v>
      </c>
      <c r="T564" t="s">
        <v>244</v>
      </c>
      <c r="U564" t="s">
        <v>345</v>
      </c>
      <c r="V564" t="s">
        <v>346</v>
      </c>
      <c r="W564" t="s">
        <v>359</v>
      </c>
      <c r="X564" t="s">
        <v>360</v>
      </c>
      <c r="Y564" t="s">
        <v>93</v>
      </c>
      <c r="Z564" t="s">
        <v>249</v>
      </c>
      <c r="AA564" t="s">
        <v>6142</v>
      </c>
      <c r="AB564" t="s">
        <v>119</v>
      </c>
      <c r="AC564" t="s">
        <v>6143</v>
      </c>
      <c r="AD564" t="s">
        <v>249</v>
      </c>
      <c r="AE564" t="s">
        <v>6142</v>
      </c>
      <c r="AF564" t="s">
        <v>119</v>
      </c>
      <c r="AG564" t="s">
        <v>6143</v>
      </c>
      <c r="AI564" t="s">
        <v>6150</v>
      </c>
      <c r="AJ564" t="s">
        <v>249</v>
      </c>
      <c r="AK564" t="s">
        <v>99</v>
      </c>
      <c r="AL564" t="s">
        <v>6151</v>
      </c>
      <c r="AM564" t="s">
        <v>6152</v>
      </c>
      <c r="AN564" t="s">
        <v>2578</v>
      </c>
      <c r="AR564" t="s">
        <v>125</v>
      </c>
      <c r="AT564" t="s">
        <v>6153</v>
      </c>
      <c r="AV564" t="s">
        <v>128</v>
      </c>
      <c r="AZ564" t="s">
        <v>80</v>
      </c>
    </row>
    <row r="565" spans="1:52" hidden="1" x14ac:dyDescent="0.25">
      <c r="A565" t="s">
        <v>6154</v>
      </c>
      <c r="B565" t="s">
        <v>2963</v>
      </c>
      <c r="C565" t="s">
        <v>6155</v>
      </c>
      <c r="D565" t="s">
        <v>2544</v>
      </c>
      <c r="E565" t="s">
        <v>6156</v>
      </c>
      <c r="F565" t="s">
        <v>2966</v>
      </c>
      <c r="G565" t="s">
        <v>2966</v>
      </c>
      <c r="J565" t="s">
        <v>80</v>
      </c>
      <c r="K565" t="s">
        <v>110</v>
      </c>
      <c r="L565" t="s">
        <v>111</v>
      </c>
      <c r="M565" t="s">
        <v>2967</v>
      </c>
      <c r="P565" t="s">
        <v>154</v>
      </c>
      <c r="Q565" t="s">
        <v>539</v>
      </c>
      <c r="R565" t="s">
        <v>540</v>
      </c>
      <c r="S565" t="s">
        <v>541</v>
      </c>
      <c r="T565" t="s">
        <v>2968</v>
      </c>
      <c r="U565" t="s">
        <v>947</v>
      </c>
      <c r="V565" t="s">
        <v>2956</v>
      </c>
      <c r="W565" t="s">
        <v>6157</v>
      </c>
      <c r="X565" t="s">
        <v>6158</v>
      </c>
      <c r="Y565" t="s">
        <v>93</v>
      </c>
      <c r="Z565" t="s">
        <v>119</v>
      </c>
      <c r="AA565" t="s">
        <v>2971</v>
      </c>
      <c r="AB565" t="s">
        <v>304</v>
      </c>
      <c r="AC565" t="s">
        <v>2972</v>
      </c>
      <c r="AD565" t="s">
        <v>119</v>
      </c>
      <c r="AE565" t="s">
        <v>2971</v>
      </c>
      <c r="AF565" t="s">
        <v>304</v>
      </c>
      <c r="AG565" t="s">
        <v>2972</v>
      </c>
      <c r="AI565" t="s">
        <v>6159</v>
      </c>
      <c r="AJ565" t="s">
        <v>119</v>
      </c>
      <c r="AK565" t="s">
        <v>99</v>
      </c>
      <c r="AL565" t="s">
        <v>6160</v>
      </c>
      <c r="AM565" t="s">
        <v>2975</v>
      </c>
      <c r="AN565" t="s">
        <v>2555</v>
      </c>
      <c r="AR565" t="s">
        <v>125</v>
      </c>
      <c r="AT565" t="s">
        <v>6161</v>
      </c>
      <c r="AV565" t="s">
        <v>128</v>
      </c>
      <c r="AZ565" t="s">
        <v>80</v>
      </c>
    </row>
    <row r="566" spans="1:52" hidden="1" x14ac:dyDescent="0.25">
      <c r="A566" t="s">
        <v>6162</v>
      </c>
      <c r="B566" t="s">
        <v>6163</v>
      </c>
      <c r="C566" t="s">
        <v>6164</v>
      </c>
      <c r="D566" t="s">
        <v>2544</v>
      </c>
      <c r="E566" t="s">
        <v>6165</v>
      </c>
      <c r="F566" t="s">
        <v>6166</v>
      </c>
      <c r="G566" t="s">
        <v>6166</v>
      </c>
      <c r="J566" t="s">
        <v>80</v>
      </c>
      <c r="K566" t="s">
        <v>110</v>
      </c>
      <c r="L566" t="s">
        <v>111</v>
      </c>
      <c r="M566">
        <v>69789</v>
      </c>
      <c r="P566" t="s">
        <v>154</v>
      </c>
      <c r="Q566" t="s">
        <v>155</v>
      </c>
      <c r="R566" t="s">
        <v>156</v>
      </c>
      <c r="S566" t="s">
        <v>157</v>
      </c>
      <c r="T566" t="s">
        <v>244</v>
      </c>
      <c r="U566" t="s">
        <v>345</v>
      </c>
      <c r="V566" t="s">
        <v>346</v>
      </c>
      <c r="W566" t="s">
        <v>425</v>
      </c>
      <c r="X566" t="s">
        <v>6125</v>
      </c>
      <c r="Y566" t="s">
        <v>93</v>
      </c>
      <c r="Z566" t="s">
        <v>249</v>
      </c>
      <c r="AA566" t="s">
        <v>1606</v>
      </c>
      <c r="AB566" t="s">
        <v>119</v>
      </c>
      <c r="AC566" t="s">
        <v>3083</v>
      </c>
      <c r="AD566" t="s">
        <v>249</v>
      </c>
      <c r="AE566" t="s">
        <v>1606</v>
      </c>
      <c r="AF566" t="s">
        <v>119</v>
      </c>
      <c r="AG566" t="s">
        <v>3083</v>
      </c>
      <c r="AI566" t="s">
        <v>6167</v>
      </c>
      <c r="AJ566" t="s">
        <v>249</v>
      </c>
      <c r="AK566" t="s">
        <v>99</v>
      </c>
      <c r="AL566" t="s">
        <v>6168</v>
      </c>
      <c r="AM566" t="s">
        <v>6169</v>
      </c>
      <c r="AN566" t="s">
        <v>2578</v>
      </c>
      <c r="AR566" t="s">
        <v>125</v>
      </c>
      <c r="AT566" t="s">
        <v>6170</v>
      </c>
      <c r="AV566" t="s">
        <v>128</v>
      </c>
      <c r="AZ566" t="s">
        <v>80</v>
      </c>
    </row>
    <row r="567" spans="1:52" hidden="1" x14ac:dyDescent="0.25">
      <c r="A567" t="s">
        <v>6171</v>
      </c>
      <c r="B567" t="s">
        <v>6163</v>
      </c>
      <c r="C567" t="s">
        <v>6164</v>
      </c>
      <c r="D567" t="s">
        <v>2544</v>
      </c>
      <c r="E567" t="s">
        <v>6172</v>
      </c>
      <c r="F567" t="s">
        <v>6166</v>
      </c>
      <c r="G567" t="s">
        <v>6166</v>
      </c>
      <c r="J567" t="s">
        <v>80</v>
      </c>
      <c r="K567" t="s">
        <v>110</v>
      </c>
      <c r="L567" t="s">
        <v>111</v>
      </c>
      <c r="M567">
        <v>69789</v>
      </c>
      <c r="P567" t="s">
        <v>154</v>
      </c>
      <c r="Q567" t="s">
        <v>155</v>
      </c>
      <c r="R567" t="s">
        <v>156</v>
      </c>
      <c r="S567" t="s">
        <v>157</v>
      </c>
      <c r="T567" t="s">
        <v>244</v>
      </c>
      <c r="U567" t="s">
        <v>345</v>
      </c>
      <c r="V567" t="s">
        <v>346</v>
      </c>
      <c r="W567" t="s">
        <v>439</v>
      </c>
      <c r="X567" t="s">
        <v>6133</v>
      </c>
      <c r="Y567" t="s">
        <v>93</v>
      </c>
      <c r="Z567" t="s">
        <v>249</v>
      </c>
      <c r="AA567" t="s">
        <v>1606</v>
      </c>
      <c r="AB567" t="s">
        <v>119</v>
      </c>
      <c r="AC567" t="s">
        <v>3083</v>
      </c>
      <c r="AD567" t="s">
        <v>249</v>
      </c>
      <c r="AE567" t="s">
        <v>1606</v>
      </c>
      <c r="AF567" t="s">
        <v>119</v>
      </c>
      <c r="AG567" t="s">
        <v>3083</v>
      </c>
      <c r="AI567" t="s">
        <v>6173</v>
      </c>
      <c r="AJ567" t="s">
        <v>249</v>
      </c>
      <c r="AK567" t="s">
        <v>99</v>
      </c>
      <c r="AL567" t="s">
        <v>6174</v>
      </c>
      <c r="AM567" t="s">
        <v>6169</v>
      </c>
      <c r="AN567" t="s">
        <v>2578</v>
      </c>
      <c r="AR567" t="s">
        <v>125</v>
      </c>
      <c r="AT567" t="s">
        <v>6175</v>
      </c>
      <c r="AV567" t="s">
        <v>128</v>
      </c>
      <c r="AZ567" t="s">
        <v>80</v>
      </c>
    </row>
    <row r="568" spans="1:52" hidden="1" x14ac:dyDescent="0.25">
      <c r="A568" t="s">
        <v>6176</v>
      </c>
      <c r="B568" t="s">
        <v>6177</v>
      </c>
      <c r="C568" t="s">
        <v>6178</v>
      </c>
      <c r="D568" t="s">
        <v>2544</v>
      </c>
      <c r="E568" t="s">
        <v>6179</v>
      </c>
      <c r="F568" t="s">
        <v>6180</v>
      </c>
      <c r="G568" t="s">
        <v>6180</v>
      </c>
      <c r="J568" t="s">
        <v>80</v>
      </c>
      <c r="K568" t="s">
        <v>110</v>
      </c>
      <c r="L568" t="s">
        <v>111</v>
      </c>
      <c r="M568" t="s">
        <v>6181</v>
      </c>
      <c r="P568" t="s">
        <v>154</v>
      </c>
      <c r="Q568" t="s">
        <v>155</v>
      </c>
      <c r="R568" t="s">
        <v>156</v>
      </c>
      <c r="S568" t="s">
        <v>157</v>
      </c>
      <c r="T568" t="s">
        <v>6182</v>
      </c>
      <c r="U568" t="s">
        <v>4923</v>
      </c>
      <c r="V568" t="s">
        <v>1655</v>
      </c>
      <c r="W568" t="s">
        <v>347</v>
      </c>
      <c r="X568" t="s">
        <v>6183</v>
      </c>
      <c r="Y568" t="s">
        <v>93</v>
      </c>
      <c r="Z568" t="s">
        <v>249</v>
      </c>
      <c r="AA568" t="s">
        <v>6184</v>
      </c>
      <c r="AB568" t="s">
        <v>5170</v>
      </c>
      <c r="AC568" t="s">
        <v>6185</v>
      </c>
      <c r="AD568" t="s">
        <v>249</v>
      </c>
      <c r="AE568" t="s">
        <v>6184</v>
      </c>
      <c r="AF568" t="s">
        <v>5170</v>
      </c>
      <c r="AG568" t="s">
        <v>6185</v>
      </c>
      <c r="AI568" t="s">
        <v>6186</v>
      </c>
      <c r="AJ568" t="s">
        <v>249</v>
      </c>
      <c r="AK568" t="s">
        <v>99</v>
      </c>
      <c r="AL568" t="s">
        <v>6187</v>
      </c>
      <c r="AM568" t="s">
        <v>6188</v>
      </c>
      <c r="AN568" t="s">
        <v>2555</v>
      </c>
      <c r="AR568" t="s">
        <v>125</v>
      </c>
      <c r="AT568" t="s">
        <v>6189</v>
      </c>
      <c r="AV568" t="s">
        <v>128</v>
      </c>
      <c r="AZ568" t="s">
        <v>80</v>
      </c>
    </row>
    <row r="569" spans="1:52" hidden="1" x14ac:dyDescent="0.25">
      <c r="A569" t="s">
        <v>6190</v>
      </c>
      <c r="B569" t="s">
        <v>6177</v>
      </c>
      <c r="C569" t="s">
        <v>6178</v>
      </c>
      <c r="D569" t="s">
        <v>2544</v>
      </c>
      <c r="E569" t="s">
        <v>6191</v>
      </c>
      <c r="F569" t="s">
        <v>6180</v>
      </c>
      <c r="G569" t="s">
        <v>6180</v>
      </c>
      <c r="J569" t="s">
        <v>80</v>
      </c>
      <c r="K569" t="s">
        <v>110</v>
      </c>
      <c r="L569" t="s">
        <v>111</v>
      </c>
      <c r="M569" t="s">
        <v>6181</v>
      </c>
      <c r="P569" t="s">
        <v>154</v>
      </c>
      <c r="Q569" t="s">
        <v>155</v>
      </c>
      <c r="R569" t="s">
        <v>156</v>
      </c>
      <c r="S569" t="s">
        <v>157</v>
      </c>
      <c r="T569" t="s">
        <v>6182</v>
      </c>
      <c r="U569" t="s">
        <v>4923</v>
      </c>
      <c r="V569" t="s">
        <v>1655</v>
      </c>
      <c r="W569" t="s">
        <v>359</v>
      </c>
      <c r="X569" t="s">
        <v>6192</v>
      </c>
      <c r="Y569" t="s">
        <v>93</v>
      </c>
      <c r="Z569" t="s">
        <v>249</v>
      </c>
      <c r="AA569" t="s">
        <v>6184</v>
      </c>
      <c r="AB569" t="s">
        <v>5170</v>
      </c>
      <c r="AC569" t="s">
        <v>6185</v>
      </c>
      <c r="AD569" t="s">
        <v>249</v>
      </c>
      <c r="AE569" t="s">
        <v>6184</v>
      </c>
      <c r="AF569" t="s">
        <v>5170</v>
      </c>
      <c r="AG569" t="s">
        <v>6185</v>
      </c>
      <c r="AI569" t="s">
        <v>6193</v>
      </c>
      <c r="AJ569" t="s">
        <v>249</v>
      </c>
      <c r="AK569" t="s">
        <v>99</v>
      </c>
      <c r="AL569" t="s">
        <v>6194</v>
      </c>
      <c r="AM569" t="s">
        <v>6188</v>
      </c>
      <c r="AN569" t="s">
        <v>2555</v>
      </c>
      <c r="AR569" t="s">
        <v>125</v>
      </c>
      <c r="AT569" t="s">
        <v>6195</v>
      </c>
      <c r="AV569" t="s">
        <v>128</v>
      </c>
      <c r="AZ569" t="s">
        <v>80</v>
      </c>
    </row>
    <row r="570" spans="1:52" hidden="1" x14ac:dyDescent="0.25">
      <c r="A570" t="s">
        <v>6196</v>
      </c>
      <c r="B570" t="s">
        <v>6197</v>
      </c>
      <c r="C570" t="s">
        <v>6198</v>
      </c>
      <c r="D570" t="s">
        <v>2544</v>
      </c>
      <c r="E570" t="s">
        <v>6199</v>
      </c>
      <c r="F570" t="s">
        <v>6200</v>
      </c>
      <c r="G570" t="s">
        <v>6200</v>
      </c>
      <c r="J570" t="s">
        <v>80</v>
      </c>
      <c r="K570" t="s">
        <v>110</v>
      </c>
      <c r="L570" t="s">
        <v>111</v>
      </c>
      <c r="M570" t="s">
        <v>6201</v>
      </c>
      <c r="P570" t="s">
        <v>154</v>
      </c>
      <c r="Q570" t="s">
        <v>155</v>
      </c>
      <c r="R570" t="s">
        <v>156</v>
      </c>
      <c r="S570" t="s">
        <v>157</v>
      </c>
      <c r="T570" t="s">
        <v>6182</v>
      </c>
      <c r="U570" t="s">
        <v>4037</v>
      </c>
      <c r="V570" t="s">
        <v>246</v>
      </c>
      <c r="W570" t="s">
        <v>425</v>
      </c>
      <c r="X570" t="s">
        <v>6202</v>
      </c>
      <c r="Y570" t="s">
        <v>93</v>
      </c>
      <c r="Z570" t="s">
        <v>249</v>
      </c>
      <c r="AA570" t="s">
        <v>6203</v>
      </c>
      <c r="AB570" t="s">
        <v>5170</v>
      </c>
      <c r="AC570" t="s">
        <v>1164</v>
      </c>
      <c r="AD570" t="s">
        <v>249</v>
      </c>
      <c r="AE570" t="s">
        <v>6203</v>
      </c>
      <c r="AF570" t="s">
        <v>5170</v>
      </c>
      <c r="AG570" t="s">
        <v>1164</v>
      </c>
      <c r="AI570" t="s">
        <v>5984</v>
      </c>
      <c r="AJ570" t="s">
        <v>249</v>
      </c>
      <c r="AK570" t="s">
        <v>99</v>
      </c>
      <c r="AL570" t="s">
        <v>6204</v>
      </c>
      <c r="AM570" t="s">
        <v>6205</v>
      </c>
      <c r="AN570" t="s">
        <v>2555</v>
      </c>
      <c r="AR570" t="s">
        <v>125</v>
      </c>
      <c r="AT570" t="s">
        <v>6206</v>
      </c>
      <c r="AV570" t="s">
        <v>128</v>
      </c>
      <c r="AZ570" t="s">
        <v>80</v>
      </c>
    </row>
    <row r="571" spans="1:52" hidden="1" x14ac:dyDescent="0.25">
      <c r="A571" t="s">
        <v>6207</v>
      </c>
      <c r="B571" t="s">
        <v>6197</v>
      </c>
      <c r="C571" t="s">
        <v>6198</v>
      </c>
      <c r="D571" t="s">
        <v>2544</v>
      </c>
      <c r="E571" t="s">
        <v>6208</v>
      </c>
      <c r="F571" t="s">
        <v>6200</v>
      </c>
      <c r="G571" t="s">
        <v>6200</v>
      </c>
      <c r="J571" t="s">
        <v>80</v>
      </c>
      <c r="K571" t="s">
        <v>110</v>
      </c>
      <c r="L571" t="s">
        <v>111</v>
      </c>
      <c r="M571" t="s">
        <v>6201</v>
      </c>
      <c r="P571" t="s">
        <v>154</v>
      </c>
      <c r="Q571" t="s">
        <v>155</v>
      </c>
      <c r="R571" t="s">
        <v>156</v>
      </c>
      <c r="S571" t="s">
        <v>157</v>
      </c>
      <c r="T571" t="s">
        <v>6182</v>
      </c>
      <c r="U571" t="s">
        <v>4037</v>
      </c>
      <c r="V571" t="s">
        <v>246</v>
      </c>
      <c r="W571" t="s">
        <v>439</v>
      </c>
      <c r="X571" t="s">
        <v>6209</v>
      </c>
      <c r="Y571" t="s">
        <v>93</v>
      </c>
      <c r="Z571" t="s">
        <v>249</v>
      </c>
      <c r="AA571" t="s">
        <v>6203</v>
      </c>
      <c r="AB571" t="s">
        <v>5170</v>
      </c>
      <c r="AC571" t="s">
        <v>1164</v>
      </c>
      <c r="AD571" t="s">
        <v>249</v>
      </c>
      <c r="AE571" t="s">
        <v>6203</v>
      </c>
      <c r="AF571" t="s">
        <v>5170</v>
      </c>
      <c r="AG571" t="s">
        <v>1164</v>
      </c>
      <c r="AI571" t="s">
        <v>5310</v>
      </c>
      <c r="AJ571" t="s">
        <v>249</v>
      </c>
      <c r="AK571" t="s">
        <v>99</v>
      </c>
      <c r="AL571" t="s">
        <v>6210</v>
      </c>
      <c r="AM571" t="s">
        <v>6205</v>
      </c>
      <c r="AN571" t="s">
        <v>2555</v>
      </c>
      <c r="AR571" t="s">
        <v>125</v>
      </c>
      <c r="AT571" t="s">
        <v>6211</v>
      </c>
      <c r="AV571" t="s">
        <v>128</v>
      </c>
      <c r="AZ571" t="s">
        <v>80</v>
      </c>
    </row>
    <row r="572" spans="1:52" hidden="1" x14ac:dyDescent="0.25">
      <c r="A572" t="s">
        <v>6212</v>
      </c>
      <c r="B572" t="s">
        <v>6213</v>
      </c>
      <c r="C572" t="s">
        <v>6214</v>
      </c>
      <c r="D572" t="s">
        <v>2544</v>
      </c>
      <c r="E572" t="s">
        <v>6215</v>
      </c>
      <c r="F572" t="s">
        <v>6216</v>
      </c>
      <c r="G572" t="s">
        <v>6216</v>
      </c>
      <c r="J572" t="s">
        <v>80</v>
      </c>
      <c r="K572" t="s">
        <v>110</v>
      </c>
      <c r="L572" t="s">
        <v>111</v>
      </c>
      <c r="M572" t="s">
        <v>6217</v>
      </c>
      <c r="P572" t="s">
        <v>154</v>
      </c>
      <c r="Q572" t="s">
        <v>155</v>
      </c>
      <c r="R572" t="s">
        <v>156</v>
      </c>
      <c r="S572" t="s">
        <v>157</v>
      </c>
      <c r="T572" t="s">
        <v>6182</v>
      </c>
      <c r="U572" t="s">
        <v>6218</v>
      </c>
      <c r="V572" t="s">
        <v>6219</v>
      </c>
      <c r="W572" t="s">
        <v>347</v>
      </c>
      <c r="X572" t="s">
        <v>6183</v>
      </c>
      <c r="Y572" t="s">
        <v>93</v>
      </c>
      <c r="Z572" t="s">
        <v>249</v>
      </c>
      <c r="AA572" t="s">
        <v>250</v>
      </c>
      <c r="AB572" t="s">
        <v>5170</v>
      </c>
      <c r="AC572" t="s">
        <v>6220</v>
      </c>
      <c r="AD572" t="s">
        <v>249</v>
      </c>
      <c r="AE572" t="s">
        <v>250</v>
      </c>
      <c r="AF572" t="s">
        <v>5170</v>
      </c>
      <c r="AG572" t="s">
        <v>6220</v>
      </c>
      <c r="AI572" t="s">
        <v>4629</v>
      </c>
      <c r="AJ572" t="s">
        <v>249</v>
      </c>
      <c r="AK572" t="s">
        <v>99</v>
      </c>
      <c r="AL572" t="s">
        <v>6221</v>
      </c>
      <c r="AM572" t="s">
        <v>6222</v>
      </c>
      <c r="AN572" t="s">
        <v>2555</v>
      </c>
      <c r="AR572" t="s">
        <v>125</v>
      </c>
      <c r="AT572" t="s">
        <v>6223</v>
      </c>
      <c r="AV572" t="s">
        <v>128</v>
      </c>
      <c r="AZ572" t="s">
        <v>80</v>
      </c>
    </row>
    <row r="573" spans="1:52" hidden="1" x14ac:dyDescent="0.25">
      <c r="A573" t="s">
        <v>6224</v>
      </c>
      <c r="B573" t="s">
        <v>6213</v>
      </c>
      <c r="C573" t="s">
        <v>6225</v>
      </c>
      <c r="D573" t="s">
        <v>2544</v>
      </c>
      <c r="E573" t="s">
        <v>6226</v>
      </c>
      <c r="F573" t="s">
        <v>6216</v>
      </c>
      <c r="G573" t="s">
        <v>6216</v>
      </c>
      <c r="J573" t="s">
        <v>80</v>
      </c>
      <c r="K573" t="s">
        <v>110</v>
      </c>
      <c r="L573" t="s">
        <v>111</v>
      </c>
      <c r="M573" t="s">
        <v>6217</v>
      </c>
      <c r="P573" t="s">
        <v>154</v>
      </c>
      <c r="Q573" t="s">
        <v>155</v>
      </c>
      <c r="R573" t="s">
        <v>156</v>
      </c>
      <c r="S573" t="s">
        <v>157</v>
      </c>
      <c r="T573" t="s">
        <v>6182</v>
      </c>
      <c r="U573" t="s">
        <v>6218</v>
      </c>
      <c r="V573" t="s">
        <v>6219</v>
      </c>
      <c r="W573" t="s">
        <v>359</v>
      </c>
      <c r="X573" t="s">
        <v>6192</v>
      </c>
      <c r="Y573" t="s">
        <v>93</v>
      </c>
      <c r="Z573" t="s">
        <v>249</v>
      </c>
      <c r="AA573" t="s">
        <v>250</v>
      </c>
      <c r="AB573" t="s">
        <v>5170</v>
      </c>
      <c r="AC573" t="s">
        <v>6220</v>
      </c>
      <c r="AD573" t="s">
        <v>249</v>
      </c>
      <c r="AE573" t="s">
        <v>250</v>
      </c>
      <c r="AF573" t="s">
        <v>5170</v>
      </c>
      <c r="AG573" t="s">
        <v>6220</v>
      </c>
      <c r="AI573" t="s">
        <v>6227</v>
      </c>
      <c r="AJ573" t="s">
        <v>249</v>
      </c>
      <c r="AK573" t="s">
        <v>99</v>
      </c>
      <c r="AL573" t="s">
        <v>6228</v>
      </c>
      <c r="AM573" t="s">
        <v>6222</v>
      </c>
      <c r="AN573" t="s">
        <v>2555</v>
      </c>
      <c r="AR573" t="s">
        <v>125</v>
      </c>
      <c r="AT573" t="s">
        <v>6229</v>
      </c>
      <c r="AV573" t="s">
        <v>128</v>
      </c>
      <c r="AZ573" t="s">
        <v>80</v>
      </c>
    </row>
    <row r="574" spans="1:52" hidden="1" x14ac:dyDescent="0.25">
      <c r="A574" t="s">
        <v>6230</v>
      </c>
      <c r="B574" t="s">
        <v>6231</v>
      </c>
      <c r="C574" t="s">
        <v>6232</v>
      </c>
      <c r="D574" t="s">
        <v>2544</v>
      </c>
      <c r="E574" t="s">
        <v>6233</v>
      </c>
      <c r="F574" t="s">
        <v>6234</v>
      </c>
      <c r="G574" t="s">
        <v>6234</v>
      </c>
      <c r="J574" t="s">
        <v>80</v>
      </c>
      <c r="K574" t="s">
        <v>110</v>
      </c>
      <c r="L574" t="s">
        <v>111</v>
      </c>
      <c r="M574" t="s">
        <v>6235</v>
      </c>
      <c r="O574" t="s">
        <v>6056</v>
      </c>
      <c r="P574" t="s">
        <v>154</v>
      </c>
      <c r="Q574" t="s">
        <v>155</v>
      </c>
      <c r="R574" t="s">
        <v>156</v>
      </c>
      <c r="S574" t="s">
        <v>157</v>
      </c>
      <c r="T574" t="s">
        <v>6236</v>
      </c>
      <c r="U574" t="s">
        <v>1308</v>
      </c>
      <c r="V574" t="s">
        <v>513</v>
      </c>
      <c r="W574" t="s">
        <v>425</v>
      </c>
      <c r="X574" t="s">
        <v>6237</v>
      </c>
      <c r="Y574" t="s">
        <v>93</v>
      </c>
      <c r="Z574" t="s">
        <v>249</v>
      </c>
      <c r="AA574" t="s">
        <v>6238</v>
      </c>
      <c r="AB574" t="s">
        <v>5170</v>
      </c>
      <c r="AC574" t="s">
        <v>6239</v>
      </c>
      <c r="AD574" t="s">
        <v>249</v>
      </c>
      <c r="AE574" t="s">
        <v>6238</v>
      </c>
      <c r="AF574" t="s">
        <v>5170</v>
      </c>
      <c r="AG574" t="s">
        <v>6239</v>
      </c>
      <c r="AI574" t="s">
        <v>6240</v>
      </c>
      <c r="AJ574" t="s">
        <v>249</v>
      </c>
      <c r="AK574" t="s">
        <v>99</v>
      </c>
      <c r="AL574" t="s">
        <v>6241</v>
      </c>
      <c r="AM574" t="s">
        <v>6242</v>
      </c>
      <c r="AN574" t="s">
        <v>2555</v>
      </c>
      <c r="AR574" t="s">
        <v>125</v>
      </c>
      <c r="AT574" t="s">
        <v>6243</v>
      </c>
      <c r="AV574" t="s">
        <v>190</v>
      </c>
      <c r="AZ574" t="s">
        <v>80</v>
      </c>
    </row>
    <row r="575" spans="1:52" hidden="1" x14ac:dyDescent="0.25">
      <c r="A575" t="s">
        <v>6244</v>
      </c>
      <c r="B575" t="s">
        <v>6231</v>
      </c>
      <c r="C575" t="s">
        <v>6232</v>
      </c>
      <c r="D575" t="s">
        <v>2544</v>
      </c>
      <c r="E575" t="s">
        <v>6245</v>
      </c>
      <c r="F575" t="s">
        <v>6234</v>
      </c>
      <c r="G575" t="s">
        <v>6234</v>
      </c>
      <c r="J575" t="s">
        <v>80</v>
      </c>
      <c r="K575" t="s">
        <v>110</v>
      </c>
      <c r="L575" t="s">
        <v>111</v>
      </c>
      <c r="M575" t="s">
        <v>6235</v>
      </c>
      <c r="O575" t="s">
        <v>6056</v>
      </c>
      <c r="P575" t="s">
        <v>154</v>
      </c>
      <c r="Q575" t="s">
        <v>155</v>
      </c>
      <c r="R575" t="s">
        <v>156</v>
      </c>
      <c r="S575" t="s">
        <v>157</v>
      </c>
      <c r="T575" t="s">
        <v>6236</v>
      </c>
      <c r="U575" t="s">
        <v>1308</v>
      </c>
      <c r="V575" t="s">
        <v>513</v>
      </c>
      <c r="W575" t="s">
        <v>439</v>
      </c>
      <c r="X575" t="s">
        <v>6246</v>
      </c>
      <c r="Y575" t="s">
        <v>93</v>
      </c>
      <c r="Z575" t="s">
        <v>249</v>
      </c>
      <c r="AA575" t="s">
        <v>6238</v>
      </c>
      <c r="AB575" t="s">
        <v>5170</v>
      </c>
      <c r="AC575" t="s">
        <v>6239</v>
      </c>
      <c r="AD575" t="s">
        <v>249</v>
      </c>
      <c r="AE575" t="s">
        <v>6238</v>
      </c>
      <c r="AF575" t="s">
        <v>5170</v>
      </c>
      <c r="AG575" t="s">
        <v>6239</v>
      </c>
      <c r="AI575" t="s">
        <v>1855</v>
      </c>
      <c r="AJ575" t="s">
        <v>249</v>
      </c>
      <c r="AK575" t="s">
        <v>99</v>
      </c>
      <c r="AL575" t="s">
        <v>6247</v>
      </c>
      <c r="AM575" t="s">
        <v>6242</v>
      </c>
      <c r="AN575" t="s">
        <v>2555</v>
      </c>
      <c r="AR575" t="s">
        <v>125</v>
      </c>
      <c r="AT575" t="s">
        <v>6248</v>
      </c>
      <c r="AV575" t="s">
        <v>190</v>
      </c>
      <c r="AZ575" t="s">
        <v>80</v>
      </c>
    </row>
    <row r="576" spans="1:52" hidden="1" x14ac:dyDescent="0.25">
      <c r="A576" t="s">
        <v>6249</v>
      </c>
      <c r="B576" t="s">
        <v>6250</v>
      </c>
      <c r="C576" t="s">
        <v>6251</v>
      </c>
      <c r="D576" t="s">
        <v>2544</v>
      </c>
      <c r="E576" t="s">
        <v>6252</v>
      </c>
      <c r="F576" t="s">
        <v>6253</v>
      </c>
      <c r="G576" t="s">
        <v>6253</v>
      </c>
      <c r="J576" t="s">
        <v>80</v>
      </c>
      <c r="K576" t="s">
        <v>110</v>
      </c>
      <c r="L576" t="s">
        <v>111</v>
      </c>
      <c r="M576">
        <v>69695</v>
      </c>
      <c r="P576" t="s">
        <v>154</v>
      </c>
      <c r="Q576" t="s">
        <v>1284</v>
      </c>
      <c r="R576" t="s">
        <v>1285</v>
      </c>
      <c r="S576" t="s">
        <v>1124</v>
      </c>
      <c r="T576" t="s">
        <v>450</v>
      </c>
      <c r="U576" t="s">
        <v>451</v>
      </c>
      <c r="V576" t="s">
        <v>452</v>
      </c>
      <c r="W576" t="s">
        <v>6254</v>
      </c>
      <c r="X576" t="s">
        <v>6255</v>
      </c>
      <c r="Y576" t="s">
        <v>93</v>
      </c>
      <c r="Z576" t="s">
        <v>119</v>
      </c>
      <c r="AA576" t="s">
        <v>6256</v>
      </c>
      <c r="AB576" t="s">
        <v>427</v>
      </c>
      <c r="AC576" t="s">
        <v>6257</v>
      </c>
      <c r="AD576" t="s">
        <v>119</v>
      </c>
      <c r="AE576" t="s">
        <v>6256</v>
      </c>
      <c r="AF576" t="s">
        <v>427</v>
      </c>
      <c r="AG576" t="s">
        <v>6257</v>
      </c>
      <c r="AI576" t="s">
        <v>6258</v>
      </c>
      <c r="AJ576" t="s">
        <v>119</v>
      </c>
      <c r="AK576" t="s">
        <v>99</v>
      </c>
      <c r="AL576" t="s">
        <v>6259</v>
      </c>
      <c r="AM576" t="s">
        <v>6260</v>
      </c>
      <c r="AN576" t="s">
        <v>2555</v>
      </c>
      <c r="AR576" t="s">
        <v>125</v>
      </c>
      <c r="AT576" t="s">
        <v>6261</v>
      </c>
      <c r="AV576" t="s">
        <v>128</v>
      </c>
      <c r="AZ576" t="s">
        <v>80</v>
      </c>
    </row>
    <row r="577" spans="1:52" hidden="1" x14ac:dyDescent="0.25">
      <c r="A577" t="s">
        <v>6262</v>
      </c>
      <c r="B577" t="s">
        <v>6263</v>
      </c>
      <c r="C577" t="s">
        <v>6264</v>
      </c>
      <c r="D577" t="s">
        <v>2544</v>
      </c>
      <c r="E577" t="s">
        <v>6265</v>
      </c>
      <c r="F577" t="s">
        <v>6266</v>
      </c>
      <c r="G577" t="s">
        <v>6266</v>
      </c>
      <c r="J577" t="s">
        <v>80</v>
      </c>
      <c r="K577" t="s">
        <v>110</v>
      </c>
      <c r="L577" t="s">
        <v>111</v>
      </c>
      <c r="M577">
        <v>69687</v>
      </c>
      <c r="P577" t="s">
        <v>154</v>
      </c>
      <c r="Q577" t="s">
        <v>539</v>
      </c>
      <c r="R577" t="s">
        <v>540</v>
      </c>
      <c r="S577" t="s">
        <v>1124</v>
      </c>
      <c r="T577" t="s">
        <v>450</v>
      </c>
      <c r="U577" t="s">
        <v>451</v>
      </c>
      <c r="V577" t="s">
        <v>452</v>
      </c>
      <c r="W577" t="s">
        <v>797</v>
      </c>
      <c r="X577" t="s">
        <v>1433</v>
      </c>
      <c r="Y577" t="s">
        <v>93</v>
      </c>
      <c r="Z577" t="s">
        <v>119</v>
      </c>
      <c r="AA577" t="s">
        <v>6267</v>
      </c>
      <c r="AB577" t="s">
        <v>427</v>
      </c>
      <c r="AC577" t="s">
        <v>3590</v>
      </c>
      <c r="AD577" t="s">
        <v>119</v>
      </c>
      <c r="AE577" t="s">
        <v>6267</v>
      </c>
      <c r="AF577" t="s">
        <v>427</v>
      </c>
      <c r="AG577" t="s">
        <v>3590</v>
      </c>
      <c r="AI577" t="s">
        <v>6268</v>
      </c>
      <c r="AJ577" t="s">
        <v>119</v>
      </c>
      <c r="AK577" t="s">
        <v>99</v>
      </c>
      <c r="AL577" t="s">
        <v>6269</v>
      </c>
      <c r="AM577" t="s">
        <v>6270</v>
      </c>
      <c r="AN577" t="s">
        <v>2555</v>
      </c>
      <c r="AR577" t="s">
        <v>125</v>
      </c>
      <c r="AT577" t="s">
        <v>6271</v>
      </c>
      <c r="AV577" t="s">
        <v>128</v>
      </c>
      <c r="AZ577" t="s">
        <v>80</v>
      </c>
    </row>
    <row r="578" spans="1:52" hidden="1" x14ac:dyDescent="0.25">
      <c r="A578" t="s">
        <v>6272</v>
      </c>
      <c r="B578" t="s">
        <v>6273</v>
      </c>
      <c r="C578" t="s">
        <v>6274</v>
      </c>
      <c r="D578" t="s">
        <v>2544</v>
      </c>
      <c r="E578" t="s">
        <v>6275</v>
      </c>
      <c r="F578" t="s">
        <v>6276</v>
      </c>
      <c r="G578" t="s">
        <v>6276</v>
      </c>
      <c r="J578" t="s">
        <v>80</v>
      </c>
      <c r="K578" t="s">
        <v>110</v>
      </c>
      <c r="L578" t="s">
        <v>111</v>
      </c>
      <c r="M578" t="s">
        <v>6277</v>
      </c>
      <c r="P578" t="s">
        <v>154</v>
      </c>
      <c r="Q578" t="s">
        <v>3469</v>
      </c>
      <c r="R578" t="s">
        <v>2488</v>
      </c>
      <c r="S578" t="s">
        <v>1016</v>
      </c>
      <c r="T578" t="s">
        <v>6278</v>
      </c>
      <c r="U578" t="s">
        <v>6057</v>
      </c>
      <c r="V578" t="s">
        <v>6279</v>
      </c>
      <c r="W578" t="s">
        <v>797</v>
      </c>
      <c r="X578" t="s">
        <v>6280</v>
      </c>
      <c r="Y578" t="s">
        <v>93</v>
      </c>
      <c r="Z578" t="s">
        <v>6281</v>
      </c>
      <c r="AA578" t="s">
        <v>2589</v>
      </c>
      <c r="AB578" t="s">
        <v>427</v>
      </c>
      <c r="AC578" t="s">
        <v>6282</v>
      </c>
      <c r="AD578" t="s">
        <v>6281</v>
      </c>
      <c r="AE578" t="s">
        <v>2589</v>
      </c>
      <c r="AF578" t="s">
        <v>427</v>
      </c>
      <c r="AG578" t="s">
        <v>6282</v>
      </c>
      <c r="AI578" t="s">
        <v>6283</v>
      </c>
      <c r="AJ578" t="s">
        <v>6281</v>
      </c>
      <c r="AK578" t="s">
        <v>99</v>
      </c>
      <c r="AL578" t="s">
        <v>6284</v>
      </c>
      <c r="AM578" t="s">
        <v>6285</v>
      </c>
      <c r="AN578" t="s">
        <v>2555</v>
      </c>
      <c r="AR578" t="s">
        <v>125</v>
      </c>
      <c r="AT578" t="s">
        <v>6286</v>
      </c>
      <c r="AV578" t="s">
        <v>128</v>
      </c>
      <c r="AZ578" t="s">
        <v>80</v>
      </c>
    </row>
    <row r="579" spans="1:52" hidden="1" x14ac:dyDescent="0.25">
      <c r="A579" t="s">
        <v>6287</v>
      </c>
      <c r="B579" t="s">
        <v>6288</v>
      </c>
      <c r="C579" t="s">
        <v>6289</v>
      </c>
      <c r="D579" t="s">
        <v>2544</v>
      </c>
      <c r="E579" t="s">
        <v>6290</v>
      </c>
      <c r="F579" t="s">
        <v>6291</v>
      </c>
      <c r="G579" t="s">
        <v>6291</v>
      </c>
      <c r="J579" t="s">
        <v>80</v>
      </c>
      <c r="K579" t="s">
        <v>110</v>
      </c>
      <c r="L579" t="s">
        <v>111</v>
      </c>
      <c r="M579">
        <v>69681</v>
      </c>
      <c r="P579" t="s">
        <v>154</v>
      </c>
      <c r="Q579" t="s">
        <v>1284</v>
      </c>
      <c r="R579" t="s">
        <v>1285</v>
      </c>
      <c r="S579" t="s">
        <v>1124</v>
      </c>
      <c r="T579" t="s">
        <v>450</v>
      </c>
      <c r="U579" t="s">
        <v>451</v>
      </c>
      <c r="V579" t="s">
        <v>452</v>
      </c>
      <c r="W579" t="s">
        <v>697</v>
      </c>
      <c r="X579" t="s">
        <v>6292</v>
      </c>
      <c r="Y579" t="s">
        <v>93</v>
      </c>
      <c r="Z579" t="s">
        <v>119</v>
      </c>
      <c r="AA579" t="s">
        <v>6293</v>
      </c>
      <c r="AB579" t="s">
        <v>427</v>
      </c>
      <c r="AC579" t="s">
        <v>2665</v>
      </c>
      <c r="AD579" t="s">
        <v>119</v>
      </c>
      <c r="AE579" t="s">
        <v>6293</v>
      </c>
      <c r="AF579" t="s">
        <v>427</v>
      </c>
      <c r="AG579" t="s">
        <v>2665</v>
      </c>
      <c r="AI579" t="s">
        <v>3503</v>
      </c>
      <c r="AJ579" t="s">
        <v>119</v>
      </c>
      <c r="AK579" t="s">
        <v>99</v>
      </c>
      <c r="AL579" t="s">
        <v>6294</v>
      </c>
      <c r="AM579" t="s">
        <v>6295</v>
      </c>
      <c r="AN579" t="s">
        <v>2555</v>
      </c>
      <c r="AR579" t="s">
        <v>125</v>
      </c>
      <c r="AT579" t="s">
        <v>6296</v>
      </c>
      <c r="AV579" t="s">
        <v>128</v>
      </c>
      <c r="AZ579" t="s">
        <v>80</v>
      </c>
    </row>
    <row r="580" spans="1:52" hidden="1" x14ac:dyDescent="0.25">
      <c r="A580" t="s">
        <v>6297</v>
      </c>
      <c r="B580" t="s">
        <v>6298</v>
      </c>
      <c r="C580" t="s">
        <v>6299</v>
      </c>
      <c r="D580" t="s">
        <v>2544</v>
      </c>
      <c r="E580" t="s">
        <v>6300</v>
      </c>
      <c r="F580" t="s">
        <v>6301</v>
      </c>
      <c r="G580" t="s">
        <v>6301</v>
      </c>
      <c r="J580" t="s">
        <v>80</v>
      </c>
      <c r="K580" t="s">
        <v>110</v>
      </c>
      <c r="L580" t="s">
        <v>111</v>
      </c>
      <c r="M580">
        <v>69769</v>
      </c>
      <c r="P580" t="s">
        <v>154</v>
      </c>
      <c r="Q580" t="s">
        <v>155</v>
      </c>
      <c r="R580" t="s">
        <v>156</v>
      </c>
      <c r="S580" t="s">
        <v>157</v>
      </c>
      <c r="T580" t="s">
        <v>244</v>
      </c>
      <c r="U580" t="s">
        <v>345</v>
      </c>
      <c r="V580" t="s">
        <v>346</v>
      </c>
      <c r="W580" t="s">
        <v>261</v>
      </c>
      <c r="X580" t="s">
        <v>248</v>
      </c>
      <c r="Y580" t="s">
        <v>93</v>
      </c>
      <c r="Z580" t="s">
        <v>249</v>
      </c>
      <c r="AA580" t="s">
        <v>812</v>
      </c>
      <c r="AB580" t="s">
        <v>119</v>
      </c>
      <c r="AC580" t="s">
        <v>6302</v>
      </c>
      <c r="AD580" t="s">
        <v>249</v>
      </c>
      <c r="AE580" t="s">
        <v>812</v>
      </c>
      <c r="AF580" t="s">
        <v>119</v>
      </c>
      <c r="AG580" t="s">
        <v>6302</v>
      </c>
      <c r="AI580" t="s">
        <v>801</v>
      </c>
      <c r="AJ580" t="s">
        <v>249</v>
      </c>
      <c r="AK580" t="s">
        <v>99</v>
      </c>
      <c r="AL580" t="s">
        <v>6303</v>
      </c>
      <c r="AM580" t="s">
        <v>6304</v>
      </c>
      <c r="AN580" t="s">
        <v>2578</v>
      </c>
      <c r="AR580" t="s">
        <v>125</v>
      </c>
      <c r="AT580" t="s">
        <v>6305</v>
      </c>
      <c r="AV580" t="s">
        <v>128</v>
      </c>
      <c r="AZ580" t="s">
        <v>80</v>
      </c>
    </row>
    <row r="581" spans="1:52" hidden="1" x14ac:dyDescent="0.25">
      <c r="A581" t="s">
        <v>6306</v>
      </c>
      <c r="B581" t="s">
        <v>6298</v>
      </c>
      <c r="C581" t="s">
        <v>6299</v>
      </c>
      <c r="D581" t="s">
        <v>2544</v>
      </c>
      <c r="E581" t="s">
        <v>6307</v>
      </c>
      <c r="F581" t="s">
        <v>6301</v>
      </c>
      <c r="G581" t="s">
        <v>6301</v>
      </c>
      <c r="J581" t="s">
        <v>80</v>
      </c>
      <c r="K581" t="s">
        <v>110</v>
      </c>
      <c r="L581" t="s">
        <v>111</v>
      </c>
      <c r="M581">
        <v>69769</v>
      </c>
      <c r="P581" t="s">
        <v>154</v>
      </c>
      <c r="Q581" t="s">
        <v>155</v>
      </c>
      <c r="R581" t="s">
        <v>156</v>
      </c>
      <c r="S581" t="s">
        <v>157</v>
      </c>
      <c r="T581" t="s">
        <v>244</v>
      </c>
      <c r="U581" t="s">
        <v>345</v>
      </c>
      <c r="V581" t="s">
        <v>346</v>
      </c>
      <c r="W581" t="s">
        <v>247</v>
      </c>
      <c r="X581" t="s">
        <v>248</v>
      </c>
      <c r="Y581" t="s">
        <v>93</v>
      </c>
      <c r="Z581" t="s">
        <v>249</v>
      </c>
      <c r="AA581" t="s">
        <v>812</v>
      </c>
      <c r="AB581" t="s">
        <v>119</v>
      </c>
      <c r="AC581" t="s">
        <v>6302</v>
      </c>
      <c r="AD581" t="s">
        <v>249</v>
      </c>
      <c r="AE581" t="s">
        <v>812</v>
      </c>
      <c r="AF581" t="s">
        <v>119</v>
      </c>
      <c r="AG581" t="s">
        <v>6302</v>
      </c>
      <c r="AI581" t="s">
        <v>2416</v>
      </c>
      <c r="AJ581" t="s">
        <v>249</v>
      </c>
      <c r="AK581" t="s">
        <v>99</v>
      </c>
      <c r="AL581" t="s">
        <v>6308</v>
      </c>
      <c r="AM581" t="s">
        <v>6304</v>
      </c>
      <c r="AN581" t="s">
        <v>2578</v>
      </c>
      <c r="AR581" t="s">
        <v>125</v>
      </c>
      <c r="AT581" t="s">
        <v>6309</v>
      </c>
      <c r="AV581" t="s">
        <v>128</v>
      </c>
      <c r="AZ581" t="s">
        <v>80</v>
      </c>
    </row>
    <row r="582" spans="1:52" hidden="1" x14ac:dyDescent="0.25">
      <c r="A582" t="s">
        <v>6310</v>
      </c>
      <c r="B582" t="s">
        <v>6311</v>
      </c>
      <c r="C582" t="s">
        <v>6312</v>
      </c>
      <c r="D582" t="s">
        <v>2544</v>
      </c>
      <c r="E582" t="s">
        <v>6313</v>
      </c>
      <c r="F582" t="s">
        <v>6314</v>
      </c>
      <c r="G582" t="s">
        <v>6314</v>
      </c>
      <c r="J582" t="s">
        <v>80</v>
      </c>
      <c r="K582" t="s">
        <v>110</v>
      </c>
      <c r="L582" t="s">
        <v>111</v>
      </c>
      <c r="M582" t="s">
        <v>6315</v>
      </c>
      <c r="P582" t="s">
        <v>154</v>
      </c>
      <c r="Q582" t="s">
        <v>3469</v>
      </c>
      <c r="R582" t="s">
        <v>2488</v>
      </c>
      <c r="S582" t="s">
        <v>1016</v>
      </c>
      <c r="T582" t="s">
        <v>6316</v>
      </c>
      <c r="U582" t="s">
        <v>6317</v>
      </c>
      <c r="V582" t="s">
        <v>6318</v>
      </c>
      <c r="W582" t="s">
        <v>161</v>
      </c>
      <c r="X582" t="s">
        <v>6319</v>
      </c>
      <c r="Y582" t="s">
        <v>93</v>
      </c>
      <c r="Z582" t="s">
        <v>3032</v>
      </c>
      <c r="AA582" t="s">
        <v>6320</v>
      </c>
      <c r="AB582" t="s">
        <v>427</v>
      </c>
      <c r="AC582" t="s">
        <v>920</v>
      </c>
      <c r="AD582" t="s">
        <v>3032</v>
      </c>
      <c r="AE582" t="s">
        <v>6320</v>
      </c>
      <c r="AF582" t="s">
        <v>427</v>
      </c>
      <c r="AG582" t="s">
        <v>920</v>
      </c>
      <c r="AI582" t="s">
        <v>6321</v>
      </c>
      <c r="AJ582" t="s">
        <v>3032</v>
      </c>
      <c r="AK582" t="s">
        <v>99</v>
      </c>
      <c r="AL582" t="s">
        <v>6322</v>
      </c>
      <c r="AM582" t="s">
        <v>6323</v>
      </c>
      <c r="AN582" t="s">
        <v>2555</v>
      </c>
      <c r="AR582" t="s">
        <v>125</v>
      </c>
      <c r="AT582" t="s">
        <v>6324</v>
      </c>
      <c r="AV582" t="s">
        <v>128</v>
      </c>
      <c r="AZ582" t="s">
        <v>80</v>
      </c>
    </row>
    <row r="583" spans="1:52" hidden="1" x14ac:dyDescent="0.25">
      <c r="A583" t="s">
        <v>6325</v>
      </c>
      <c r="B583" t="s">
        <v>6326</v>
      </c>
      <c r="C583" t="s">
        <v>6327</v>
      </c>
      <c r="D583" t="s">
        <v>2544</v>
      </c>
      <c r="E583" t="s">
        <v>6328</v>
      </c>
      <c r="F583" t="s">
        <v>6329</v>
      </c>
      <c r="G583" t="s">
        <v>6329</v>
      </c>
      <c r="J583" t="s">
        <v>80</v>
      </c>
      <c r="K583" t="s">
        <v>110</v>
      </c>
      <c r="L583" t="s">
        <v>111</v>
      </c>
      <c r="M583" t="s">
        <v>6330</v>
      </c>
      <c r="P583" t="s">
        <v>154</v>
      </c>
      <c r="Q583" t="s">
        <v>155</v>
      </c>
      <c r="R583" t="s">
        <v>156</v>
      </c>
      <c r="S583" t="s">
        <v>157</v>
      </c>
      <c r="T583" t="s">
        <v>399</v>
      </c>
      <c r="U583" t="s">
        <v>400</v>
      </c>
      <c r="V583" t="s">
        <v>736</v>
      </c>
      <c r="W583" t="s">
        <v>347</v>
      </c>
      <c r="X583" t="s">
        <v>412</v>
      </c>
      <c r="Y583" t="s">
        <v>93</v>
      </c>
      <c r="Z583" t="s">
        <v>249</v>
      </c>
      <c r="AA583" t="s">
        <v>812</v>
      </c>
      <c r="AB583" t="s">
        <v>375</v>
      </c>
      <c r="AC583" t="s">
        <v>5279</v>
      </c>
      <c r="AD583" t="s">
        <v>249</v>
      </c>
      <c r="AE583" t="s">
        <v>812</v>
      </c>
      <c r="AF583" t="s">
        <v>375</v>
      </c>
      <c r="AG583" t="s">
        <v>5279</v>
      </c>
      <c r="AI583" t="s">
        <v>801</v>
      </c>
      <c r="AJ583" t="s">
        <v>249</v>
      </c>
      <c r="AK583" t="s">
        <v>99</v>
      </c>
      <c r="AL583" t="s">
        <v>6331</v>
      </c>
      <c r="AM583" t="s">
        <v>6332</v>
      </c>
      <c r="AN583" t="s">
        <v>2555</v>
      </c>
      <c r="AR583" t="s">
        <v>125</v>
      </c>
      <c r="AT583" t="s">
        <v>6333</v>
      </c>
      <c r="AV583" t="s">
        <v>128</v>
      </c>
      <c r="AZ583" t="s">
        <v>80</v>
      </c>
    </row>
    <row r="584" spans="1:52" hidden="1" x14ac:dyDescent="0.25">
      <c r="A584" t="s">
        <v>6334</v>
      </c>
      <c r="B584" t="s">
        <v>6326</v>
      </c>
      <c r="C584" t="s">
        <v>6327</v>
      </c>
      <c r="D584" t="s">
        <v>2544</v>
      </c>
      <c r="E584" t="s">
        <v>6335</v>
      </c>
      <c r="F584" t="s">
        <v>6329</v>
      </c>
      <c r="G584" t="s">
        <v>6329</v>
      </c>
      <c r="J584" t="s">
        <v>80</v>
      </c>
      <c r="K584" t="s">
        <v>110</v>
      </c>
      <c r="L584" t="s">
        <v>111</v>
      </c>
      <c r="M584" t="s">
        <v>6330</v>
      </c>
      <c r="P584" t="s">
        <v>154</v>
      </c>
      <c r="Q584" t="s">
        <v>155</v>
      </c>
      <c r="R584" t="s">
        <v>156</v>
      </c>
      <c r="S584" t="s">
        <v>157</v>
      </c>
      <c r="T584" t="s">
        <v>399</v>
      </c>
      <c r="U584" t="s">
        <v>400</v>
      </c>
      <c r="V584" t="s">
        <v>736</v>
      </c>
      <c r="W584" t="s">
        <v>359</v>
      </c>
      <c r="X584" t="s">
        <v>402</v>
      </c>
      <c r="Y584" t="s">
        <v>93</v>
      </c>
      <c r="Z584" t="s">
        <v>249</v>
      </c>
      <c r="AA584" t="s">
        <v>812</v>
      </c>
      <c r="AB584" t="s">
        <v>375</v>
      </c>
      <c r="AC584" t="s">
        <v>5279</v>
      </c>
      <c r="AD584" t="s">
        <v>249</v>
      </c>
      <c r="AE584" t="s">
        <v>812</v>
      </c>
      <c r="AF584" t="s">
        <v>375</v>
      </c>
      <c r="AG584" t="s">
        <v>5279</v>
      </c>
      <c r="AI584" t="s">
        <v>2416</v>
      </c>
      <c r="AJ584" t="s">
        <v>249</v>
      </c>
      <c r="AK584" t="s">
        <v>99</v>
      </c>
      <c r="AL584" t="s">
        <v>6336</v>
      </c>
      <c r="AM584" t="s">
        <v>6337</v>
      </c>
      <c r="AN584" t="s">
        <v>2555</v>
      </c>
      <c r="AR584" t="s">
        <v>125</v>
      </c>
      <c r="AT584" t="s">
        <v>6338</v>
      </c>
      <c r="AV584" t="s">
        <v>128</v>
      </c>
      <c r="AZ584" t="s">
        <v>80</v>
      </c>
    </row>
    <row r="585" spans="1:52" hidden="1" x14ac:dyDescent="0.25">
      <c r="A585" t="s">
        <v>6339</v>
      </c>
      <c r="B585" t="s">
        <v>6340</v>
      </c>
      <c r="C585" t="s">
        <v>6341</v>
      </c>
      <c r="D585" t="s">
        <v>2544</v>
      </c>
      <c r="E585" t="s">
        <v>6342</v>
      </c>
      <c r="F585" t="s">
        <v>6343</v>
      </c>
      <c r="G585" t="s">
        <v>6343</v>
      </c>
      <c r="J585" t="s">
        <v>80</v>
      </c>
      <c r="K585" t="s">
        <v>110</v>
      </c>
      <c r="L585" t="s">
        <v>111</v>
      </c>
      <c r="M585">
        <v>69765</v>
      </c>
      <c r="P585" t="s">
        <v>154</v>
      </c>
      <c r="Q585" t="s">
        <v>3469</v>
      </c>
      <c r="R585" t="s">
        <v>2488</v>
      </c>
      <c r="S585" t="s">
        <v>1016</v>
      </c>
      <c r="T585" t="s">
        <v>244</v>
      </c>
      <c r="U585" t="s">
        <v>345</v>
      </c>
      <c r="V585" t="s">
        <v>346</v>
      </c>
      <c r="W585" t="s">
        <v>347</v>
      </c>
      <c r="X585" t="s">
        <v>348</v>
      </c>
      <c r="Y585" t="s">
        <v>93</v>
      </c>
      <c r="Z585" t="s">
        <v>249</v>
      </c>
      <c r="AA585" t="s">
        <v>1723</v>
      </c>
      <c r="AB585" t="s">
        <v>119</v>
      </c>
      <c r="AC585" t="s">
        <v>6344</v>
      </c>
      <c r="AD585" t="s">
        <v>249</v>
      </c>
      <c r="AE585" t="s">
        <v>1723</v>
      </c>
      <c r="AF585" t="s">
        <v>119</v>
      </c>
      <c r="AG585" t="s">
        <v>6344</v>
      </c>
      <c r="AI585" t="s">
        <v>6345</v>
      </c>
      <c r="AJ585" t="s">
        <v>249</v>
      </c>
      <c r="AK585" t="s">
        <v>99</v>
      </c>
      <c r="AL585" t="s">
        <v>6346</v>
      </c>
      <c r="AM585" t="s">
        <v>6347</v>
      </c>
      <c r="AN585" t="s">
        <v>2578</v>
      </c>
      <c r="AR585" t="s">
        <v>125</v>
      </c>
      <c r="AT585" t="s">
        <v>6348</v>
      </c>
      <c r="AV585" t="s">
        <v>128</v>
      </c>
      <c r="AZ585" t="s">
        <v>80</v>
      </c>
    </row>
    <row r="586" spans="1:52" hidden="1" x14ac:dyDescent="0.25">
      <c r="A586" t="s">
        <v>6349</v>
      </c>
      <c r="B586" t="s">
        <v>6340</v>
      </c>
      <c r="C586" t="s">
        <v>6350</v>
      </c>
      <c r="D586" t="s">
        <v>2544</v>
      </c>
      <c r="E586" t="s">
        <v>6351</v>
      </c>
      <c r="F586" t="s">
        <v>6343</v>
      </c>
      <c r="G586" t="s">
        <v>6343</v>
      </c>
      <c r="J586" t="s">
        <v>80</v>
      </c>
      <c r="K586" t="s">
        <v>110</v>
      </c>
      <c r="L586" t="s">
        <v>111</v>
      </c>
      <c r="M586">
        <v>69765</v>
      </c>
      <c r="P586" t="s">
        <v>154</v>
      </c>
      <c r="Q586" t="s">
        <v>3469</v>
      </c>
      <c r="R586" t="s">
        <v>2488</v>
      </c>
      <c r="S586" t="s">
        <v>1016</v>
      </c>
      <c r="T586" t="s">
        <v>244</v>
      </c>
      <c r="U586" t="s">
        <v>345</v>
      </c>
      <c r="V586" t="s">
        <v>346</v>
      </c>
      <c r="W586" t="s">
        <v>359</v>
      </c>
      <c r="X586" t="s">
        <v>360</v>
      </c>
      <c r="Y586" t="s">
        <v>93</v>
      </c>
      <c r="Z586" t="s">
        <v>249</v>
      </c>
      <c r="AA586" t="s">
        <v>1723</v>
      </c>
      <c r="AB586" t="s">
        <v>119</v>
      </c>
      <c r="AC586" t="s">
        <v>6344</v>
      </c>
      <c r="AD586" t="s">
        <v>249</v>
      </c>
      <c r="AE586" t="s">
        <v>1723</v>
      </c>
      <c r="AF586" t="s">
        <v>119</v>
      </c>
      <c r="AG586" t="s">
        <v>6344</v>
      </c>
      <c r="AI586" t="s">
        <v>2883</v>
      </c>
      <c r="AJ586" t="s">
        <v>249</v>
      </c>
      <c r="AK586" t="s">
        <v>99</v>
      </c>
      <c r="AL586" t="s">
        <v>6352</v>
      </c>
      <c r="AM586" t="s">
        <v>6347</v>
      </c>
      <c r="AN586" t="s">
        <v>2578</v>
      </c>
      <c r="AR586" t="s">
        <v>125</v>
      </c>
      <c r="AT586" t="s">
        <v>6353</v>
      </c>
      <c r="AV586" t="s">
        <v>128</v>
      </c>
      <c r="AZ586" t="s">
        <v>80</v>
      </c>
    </row>
    <row r="587" spans="1:52" hidden="1" x14ac:dyDescent="0.25">
      <c r="A587" t="s">
        <v>6354</v>
      </c>
      <c r="B587" t="s">
        <v>6355</v>
      </c>
      <c r="C587" t="s">
        <v>6356</v>
      </c>
      <c r="D587" t="s">
        <v>2544</v>
      </c>
      <c r="E587" t="s">
        <v>6357</v>
      </c>
      <c r="F587" t="s">
        <v>6358</v>
      </c>
      <c r="G587" t="s">
        <v>6358</v>
      </c>
      <c r="J587" t="s">
        <v>80</v>
      </c>
      <c r="K587" t="s">
        <v>110</v>
      </c>
      <c r="L587" t="s">
        <v>111</v>
      </c>
      <c r="M587" t="s">
        <v>6359</v>
      </c>
      <c r="O587" t="s">
        <v>298</v>
      </c>
      <c r="P587" t="s">
        <v>154</v>
      </c>
      <c r="Q587" t="s">
        <v>731</v>
      </c>
      <c r="R587" t="s">
        <v>732</v>
      </c>
      <c r="S587" t="s">
        <v>733</v>
      </c>
      <c r="T587" t="s">
        <v>6360</v>
      </c>
      <c r="U587" t="s">
        <v>5884</v>
      </c>
      <c r="V587" t="s">
        <v>6361</v>
      </c>
      <c r="W587" t="s">
        <v>797</v>
      </c>
      <c r="X587" t="s">
        <v>6362</v>
      </c>
      <c r="Y587" t="s">
        <v>93</v>
      </c>
      <c r="Z587" t="s">
        <v>119</v>
      </c>
      <c r="AA587" t="s">
        <v>1500</v>
      </c>
      <c r="AB587" t="s">
        <v>304</v>
      </c>
      <c r="AC587" t="s">
        <v>3430</v>
      </c>
      <c r="AD587" t="s">
        <v>119</v>
      </c>
      <c r="AE587" t="s">
        <v>1500</v>
      </c>
      <c r="AF587" t="s">
        <v>304</v>
      </c>
      <c r="AG587" t="s">
        <v>3430</v>
      </c>
      <c r="AI587" t="s">
        <v>2184</v>
      </c>
      <c r="AJ587" t="s">
        <v>119</v>
      </c>
      <c r="AK587" t="s">
        <v>99</v>
      </c>
      <c r="AL587" t="s">
        <v>6363</v>
      </c>
      <c r="AM587" t="s">
        <v>6364</v>
      </c>
      <c r="AN587" t="s">
        <v>2555</v>
      </c>
      <c r="AR587" t="s">
        <v>125</v>
      </c>
      <c r="AT587" t="s">
        <v>6365</v>
      </c>
      <c r="AV587" t="s">
        <v>190</v>
      </c>
      <c r="AZ587" t="s">
        <v>80</v>
      </c>
    </row>
    <row r="588" spans="1:52" hidden="1" x14ac:dyDescent="0.25">
      <c r="A588" t="s">
        <v>6366</v>
      </c>
      <c r="B588" t="s">
        <v>6367</v>
      </c>
      <c r="C588" t="s">
        <v>6368</v>
      </c>
      <c r="D588" t="s">
        <v>2544</v>
      </c>
      <c r="E588" t="s">
        <v>6369</v>
      </c>
      <c r="F588" t="s">
        <v>6370</v>
      </c>
      <c r="G588" t="s">
        <v>6370</v>
      </c>
      <c r="J588" t="s">
        <v>80</v>
      </c>
      <c r="K588" t="s">
        <v>110</v>
      </c>
      <c r="L588" t="s">
        <v>111</v>
      </c>
      <c r="M588">
        <v>69761</v>
      </c>
      <c r="P588" t="s">
        <v>154</v>
      </c>
      <c r="Q588" t="s">
        <v>155</v>
      </c>
      <c r="R588" t="s">
        <v>156</v>
      </c>
      <c r="S588" t="s">
        <v>157</v>
      </c>
      <c r="T588" t="s">
        <v>244</v>
      </c>
      <c r="U588" t="s">
        <v>345</v>
      </c>
      <c r="V588" t="s">
        <v>346</v>
      </c>
      <c r="W588" t="s">
        <v>347</v>
      </c>
      <c r="X588" t="s">
        <v>348</v>
      </c>
      <c r="Y588" t="s">
        <v>93</v>
      </c>
      <c r="Z588" t="s">
        <v>249</v>
      </c>
      <c r="AA588" t="s">
        <v>4191</v>
      </c>
      <c r="AB588" t="s">
        <v>119</v>
      </c>
      <c r="AC588" t="s">
        <v>4051</v>
      </c>
      <c r="AD588" t="s">
        <v>249</v>
      </c>
      <c r="AE588" t="s">
        <v>4191</v>
      </c>
      <c r="AF588" t="s">
        <v>119</v>
      </c>
      <c r="AG588" t="s">
        <v>4051</v>
      </c>
      <c r="AI588" t="s">
        <v>6371</v>
      </c>
      <c r="AJ588" t="s">
        <v>249</v>
      </c>
      <c r="AK588" t="s">
        <v>99</v>
      </c>
      <c r="AL588" t="s">
        <v>6372</v>
      </c>
      <c r="AM588" t="s">
        <v>6373</v>
      </c>
      <c r="AN588" t="s">
        <v>2578</v>
      </c>
      <c r="AR588" t="s">
        <v>125</v>
      </c>
      <c r="AT588" t="s">
        <v>6374</v>
      </c>
      <c r="AV588" t="s">
        <v>128</v>
      </c>
      <c r="AZ588" t="s">
        <v>80</v>
      </c>
    </row>
    <row r="589" spans="1:52" hidden="1" x14ac:dyDescent="0.25">
      <c r="A589" t="s">
        <v>6375</v>
      </c>
      <c r="B589" t="s">
        <v>6367</v>
      </c>
      <c r="C589" t="s">
        <v>6368</v>
      </c>
      <c r="D589" t="s">
        <v>2544</v>
      </c>
      <c r="E589" t="s">
        <v>6376</v>
      </c>
      <c r="F589" t="s">
        <v>6370</v>
      </c>
      <c r="G589" t="s">
        <v>6370</v>
      </c>
      <c r="J589" t="s">
        <v>80</v>
      </c>
      <c r="K589" t="s">
        <v>110</v>
      </c>
      <c r="L589" t="s">
        <v>111</v>
      </c>
      <c r="M589">
        <v>69761</v>
      </c>
      <c r="P589" t="s">
        <v>154</v>
      </c>
      <c r="Q589" t="s">
        <v>155</v>
      </c>
      <c r="R589" t="s">
        <v>156</v>
      </c>
      <c r="S589" t="s">
        <v>157</v>
      </c>
      <c r="T589" t="s">
        <v>244</v>
      </c>
      <c r="U589" t="s">
        <v>345</v>
      </c>
      <c r="V589" t="s">
        <v>346</v>
      </c>
      <c r="W589" t="s">
        <v>359</v>
      </c>
      <c r="X589" t="s">
        <v>360</v>
      </c>
      <c r="Y589" t="s">
        <v>93</v>
      </c>
      <c r="Z589" t="s">
        <v>249</v>
      </c>
      <c r="AA589" t="s">
        <v>4191</v>
      </c>
      <c r="AB589" t="s">
        <v>119</v>
      </c>
      <c r="AC589" t="s">
        <v>4051</v>
      </c>
      <c r="AD589" t="s">
        <v>249</v>
      </c>
      <c r="AE589" t="s">
        <v>4191</v>
      </c>
      <c r="AF589" t="s">
        <v>119</v>
      </c>
      <c r="AG589" t="s">
        <v>4051</v>
      </c>
      <c r="AI589" t="s">
        <v>6377</v>
      </c>
      <c r="AJ589" t="s">
        <v>249</v>
      </c>
      <c r="AK589" t="s">
        <v>99</v>
      </c>
      <c r="AL589" t="s">
        <v>6378</v>
      </c>
      <c r="AM589" t="s">
        <v>6373</v>
      </c>
      <c r="AN589" t="s">
        <v>2578</v>
      </c>
      <c r="AR589" t="s">
        <v>125</v>
      </c>
      <c r="AT589" t="s">
        <v>6379</v>
      </c>
      <c r="AV589" t="s">
        <v>128</v>
      </c>
      <c r="AZ589" t="s">
        <v>80</v>
      </c>
    </row>
    <row r="590" spans="1:52" hidden="1" x14ac:dyDescent="0.25">
      <c r="A590" t="s">
        <v>6380</v>
      </c>
      <c r="B590" t="s">
        <v>6381</v>
      </c>
      <c r="C590" t="s">
        <v>6382</v>
      </c>
      <c r="D590" t="s">
        <v>2544</v>
      </c>
      <c r="E590" t="s">
        <v>6383</v>
      </c>
      <c r="F590" t="s">
        <v>6384</v>
      </c>
      <c r="G590" t="s">
        <v>6384</v>
      </c>
      <c r="J590" t="s">
        <v>80</v>
      </c>
      <c r="K590" t="s">
        <v>110</v>
      </c>
      <c r="L590" t="s">
        <v>111</v>
      </c>
      <c r="M590" t="s">
        <v>6385</v>
      </c>
      <c r="N590" t="s">
        <v>6386</v>
      </c>
      <c r="P590" t="s">
        <v>1306</v>
      </c>
      <c r="Q590" t="s">
        <v>539</v>
      </c>
      <c r="R590" t="s">
        <v>540</v>
      </c>
      <c r="S590" t="s">
        <v>541</v>
      </c>
      <c r="T590" t="s">
        <v>1414</v>
      </c>
      <c r="U590" t="s">
        <v>1347</v>
      </c>
      <c r="V590" t="s">
        <v>3997</v>
      </c>
      <c r="W590" t="s">
        <v>161</v>
      </c>
      <c r="X590" t="s">
        <v>4444</v>
      </c>
      <c r="Y590" t="s">
        <v>93</v>
      </c>
      <c r="Z590" t="s">
        <v>1312</v>
      </c>
      <c r="AA590" t="s">
        <v>6387</v>
      </c>
      <c r="AB590" t="s">
        <v>427</v>
      </c>
      <c r="AC590" t="s">
        <v>6388</v>
      </c>
      <c r="AD590" t="s">
        <v>1312</v>
      </c>
      <c r="AE590" t="s">
        <v>6387</v>
      </c>
      <c r="AF590" t="s">
        <v>427</v>
      </c>
      <c r="AG590" t="s">
        <v>6388</v>
      </c>
      <c r="AH590" t="s">
        <v>6389</v>
      </c>
      <c r="AI590" t="s">
        <v>3446</v>
      </c>
      <c r="AJ590" t="s">
        <v>1312</v>
      </c>
      <c r="AK590" t="s">
        <v>99</v>
      </c>
      <c r="AL590" t="s">
        <v>6390</v>
      </c>
      <c r="AM590" t="s">
        <v>6391</v>
      </c>
      <c r="AN590" t="s">
        <v>2555</v>
      </c>
      <c r="AR590" t="s">
        <v>125</v>
      </c>
      <c r="AT590" t="s">
        <v>6392</v>
      </c>
      <c r="AV590" t="s">
        <v>128</v>
      </c>
      <c r="AZ590" t="s">
        <v>80</v>
      </c>
    </row>
    <row r="591" spans="1:52" hidden="1" x14ac:dyDescent="0.25">
      <c r="A591" t="s">
        <v>6393</v>
      </c>
      <c r="B591" t="s">
        <v>508</v>
      </c>
      <c r="C591" t="s">
        <v>6394</v>
      </c>
      <c r="D591" t="s">
        <v>2544</v>
      </c>
      <c r="E591" t="s">
        <v>6395</v>
      </c>
      <c r="F591" t="s">
        <v>511</v>
      </c>
      <c r="G591" t="s">
        <v>511</v>
      </c>
      <c r="J591" t="s">
        <v>80</v>
      </c>
      <c r="K591" t="s">
        <v>110</v>
      </c>
      <c r="L591" t="s">
        <v>111</v>
      </c>
      <c r="M591">
        <v>69757</v>
      </c>
      <c r="P591" t="s">
        <v>154</v>
      </c>
      <c r="Q591" t="s">
        <v>539</v>
      </c>
      <c r="R591" t="s">
        <v>540</v>
      </c>
      <c r="S591" t="s">
        <v>541</v>
      </c>
      <c r="T591" t="s">
        <v>244</v>
      </c>
      <c r="U591" t="s">
        <v>6396</v>
      </c>
      <c r="V591" t="s">
        <v>514</v>
      </c>
      <c r="W591" t="s">
        <v>5225</v>
      </c>
      <c r="X591" t="s">
        <v>248</v>
      </c>
      <c r="Y591" t="s">
        <v>93</v>
      </c>
      <c r="Z591" t="s">
        <v>249</v>
      </c>
      <c r="AA591" t="s">
        <v>118</v>
      </c>
      <c r="AB591" t="s">
        <v>119</v>
      </c>
      <c r="AC591" t="s">
        <v>516</v>
      </c>
      <c r="AD591" t="s">
        <v>249</v>
      </c>
      <c r="AE591" t="s">
        <v>118</v>
      </c>
      <c r="AF591" t="s">
        <v>119</v>
      </c>
      <c r="AG591" t="s">
        <v>516</v>
      </c>
      <c r="AI591" t="s">
        <v>6397</v>
      </c>
      <c r="AJ591" t="s">
        <v>249</v>
      </c>
      <c r="AK591" t="s">
        <v>99</v>
      </c>
      <c r="AL591" t="s">
        <v>6398</v>
      </c>
      <c r="AM591" t="s">
        <v>6399</v>
      </c>
      <c r="AN591" t="s">
        <v>2578</v>
      </c>
      <c r="AR591" t="s">
        <v>125</v>
      </c>
      <c r="AT591" t="s">
        <v>6400</v>
      </c>
      <c r="AV591" t="s">
        <v>128</v>
      </c>
      <c r="AZ591" t="s">
        <v>80</v>
      </c>
    </row>
    <row r="592" spans="1:52" hidden="1" x14ac:dyDescent="0.25">
      <c r="A592" t="s">
        <v>6401</v>
      </c>
      <c r="B592" t="s">
        <v>508</v>
      </c>
      <c r="C592" t="s">
        <v>6394</v>
      </c>
      <c r="D592" t="s">
        <v>2544</v>
      </c>
      <c r="E592" t="s">
        <v>6402</v>
      </c>
      <c r="F592" t="s">
        <v>511</v>
      </c>
      <c r="G592" t="s">
        <v>511</v>
      </c>
      <c r="J592" t="s">
        <v>80</v>
      </c>
      <c r="K592" t="s">
        <v>110</v>
      </c>
      <c r="L592" t="s">
        <v>111</v>
      </c>
      <c r="M592">
        <v>69757</v>
      </c>
      <c r="P592" t="s">
        <v>154</v>
      </c>
      <c r="Q592" t="s">
        <v>539</v>
      </c>
      <c r="R592" t="s">
        <v>540</v>
      </c>
      <c r="S592" t="s">
        <v>541</v>
      </c>
      <c r="T592" t="s">
        <v>244</v>
      </c>
      <c r="U592" t="s">
        <v>6396</v>
      </c>
      <c r="V592" t="s">
        <v>514</v>
      </c>
      <c r="W592" t="s">
        <v>5218</v>
      </c>
      <c r="X592" t="s">
        <v>248</v>
      </c>
      <c r="Y592" t="s">
        <v>93</v>
      </c>
      <c r="Z592" t="s">
        <v>249</v>
      </c>
      <c r="AA592" t="s">
        <v>118</v>
      </c>
      <c r="AB592" t="s">
        <v>119</v>
      </c>
      <c r="AC592" t="s">
        <v>516</v>
      </c>
      <c r="AD592" t="s">
        <v>249</v>
      </c>
      <c r="AE592" t="s">
        <v>118</v>
      </c>
      <c r="AF592" t="s">
        <v>119</v>
      </c>
      <c r="AG592" t="s">
        <v>516</v>
      </c>
      <c r="AI592" t="s">
        <v>2629</v>
      </c>
      <c r="AJ592" t="s">
        <v>249</v>
      </c>
      <c r="AK592" t="s">
        <v>99</v>
      </c>
      <c r="AL592" t="s">
        <v>6403</v>
      </c>
      <c r="AM592" t="s">
        <v>6364</v>
      </c>
      <c r="AN592" t="s">
        <v>2578</v>
      </c>
      <c r="AR592" t="s">
        <v>125</v>
      </c>
      <c r="AT592" t="s">
        <v>6404</v>
      </c>
      <c r="AV592" t="s">
        <v>128</v>
      </c>
      <c r="AZ592" t="s">
        <v>80</v>
      </c>
    </row>
    <row r="593" spans="1:52" hidden="1" x14ac:dyDescent="0.25">
      <c r="A593" t="s">
        <v>6405</v>
      </c>
      <c r="B593" t="s">
        <v>6406</v>
      </c>
      <c r="C593" t="s">
        <v>6407</v>
      </c>
      <c r="D593" t="s">
        <v>2544</v>
      </c>
      <c r="E593" t="s">
        <v>6408</v>
      </c>
      <c r="F593" t="s">
        <v>6409</v>
      </c>
      <c r="G593" t="s">
        <v>6409</v>
      </c>
      <c r="J593" t="s">
        <v>80</v>
      </c>
      <c r="K593" t="s">
        <v>110</v>
      </c>
      <c r="L593" t="s">
        <v>111</v>
      </c>
      <c r="M593" t="s">
        <v>6410</v>
      </c>
      <c r="P593" t="s">
        <v>154</v>
      </c>
      <c r="Q593" t="s">
        <v>731</v>
      </c>
      <c r="R593" t="s">
        <v>732</v>
      </c>
      <c r="S593" t="s">
        <v>733</v>
      </c>
      <c r="T593" t="s">
        <v>6411</v>
      </c>
      <c r="U593" t="s">
        <v>5918</v>
      </c>
      <c r="V593" t="s">
        <v>4336</v>
      </c>
      <c r="W593" t="s">
        <v>161</v>
      </c>
      <c r="X593" t="s">
        <v>6412</v>
      </c>
      <c r="Y593" t="s">
        <v>93</v>
      </c>
      <c r="Z593" t="s">
        <v>2048</v>
      </c>
      <c r="AA593" t="s">
        <v>6413</v>
      </c>
      <c r="AB593" t="s">
        <v>427</v>
      </c>
      <c r="AC593" t="s">
        <v>6414</v>
      </c>
      <c r="AD593" t="s">
        <v>2048</v>
      </c>
      <c r="AE593" t="s">
        <v>6413</v>
      </c>
      <c r="AF593" t="s">
        <v>427</v>
      </c>
      <c r="AG593" t="s">
        <v>6414</v>
      </c>
      <c r="AI593" t="s">
        <v>6415</v>
      </c>
      <c r="AJ593" t="s">
        <v>2048</v>
      </c>
      <c r="AK593" t="s">
        <v>99</v>
      </c>
      <c r="AL593" t="s">
        <v>6416</v>
      </c>
      <c r="AM593" t="s">
        <v>6417</v>
      </c>
      <c r="AN593" t="s">
        <v>2555</v>
      </c>
      <c r="AR593" t="s">
        <v>125</v>
      </c>
      <c r="AT593" t="s">
        <v>6418</v>
      </c>
      <c r="AV593" t="s">
        <v>128</v>
      </c>
      <c r="AZ593" t="s">
        <v>80</v>
      </c>
    </row>
    <row r="594" spans="1:52" hidden="1" x14ac:dyDescent="0.25">
      <c r="A594" t="s">
        <v>6419</v>
      </c>
      <c r="B594" t="s">
        <v>6420</v>
      </c>
      <c r="C594" t="s">
        <v>6421</v>
      </c>
      <c r="D594" t="s">
        <v>2544</v>
      </c>
      <c r="E594" t="s">
        <v>6422</v>
      </c>
      <c r="F594" t="s">
        <v>6423</v>
      </c>
      <c r="G594" t="s">
        <v>6423</v>
      </c>
      <c r="J594" t="s">
        <v>80</v>
      </c>
      <c r="K594" t="s">
        <v>110</v>
      </c>
      <c r="L594" t="s">
        <v>111</v>
      </c>
      <c r="M594" t="s">
        <v>6424</v>
      </c>
      <c r="O594" t="s">
        <v>5199</v>
      </c>
      <c r="P594" t="s">
        <v>154</v>
      </c>
      <c r="Q594" t="s">
        <v>539</v>
      </c>
      <c r="R594" t="s">
        <v>540</v>
      </c>
      <c r="S594" t="s">
        <v>541</v>
      </c>
      <c r="T594" t="s">
        <v>6236</v>
      </c>
      <c r="U594" t="s">
        <v>3512</v>
      </c>
      <c r="V594" t="s">
        <v>4709</v>
      </c>
      <c r="W594" t="s">
        <v>347</v>
      </c>
      <c r="X594" t="s">
        <v>6425</v>
      </c>
      <c r="Y594" t="s">
        <v>93</v>
      </c>
      <c r="Z594" t="s">
        <v>249</v>
      </c>
      <c r="AA594" t="s">
        <v>3935</v>
      </c>
      <c r="AB594" t="s">
        <v>5170</v>
      </c>
      <c r="AC594" t="s">
        <v>516</v>
      </c>
      <c r="AD594" t="s">
        <v>249</v>
      </c>
      <c r="AE594" t="s">
        <v>3935</v>
      </c>
      <c r="AF594" t="s">
        <v>5170</v>
      </c>
      <c r="AG594" t="s">
        <v>516</v>
      </c>
      <c r="AI594" t="s">
        <v>6041</v>
      </c>
      <c r="AJ594" t="s">
        <v>249</v>
      </c>
      <c r="AK594" t="s">
        <v>99</v>
      </c>
      <c r="AL594" t="s">
        <v>6426</v>
      </c>
      <c r="AM594" t="s">
        <v>6417</v>
      </c>
      <c r="AN594" t="s">
        <v>2555</v>
      </c>
      <c r="AR594" t="s">
        <v>125</v>
      </c>
      <c r="AT594" t="s">
        <v>6427</v>
      </c>
      <c r="AV594" t="s">
        <v>190</v>
      </c>
      <c r="AZ594" t="s">
        <v>80</v>
      </c>
    </row>
    <row r="595" spans="1:52" hidden="1" x14ac:dyDescent="0.25">
      <c r="A595" t="s">
        <v>6428</v>
      </c>
      <c r="B595" t="s">
        <v>6420</v>
      </c>
      <c r="C595" t="s">
        <v>6421</v>
      </c>
      <c r="D595" t="s">
        <v>2544</v>
      </c>
      <c r="E595" t="s">
        <v>6429</v>
      </c>
      <c r="F595" t="s">
        <v>6423</v>
      </c>
      <c r="G595" t="s">
        <v>6423</v>
      </c>
      <c r="J595" t="s">
        <v>80</v>
      </c>
      <c r="K595" t="s">
        <v>110</v>
      </c>
      <c r="L595" t="s">
        <v>111</v>
      </c>
      <c r="M595" t="s">
        <v>6424</v>
      </c>
      <c r="O595" t="s">
        <v>5199</v>
      </c>
      <c r="P595" t="s">
        <v>154</v>
      </c>
      <c r="Q595" t="s">
        <v>539</v>
      </c>
      <c r="R595" t="s">
        <v>540</v>
      </c>
      <c r="S595" t="s">
        <v>541</v>
      </c>
      <c r="T595" t="s">
        <v>6236</v>
      </c>
      <c r="U595" t="s">
        <v>3512</v>
      </c>
      <c r="V595" t="s">
        <v>4709</v>
      </c>
      <c r="W595" t="s">
        <v>359</v>
      </c>
      <c r="X595" t="s">
        <v>6430</v>
      </c>
      <c r="Y595" t="s">
        <v>93</v>
      </c>
      <c r="Z595" t="s">
        <v>249</v>
      </c>
      <c r="AA595" t="s">
        <v>3935</v>
      </c>
      <c r="AB595" t="s">
        <v>5170</v>
      </c>
      <c r="AC595" t="s">
        <v>516</v>
      </c>
      <c r="AD595" t="s">
        <v>249</v>
      </c>
      <c r="AE595" t="s">
        <v>3935</v>
      </c>
      <c r="AF595" t="s">
        <v>5170</v>
      </c>
      <c r="AG595" t="s">
        <v>516</v>
      </c>
      <c r="AI595" t="s">
        <v>6431</v>
      </c>
      <c r="AJ595" t="s">
        <v>249</v>
      </c>
      <c r="AK595" t="s">
        <v>99</v>
      </c>
      <c r="AL595" t="s">
        <v>6432</v>
      </c>
      <c r="AM595" t="s">
        <v>6417</v>
      </c>
      <c r="AN595" t="s">
        <v>2555</v>
      </c>
      <c r="AR595" t="s">
        <v>125</v>
      </c>
      <c r="AT595" t="s">
        <v>6433</v>
      </c>
      <c r="AV595" t="s">
        <v>190</v>
      </c>
      <c r="AZ595" t="s">
        <v>80</v>
      </c>
    </row>
    <row r="596" spans="1:52" hidden="1" x14ac:dyDescent="0.25">
      <c r="A596" t="s">
        <v>6434</v>
      </c>
      <c r="B596" t="s">
        <v>6435</v>
      </c>
      <c r="C596" t="s">
        <v>6436</v>
      </c>
      <c r="D596" t="s">
        <v>2544</v>
      </c>
      <c r="E596" t="s">
        <v>6437</v>
      </c>
      <c r="F596" t="s">
        <v>6438</v>
      </c>
      <c r="G596" t="s">
        <v>6438</v>
      </c>
      <c r="J596" t="s">
        <v>80</v>
      </c>
      <c r="K596" t="s">
        <v>110</v>
      </c>
      <c r="L596" t="s">
        <v>111</v>
      </c>
      <c r="M596" t="s">
        <v>6439</v>
      </c>
      <c r="P596" t="s">
        <v>134</v>
      </c>
      <c r="Q596" t="s">
        <v>2687</v>
      </c>
      <c r="R596" t="s">
        <v>1441</v>
      </c>
      <c r="S596" t="s">
        <v>748</v>
      </c>
      <c r="T596" t="s">
        <v>6440</v>
      </c>
      <c r="U596" t="s">
        <v>2014</v>
      </c>
      <c r="V596" t="s">
        <v>322</v>
      </c>
      <c r="W596" t="s">
        <v>697</v>
      </c>
      <c r="X596" t="s">
        <v>6441</v>
      </c>
      <c r="Y596" t="s">
        <v>93</v>
      </c>
      <c r="Z596" t="s">
        <v>119</v>
      </c>
      <c r="AA596" t="s">
        <v>1515</v>
      </c>
      <c r="AB596" t="s">
        <v>375</v>
      </c>
      <c r="AC596" t="s">
        <v>6442</v>
      </c>
      <c r="AD596" t="s">
        <v>119</v>
      </c>
      <c r="AE596" t="s">
        <v>1515</v>
      </c>
      <c r="AF596" t="s">
        <v>375</v>
      </c>
      <c r="AG596" t="s">
        <v>6442</v>
      </c>
      <c r="AI596" t="s">
        <v>6443</v>
      </c>
      <c r="AJ596" t="s">
        <v>119</v>
      </c>
      <c r="AK596" t="s">
        <v>99</v>
      </c>
      <c r="AL596" t="s">
        <v>6444</v>
      </c>
      <c r="AM596" t="s">
        <v>6445</v>
      </c>
      <c r="AN596" t="s">
        <v>2555</v>
      </c>
      <c r="AR596" t="s">
        <v>125</v>
      </c>
      <c r="AT596" t="s">
        <v>6446</v>
      </c>
      <c r="AV596" t="s">
        <v>128</v>
      </c>
      <c r="AZ596" t="s">
        <v>80</v>
      </c>
    </row>
    <row r="597" spans="1:52" hidden="1" x14ac:dyDescent="0.25">
      <c r="A597" t="s">
        <v>6447</v>
      </c>
      <c r="B597" t="s">
        <v>6448</v>
      </c>
      <c r="C597" t="s">
        <v>6449</v>
      </c>
      <c r="D597" t="s">
        <v>2544</v>
      </c>
      <c r="E597" t="s">
        <v>6450</v>
      </c>
      <c r="F597" t="s">
        <v>6451</v>
      </c>
      <c r="G597" t="s">
        <v>6451</v>
      </c>
      <c r="J597" t="s">
        <v>80</v>
      </c>
      <c r="K597" t="s">
        <v>110</v>
      </c>
      <c r="L597" t="s">
        <v>111</v>
      </c>
      <c r="M597" t="s">
        <v>6452</v>
      </c>
      <c r="P597" t="s">
        <v>154</v>
      </c>
      <c r="Q597" t="s">
        <v>155</v>
      </c>
      <c r="R597" t="s">
        <v>156</v>
      </c>
      <c r="S597" t="s">
        <v>157</v>
      </c>
      <c r="T597" t="s">
        <v>6440</v>
      </c>
      <c r="U597" t="s">
        <v>4680</v>
      </c>
      <c r="V597" t="s">
        <v>1348</v>
      </c>
      <c r="W597" t="s">
        <v>6453</v>
      </c>
      <c r="X597" t="s">
        <v>6454</v>
      </c>
      <c r="Y597" t="s">
        <v>93</v>
      </c>
      <c r="Z597" t="s">
        <v>119</v>
      </c>
      <c r="AA597" t="s">
        <v>6455</v>
      </c>
      <c r="AB597" t="s">
        <v>375</v>
      </c>
      <c r="AC597" t="s">
        <v>4164</v>
      </c>
      <c r="AD597" t="s">
        <v>119</v>
      </c>
      <c r="AE597" t="s">
        <v>6455</v>
      </c>
      <c r="AF597" t="s">
        <v>375</v>
      </c>
      <c r="AG597" t="s">
        <v>4164</v>
      </c>
      <c r="AI597" t="s">
        <v>6456</v>
      </c>
      <c r="AJ597" t="s">
        <v>119</v>
      </c>
      <c r="AK597" t="s">
        <v>99</v>
      </c>
      <c r="AL597" t="s">
        <v>6457</v>
      </c>
      <c r="AM597" t="s">
        <v>6458</v>
      </c>
      <c r="AN597" t="s">
        <v>2555</v>
      </c>
      <c r="AR597" t="s">
        <v>125</v>
      </c>
      <c r="AT597" t="s">
        <v>6459</v>
      </c>
      <c r="AV597" t="s">
        <v>128</v>
      </c>
      <c r="AZ597" t="s">
        <v>80</v>
      </c>
    </row>
    <row r="598" spans="1:52" hidden="1" x14ac:dyDescent="0.25">
      <c r="A598" t="s">
        <v>6460</v>
      </c>
      <c r="B598" t="s">
        <v>6448</v>
      </c>
      <c r="C598" t="s">
        <v>6449</v>
      </c>
      <c r="D598" t="s">
        <v>2544</v>
      </c>
      <c r="E598" t="s">
        <v>6461</v>
      </c>
      <c r="F598" t="s">
        <v>6451</v>
      </c>
      <c r="G598" t="s">
        <v>6451</v>
      </c>
      <c r="J598" t="s">
        <v>80</v>
      </c>
      <c r="K598" t="s">
        <v>110</v>
      </c>
      <c r="L598" t="s">
        <v>111</v>
      </c>
      <c r="M598" t="s">
        <v>6452</v>
      </c>
      <c r="P598" t="s">
        <v>154</v>
      </c>
      <c r="Q598" t="s">
        <v>155</v>
      </c>
      <c r="R598" t="s">
        <v>156</v>
      </c>
      <c r="S598" t="s">
        <v>157</v>
      </c>
      <c r="T598" t="s">
        <v>6440</v>
      </c>
      <c r="U598" t="s">
        <v>4680</v>
      </c>
      <c r="V598" t="s">
        <v>1348</v>
      </c>
      <c r="W598" t="s">
        <v>6462</v>
      </c>
      <c r="X598" t="s">
        <v>6463</v>
      </c>
      <c r="Y598" t="s">
        <v>93</v>
      </c>
      <c r="Z598" t="s">
        <v>119</v>
      </c>
      <c r="AA598" t="s">
        <v>6455</v>
      </c>
      <c r="AB598" t="s">
        <v>375</v>
      </c>
      <c r="AC598" t="s">
        <v>4164</v>
      </c>
      <c r="AD598" t="s">
        <v>119</v>
      </c>
      <c r="AE598" t="s">
        <v>6455</v>
      </c>
      <c r="AF598" t="s">
        <v>375</v>
      </c>
      <c r="AG598" t="s">
        <v>4164</v>
      </c>
      <c r="AI598" t="s">
        <v>6456</v>
      </c>
      <c r="AJ598" t="s">
        <v>119</v>
      </c>
      <c r="AK598" t="s">
        <v>99</v>
      </c>
      <c r="AL598" t="s">
        <v>6464</v>
      </c>
      <c r="AM598" t="s">
        <v>6458</v>
      </c>
      <c r="AN598" t="s">
        <v>2555</v>
      </c>
      <c r="AR598" t="s">
        <v>125</v>
      </c>
      <c r="AT598" t="s">
        <v>6465</v>
      </c>
      <c r="AV598" t="s">
        <v>128</v>
      </c>
      <c r="AZ598" t="s">
        <v>80</v>
      </c>
    </row>
    <row r="599" spans="1:52" hidden="1" x14ac:dyDescent="0.25">
      <c r="A599" t="s">
        <v>6466</v>
      </c>
      <c r="B599" t="s">
        <v>6467</v>
      </c>
      <c r="C599" t="s">
        <v>6468</v>
      </c>
      <c r="D599" t="s">
        <v>2544</v>
      </c>
      <c r="E599" t="s">
        <v>6469</v>
      </c>
      <c r="F599" t="s">
        <v>6470</v>
      </c>
      <c r="G599" t="s">
        <v>6470</v>
      </c>
      <c r="J599" t="s">
        <v>80</v>
      </c>
      <c r="K599" t="s">
        <v>110</v>
      </c>
      <c r="L599" t="s">
        <v>111</v>
      </c>
      <c r="M599">
        <v>69640</v>
      </c>
      <c r="P599" t="s">
        <v>154</v>
      </c>
      <c r="Q599" t="s">
        <v>539</v>
      </c>
      <c r="R599" t="s">
        <v>540</v>
      </c>
      <c r="S599" t="s">
        <v>1124</v>
      </c>
      <c r="T599" t="s">
        <v>450</v>
      </c>
      <c r="U599" t="s">
        <v>1431</v>
      </c>
      <c r="V599" t="s">
        <v>452</v>
      </c>
      <c r="W599" t="s">
        <v>797</v>
      </c>
      <c r="X599" t="s">
        <v>1433</v>
      </c>
      <c r="Y599" t="s">
        <v>93</v>
      </c>
      <c r="Z599" t="s">
        <v>427</v>
      </c>
      <c r="AA599" t="s">
        <v>2291</v>
      </c>
      <c r="AB599" t="s">
        <v>119</v>
      </c>
      <c r="AC599" t="s">
        <v>6471</v>
      </c>
      <c r="AD599" t="s">
        <v>427</v>
      </c>
      <c r="AE599" t="s">
        <v>2291</v>
      </c>
      <c r="AF599" t="s">
        <v>119</v>
      </c>
      <c r="AG599" t="s">
        <v>6471</v>
      </c>
      <c r="AI599" t="s">
        <v>6472</v>
      </c>
      <c r="AJ599" t="s">
        <v>427</v>
      </c>
      <c r="AK599" t="s">
        <v>99</v>
      </c>
      <c r="AL599" t="s">
        <v>6473</v>
      </c>
      <c r="AM599" t="s">
        <v>6474</v>
      </c>
      <c r="AN599" t="s">
        <v>2555</v>
      </c>
      <c r="AR599" t="s">
        <v>125</v>
      </c>
      <c r="AT599" t="s">
        <v>6475</v>
      </c>
      <c r="AV599" t="s">
        <v>128</v>
      </c>
      <c r="AZ599" t="s">
        <v>80</v>
      </c>
    </row>
    <row r="600" spans="1:52" hidden="1" x14ac:dyDescent="0.25">
      <c r="A600" t="s">
        <v>6476</v>
      </c>
      <c r="B600" t="s">
        <v>6477</v>
      </c>
      <c r="C600" t="s">
        <v>6478</v>
      </c>
      <c r="D600" t="s">
        <v>2544</v>
      </c>
      <c r="E600" t="s">
        <v>6479</v>
      </c>
      <c r="F600" t="s">
        <v>6480</v>
      </c>
      <c r="G600" t="s">
        <v>6480</v>
      </c>
      <c r="J600" t="s">
        <v>80</v>
      </c>
      <c r="K600" t="s">
        <v>110</v>
      </c>
      <c r="L600" t="s">
        <v>111</v>
      </c>
      <c r="M600">
        <v>69636</v>
      </c>
      <c r="P600" t="s">
        <v>154</v>
      </c>
      <c r="Q600" t="s">
        <v>1284</v>
      </c>
      <c r="R600" t="s">
        <v>1285</v>
      </c>
      <c r="S600" t="s">
        <v>1124</v>
      </c>
      <c r="T600" t="s">
        <v>450</v>
      </c>
      <c r="U600" t="s">
        <v>451</v>
      </c>
      <c r="V600" t="s">
        <v>452</v>
      </c>
      <c r="W600" t="s">
        <v>697</v>
      </c>
      <c r="X600" t="s">
        <v>6292</v>
      </c>
      <c r="Y600" t="s">
        <v>93</v>
      </c>
      <c r="Z600" t="s">
        <v>427</v>
      </c>
      <c r="AA600" t="s">
        <v>6481</v>
      </c>
      <c r="AB600" t="s">
        <v>119</v>
      </c>
      <c r="AC600" t="s">
        <v>3472</v>
      </c>
      <c r="AD600" t="s">
        <v>427</v>
      </c>
      <c r="AE600" t="s">
        <v>6481</v>
      </c>
      <c r="AF600" t="s">
        <v>119</v>
      </c>
      <c r="AG600" t="s">
        <v>3472</v>
      </c>
      <c r="AI600" t="s">
        <v>3614</v>
      </c>
      <c r="AJ600" t="s">
        <v>427</v>
      </c>
      <c r="AK600" t="s">
        <v>99</v>
      </c>
      <c r="AL600" t="s">
        <v>6482</v>
      </c>
      <c r="AM600" t="s">
        <v>6483</v>
      </c>
      <c r="AN600" t="s">
        <v>2555</v>
      </c>
      <c r="AR600" t="s">
        <v>125</v>
      </c>
      <c r="AT600" t="s">
        <v>6484</v>
      </c>
      <c r="AV600" t="s">
        <v>128</v>
      </c>
      <c r="AZ600" t="s">
        <v>80</v>
      </c>
    </row>
    <row r="601" spans="1:52" hidden="1" x14ac:dyDescent="0.25">
      <c r="A601" t="s">
        <v>6485</v>
      </c>
      <c r="B601" t="s">
        <v>6486</v>
      </c>
      <c r="C601" t="s">
        <v>6487</v>
      </c>
      <c r="D601" t="s">
        <v>2544</v>
      </c>
      <c r="E601" t="s">
        <v>6488</v>
      </c>
      <c r="F601" t="s">
        <v>6489</v>
      </c>
      <c r="G601" t="s">
        <v>6489</v>
      </c>
      <c r="J601" t="s">
        <v>80</v>
      </c>
      <c r="K601" t="s">
        <v>110</v>
      </c>
      <c r="L601" t="s">
        <v>111</v>
      </c>
      <c r="M601">
        <v>69614</v>
      </c>
      <c r="P601" t="s">
        <v>154</v>
      </c>
      <c r="Q601" t="s">
        <v>731</v>
      </c>
      <c r="R601" t="s">
        <v>732</v>
      </c>
      <c r="S601" t="s">
        <v>733</v>
      </c>
      <c r="T601" t="s">
        <v>450</v>
      </c>
      <c r="U601" t="s">
        <v>300</v>
      </c>
      <c r="V601" t="s">
        <v>1566</v>
      </c>
      <c r="W601" t="s">
        <v>797</v>
      </c>
      <c r="X601" t="s">
        <v>1433</v>
      </c>
      <c r="Y601" t="s">
        <v>93</v>
      </c>
      <c r="Z601" t="s">
        <v>427</v>
      </c>
      <c r="AA601" t="s">
        <v>2882</v>
      </c>
      <c r="AB601" t="s">
        <v>119</v>
      </c>
      <c r="AC601" t="s">
        <v>2864</v>
      </c>
      <c r="AD601" t="s">
        <v>427</v>
      </c>
      <c r="AE601" t="s">
        <v>2882</v>
      </c>
      <c r="AF601" t="s">
        <v>119</v>
      </c>
      <c r="AG601" t="s">
        <v>2864</v>
      </c>
      <c r="AI601" t="s">
        <v>6490</v>
      </c>
      <c r="AJ601" t="s">
        <v>427</v>
      </c>
      <c r="AK601" t="s">
        <v>99</v>
      </c>
      <c r="AL601" t="s">
        <v>6491</v>
      </c>
      <c r="AM601" t="s">
        <v>6492</v>
      </c>
      <c r="AN601" t="s">
        <v>2555</v>
      </c>
      <c r="AR601" t="s">
        <v>125</v>
      </c>
      <c r="AT601" t="s">
        <v>6493</v>
      </c>
      <c r="AV601" t="s">
        <v>128</v>
      </c>
      <c r="AZ601" t="s">
        <v>80</v>
      </c>
    </row>
    <row r="602" spans="1:52" hidden="1" x14ac:dyDescent="0.25">
      <c r="A602" t="s">
        <v>6494</v>
      </c>
      <c r="B602" t="s">
        <v>6495</v>
      </c>
      <c r="C602" t="s">
        <v>6496</v>
      </c>
      <c r="D602" t="s">
        <v>2544</v>
      </c>
      <c r="E602" t="s">
        <v>6497</v>
      </c>
      <c r="F602" t="s">
        <v>6498</v>
      </c>
      <c r="G602" t="s">
        <v>6498</v>
      </c>
      <c r="J602" t="s">
        <v>80</v>
      </c>
      <c r="K602" t="s">
        <v>110</v>
      </c>
      <c r="L602" t="s">
        <v>111</v>
      </c>
      <c r="M602">
        <v>69602</v>
      </c>
      <c r="P602" t="s">
        <v>154</v>
      </c>
      <c r="Q602" t="s">
        <v>1284</v>
      </c>
      <c r="R602" t="s">
        <v>1285</v>
      </c>
      <c r="S602" t="s">
        <v>1124</v>
      </c>
      <c r="T602" t="s">
        <v>450</v>
      </c>
      <c r="U602" t="s">
        <v>451</v>
      </c>
      <c r="V602" t="s">
        <v>452</v>
      </c>
      <c r="W602" t="s">
        <v>6499</v>
      </c>
      <c r="X602" t="s">
        <v>6500</v>
      </c>
      <c r="Y602" t="s">
        <v>93</v>
      </c>
      <c r="Z602" t="s">
        <v>427</v>
      </c>
      <c r="AA602" t="s">
        <v>4472</v>
      </c>
      <c r="AB602" t="s">
        <v>119</v>
      </c>
      <c r="AC602" t="s">
        <v>6501</v>
      </c>
      <c r="AD602" t="s">
        <v>427</v>
      </c>
      <c r="AE602" t="s">
        <v>4472</v>
      </c>
      <c r="AF602" t="s">
        <v>119</v>
      </c>
      <c r="AG602" t="s">
        <v>6501</v>
      </c>
      <c r="AI602" t="s">
        <v>6502</v>
      </c>
      <c r="AJ602" t="s">
        <v>427</v>
      </c>
      <c r="AK602" t="s">
        <v>99</v>
      </c>
      <c r="AL602" t="s">
        <v>6503</v>
      </c>
      <c r="AM602" t="s">
        <v>6504</v>
      </c>
      <c r="AN602" t="s">
        <v>2555</v>
      </c>
      <c r="AR602" t="s">
        <v>125</v>
      </c>
      <c r="AT602" t="s">
        <v>6505</v>
      </c>
      <c r="AV602" t="s">
        <v>128</v>
      </c>
      <c r="AZ602" t="s">
        <v>80</v>
      </c>
    </row>
    <row r="603" spans="1:52" hidden="1" x14ac:dyDescent="0.25">
      <c r="A603" t="s">
        <v>6506</v>
      </c>
      <c r="B603" t="s">
        <v>6507</v>
      </c>
      <c r="C603" t="s">
        <v>6508</v>
      </c>
      <c r="D603" t="s">
        <v>2544</v>
      </c>
      <c r="E603" t="s">
        <v>6509</v>
      </c>
      <c r="F603" t="s">
        <v>6510</v>
      </c>
      <c r="G603" t="s">
        <v>6510</v>
      </c>
      <c r="J603" t="s">
        <v>80</v>
      </c>
      <c r="K603" t="s">
        <v>110</v>
      </c>
      <c r="L603" t="s">
        <v>111</v>
      </c>
      <c r="M603">
        <v>69164</v>
      </c>
      <c r="O603" t="s">
        <v>6511</v>
      </c>
      <c r="P603" t="s">
        <v>212</v>
      </c>
      <c r="Q603" t="s">
        <v>1284</v>
      </c>
      <c r="R603" t="s">
        <v>1285</v>
      </c>
      <c r="S603" t="s">
        <v>1124</v>
      </c>
      <c r="T603" t="s">
        <v>468</v>
      </c>
      <c r="U603" t="s">
        <v>6512</v>
      </c>
      <c r="V603" t="s">
        <v>6513</v>
      </c>
      <c r="W603" t="s">
        <v>161</v>
      </c>
      <c r="X603" t="s">
        <v>471</v>
      </c>
      <c r="Y603" t="s">
        <v>93</v>
      </c>
      <c r="Z603" t="s">
        <v>472</v>
      </c>
      <c r="AA603" t="s">
        <v>604</v>
      </c>
      <c r="AB603" t="s">
        <v>119</v>
      </c>
      <c r="AC603" t="s">
        <v>6514</v>
      </c>
      <c r="AD603" t="s">
        <v>472</v>
      </c>
      <c r="AE603" t="s">
        <v>604</v>
      </c>
      <c r="AF603" t="s">
        <v>119</v>
      </c>
      <c r="AG603" t="s">
        <v>6514</v>
      </c>
      <c r="AI603" t="s">
        <v>6515</v>
      </c>
      <c r="AJ603" t="s">
        <v>472</v>
      </c>
      <c r="AK603" t="s">
        <v>99</v>
      </c>
      <c r="AL603" t="s">
        <v>6516</v>
      </c>
      <c r="AM603" t="s">
        <v>6517</v>
      </c>
      <c r="AN603" t="s">
        <v>2555</v>
      </c>
      <c r="AR603" t="s">
        <v>125</v>
      </c>
      <c r="AT603" t="s">
        <v>6518</v>
      </c>
      <c r="AV603" t="s">
        <v>190</v>
      </c>
      <c r="AZ603" t="s">
        <v>80</v>
      </c>
    </row>
    <row r="604" spans="1:52" hidden="1" x14ac:dyDescent="0.25">
      <c r="A604" t="s">
        <v>6519</v>
      </c>
      <c r="B604" t="s">
        <v>6520</v>
      </c>
      <c r="C604" t="s">
        <v>6521</v>
      </c>
      <c r="D604" t="s">
        <v>2544</v>
      </c>
      <c r="E604" t="s">
        <v>6522</v>
      </c>
      <c r="F604" t="s">
        <v>6523</v>
      </c>
      <c r="G604" t="s">
        <v>6523</v>
      </c>
      <c r="J604" t="s">
        <v>80</v>
      </c>
      <c r="K604" t="s">
        <v>110</v>
      </c>
      <c r="L604" t="s">
        <v>111</v>
      </c>
      <c r="M604" t="s">
        <v>6524</v>
      </c>
      <c r="P604" t="s">
        <v>154</v>
      </c>
      <c r="Q604" t="s">
        <v>155</v>
      </c>
      <c r="R604" t="s">
        <v>156</v>
      </c>
      <c r="S604" t="s">
        <v>733</v>
      </c>
      <c r="T604" t="s">
        <v>1464</v>
      </c>
      <c r="U604" t="s">
        <v>6525</v>
      </c>
      <c r="V604" t="s">
        <v>1140</v>
      </c>
      <c r="W604" t="s">
        <v>161</v>
      </c>
      <c r="X604" t="s">
        <v>1467</v>
      </c>
      <c r="Y604" t="s">
        <v>93</v>
      </c>
      <c r="Z604" t="s">
        <v>1468</v>
      </c>
      <c r="AA604" t="s">
        <v>3625</v>
      </c>
      <c r="AB604" t="s">
        <v>119</v>
      </c>
      <c r="AC604" t="s">
        <v>5934</v>
      </c>
      <c r="AD604" t="s">
        <v>1468</v>
      </c>
      <c r="AE604" t="s">
        <v>3625</v>
      </c>
      <c r="AF604" t="s">
        <v>119</v>
      </c>
      <c r="AG604" t="s">
        <v>5934</v>
      </c>
      <c r="AI604" t="s">
        <v>6526</v>
      </c>
      <c r="AJ604" t="s">
        <v>1468</v>
      </c>
      <c r="AK604" t="s">
        <v>99</v>
      </c>
      <c r="AL604" t="s">
        <v>6527</v>
      </c>
      <c r="AM604" t="s">
        <v>6528</v>
      </c>
      <c r="AN604" t="s">
        <v>2555</v>
      </c>
      <c r="AR604" t="s">
        <v>125</v>
      </c>
      <c r="AT604" t="s">
        <v>6529</v>
      </c>
      <c r="AV604" t="s">
        <v>128</v>
      </c>
      <c r="AZ604" t="s">
        <v>80</v>
      </c>
    </row>
    <row r="605" spans="1:52" hidden="1" x14ac:dyDescent="0.25">
      <c r="A605" t="s">
        <v>6530</v>
      </c>
      <c r="B605" t="s">
        <v>6531</v>
      </c>
      <c r="C605" t="s">
        <v>6532</v>
      </c>
      <c r="D605" t="s">
        <v>2544</v>
      </c>
      <c r="E605" t="s">
        <v>6533</v>
      </c>
      <c r="F605" t="s">
        <v>6534</v>
      </c>
      <c r="G605" t="s">
        <v>6534</v>
      </c>
      <c r="J605" t="s">
        <v>80</v>
      </c>
      <c r="K605" t="s">
        <v>110</v>
      </c>
      <c r="L605" t="s">
        <v>111</v>
      </c>
      <c r="M605">
        <v>69522</v>
      </c>
      <c r="P605" t="s">
        <v>154</v>
      </c>
      <c r="Q605" t="s">
        <v>1284</v>
      </c>
      <c r="R605" t="s">
        <v>1285</v>
      </c>
      <c r="S605" t="s">
        <v>1124</v>
      </c>
      <c r="T605" t="s">
        <v>468</v>
      </c>
      <c r="U605" t="s">
        <v>1030</v>
      </c>
      <c r="V605" t="s">
        <v>1031</v>
      </c>
      <c r="W605" t="s">
        <v>161</v>
      </c>
      <c r="X605" t="s">
        <v>471</v>
      </c>
      <c r="Y605" t="s">
        <v>93</v>
      </c>
      <c r="Z605" t="s">
        <v>472</v>
      </c>
      <c r="AA605" t="s">
        <v>6535</v>
      </c>
      <c r="AB605" t="s">
        <v>119</v>
      </c>
      <c r="AC605" t="s">
        <v>6536</v>
      </c>
      <c r="AD605" t="s">
        <v>472</v>
      </c>
      <c r="AE605" t="s">
        <v>6535</v>
      </c>
      <c r="AF605" t="s">
        <v>119</v>
      </c>
      <c r="AG605" t="s">
        <v>6536</v>
      </c>
      <c r="AI605" t="s">
        <v>6537</v>
      </c>
      <c r="AJ605" t="s">
        <v>472</v>
      </c>
      <c r="AK605" t="s">
        <v>99</v>
      </c>
      <c r="AL605" t="s">
        <v>6538</v>
      </c>
      <c r="AM605" t="s">
        <v>6539</v>
      </c>
      <c r="AN605" t="s">
        <v>2555</v>
      </c>
      <c r="AR605" t="s">
        <v>125</v>
      </c>
      <c r="AT605" t="s">
        <v>6540</v>
      </c>
      <c r="AV605" t="s">
        <v>128</v>
      </c>
      <c r="AZ605" t="s">
        <v>80</v>
      </c>
    </row>
    <row r="606" spans="1:52" hidden="1" x14ac:dyDescent="0.25">
      <c r="A606" t="s">
        <v>6541</v>
      </c>
      <c r="B606" t="s">
        <v>6542</v>
      </c>
      <c r="C606" t="s">
        <v>6543</v>
      </c>
      <c r="D606" t="s">
        <v>2544</v>
      </c>
      <c r="E606" t="s">
        <v>6544</v>
      </c>
      <c r="F606" t="s">
        <v>6545</v>
      </c>
      <c r="G606" t="s">
        <v>6545</v>
      </c>
      <c r="J606" t="s">
        <v>80</v>
      </c>
      <c r="K606" t="s">
        <v>110</v>
      </c>
      <c r="L606" t="s">
        <v>111</v>
      </c>
      <c r="M606" t="s">
        <v>6546</v>
      </c>
      <c r="P606" t="s">
        <v>154</v>
      </c>
      <c r="Q606" t="s">
        <v>1284</v>
      </c>
      <c r="R606" t="s">
        <v>1285</v>
      </c>
      <c r="S606" t="s">
        <v>1124</v>
      </c>
      <c r="T606" t="s">
        <v>1464</v>
      </c>
      <c r="U606" t="s">
        <v>6547</v>
      </c>
      <c r="V606" t="s">
        <v>4037</v>
      </c>
      <c r="W606" t="s">
        <v>161</v>
      </c>
      <c r="X606" t="s">
        <v>1467</v>
      </c>
      <c r="Y606" t="s">
        <v>93</v>
      </c>
      <c r="Z606" t="s">
        <v>1468</v>
      </c>
      <c r="AA606" t="s">
        <v>6548</v>
      </c>
      <c r="AB606" t="s">
        <v>119</v>
      </c>
      <c r="AC606" t="s">
        <v>6549</v>
      </c>
      <c r="AD606" t="s">
        <v>1468</v>
      </c>
      <c r="AE606" t="s">
        <v>6548</v>
      </c>
      <c r="AF606" t="s">
        <v>119</v>
      </c>
      <c r="AG606" t="s">
        <v>6549</v>
      </c>
      <c r="AI606" t="s">
        <v>6550</v>
      </c>
      <c r="AJ606" t="s">
        <v>1468</v>
      </c>
      <c r="AK606" t="s">
        <v>99</v>
      </c>
      <c r="AL606" t="s">
        <v>6551</v>
      </c>
      <c r="AM606" t="s">
        <v>6552</v>
      </c>
      <c r="AN606" t="s">
        <v>2555</v>
      </c>
      <c r="AR606" t="s">
        <v>125</v>
      </c>
      <c r="AT606" t="s">
        <v>6553</v>
      </c>
      <c r="AV606" t="s">
        <v>128</v>
      </c>
      <c r="AZ606" t="s">
        <v>80</v>
      </c>
    </row>
    <row r="607" spans="1:52" hidden="1" x14ac:dyDescent="0.25">
      <c r="A607" t="s">
        <v>6554</v>
      </c>
      <c r="B607" t="s">
        <v>1158</v>
      </c>
      <c r="C607" t="s">
        <v>6555</v>
      </c>
      <c r="D607" t="s">
        <v>2544</v>
      </c>
      <c r="E607" t="s">
        <v>6556</v>
      </c>
      <c r="F607" t="s">
        <v>1161</v>
      </c>
      <c r="G607" t="s">
        <v>1161</v>
      </c>
      <c r="J607" t="s">
        <v>80</v>
      </c>
      <c r="K607" t="s">
        <v>110</v>
      </c>
      <c r="L607" t="s">
        <v>111</v>
      </c>
      <c r="M607">
        <v>69518</v>
      </c>
      <c r="P607" t="s">
        <v>154</v>
      </c>
      <c r="Q607" t="s">
        <v>1284</v>
      </c>
      <c r="R607" t="s">
        <v>1285</v>
      </c>
      <c r="S607" t="s">
        <v>1124</v>
      </c>
      <c r="T607" t="s">
        <v>468</v>
      </c>
      <c r="U607" t="s">
        <v>1030</v>
      </c>
      <c r="V607" t="s">
        <v>1031</v>
      </c>
      <c r="W607" t="s">
        <v>302</v>
      </c>
      <c r="X607" t="s">
        <v>6557</v>
      </c>
      <c r="Y607" t="s">
        <v>93</v>
      </c>
      <c r="Z607" t="s">
        <v>472</v>
      </c>
      <c r="AA607" t="s">
        <v>767</v>
      </c>
      <c r="AB607" t="s">
        <v>119</v>
      </c>
      <c r="AC607" t="s">
        <v>1164</v>
      </c>
      <c r="AD607" t="s">
        <v>472</v>
      </c>
      <c r="AE607" t="s">
        <v>767</v>
      </c>
      <c r="AF607" t="s">
        <v>119</v>
      </c>
      <c r="AG607" t="s">
        <v>1164</v>
      </c>
      <c r="AI607" t="s">
        <v>6558</v>
      </c>
      <c r="AJ607" t="s">
        <v>472</v>
      </c>
      <c r="AK607" t="s">
        <v>99</v>
      </c>
      <c r="AL607" t="s">
        <v>6559</v>
      </c>
      <c r="AM607" t="s">
        <v>6560</v>
      </c>
      <c r="AN607" t="s">
        <v>2555</v>
      </c>
      <c r="AR607" t="s">
        <v>125</v>
      </c>
      <c r="AT607" t="s">
        <v>6561</v>
      </c>
      <c r="AV607" t="s">
        <v>128</v>
      </c>
      <c r="AZ607" t="s">
        <v>80</v>
      </c>
    </row>
    <row r="608" spans="1:52" hidden="1" x14ac:dyDescent="0.25">
      <c r="A608" t="s">
        <v>6562</v>
      </c>
      <c r="B608" t="s">
        <v>6563</v>
      </c>
      <c r="C608" t="s">
        <v>6564</v>
      </c>
      <c r="D608" t="s">
        <v>2544</v>
      </c>
      <c r="E608" t="s">
        <v>6565</v>
      </c>
      <c r="F608" t="s">
        <v>6566</v>
      </c>
      <c r="G608" t="s">
        <v>6566</v>
      </c>
      <c r="J608" t="s">
        <v>80</v>
      </c>
      <c r="K608" t="s">
        <v>110</v>
      </c>
      <c r="L608" t="s">
        <v>111</v>
      </c>
      <c r="M608">
        <v>69162</v>
      </c>
      <c r="O608" t="s">
        <v>6567</v>
      </c>
      <c r="P608" t="s">
        <v>212</v>
      </c>
      <c r="Q608" t="s">
        <v>731</v>
      </c>
      <c r="R608" t="s">
        <v>732</v>
      </c>
      <c r="S608" t="s">
        <v>733</v>
      </c>
      <c r="T608" t="s">
        <v>468</v>
      </c>
      <c r="U608" t="s">
        <v>6568</v>
      </c>
      <c r="V608" t="s">
        <v>6569</v>
      </c>
      <c r="W608" t="s">
        <v>161</v>
      </c>
      <c r="X608" t="s">
        <v>471</v>
      </c>
      <c r="Y608" t="s">
        <v>93</v>
      </c>
      <c r="Z608" t="s">
        <v>472</v>
      </c>
      <c r="AA608" t="s">
        <v>6570</v>
      </c>
      <c r="AB608" t="s">
        <v>119</v>
      </c>
      <c r="AC608" t="s">
        <v>3196</v>
      </c>
      <c r="AD608" t="s">
        <v>472</v>
      </c>
      <c r="AE608" t="s">
        <v>6570</v>
      </c>
      <c r="AF608" t="s">
        <v>119</v>
      </c>
      <c r="AG608" t="s">
        <v>3196</v>
      </c>
      <c r="AI608" t="s">
        <v>6571</v>
      </c>
      <c r="AJ608" t="s">
        <v>472</v>
      </c>
      <c r="AK608" t="s">
        <v>99</v>
      </c>
      <c r="AL608" t="s">
        <v>6572</v>
      </c>
      <c r="AM608" t="s">
        <v>6573</v>
      </c>
      <c r="AN608" t="s">
        <v>2555</v>
      </c>
      <c r="AR608" t="s">
        <v>125</v>
      </c>
      <c r="AT608" t="s">
        <v>6574</v>
      </c>
      <c r="AV608" t="s">
        <v>190</v>
      </c>
      <c r="AZ608" t="s">
        <v>80</v>
      </c>
    </row>
    <row r="609" spans="1:52" hidden="1" x14ac:dyDescent="0.25">
      <c r="A609" t="s">
        <v>6575</v>
      </c>
      <c r="B609" t="s">
        <v>6576</v>
      </c>
      <c r="C609" t="s">
        <v>6577</v>
      </c>
      <c r="D609" t="s">
        <v>2544</v>
      </c>
      <c r="E609" t="s">
        <v>6578</v>
      </c>
      <c r="F609" t="s">
        <v>6579</v>
      </c>
      <c r="G609" t="s">
        <v>6579</v>
      </c>
      <c r="J609" t="s">
        <v>80</v>
      </c>
      <c r="K609" t="s">
        <v>110</v>
      </c>
      <c r="L609" t="s">
        <v>111</v>
      </c>
      <c r="M609" t="s">
        <v>6580</v>
      </c>
      <c r="P609" t="s">
        <v>154</v>
      </c>
      <c r="Q609" t="s">
        <v>155</v>
      </c>
      <c r="R609" t="s">
        <v>156</v>
      </c>
      <c r="S609" t="s">
        <v>733</v>
      </c>
      <c r="T609" t="s">
        <v>1464</v>
      </c>
      <c r="U609" t="s">
        <v>6581</v>
      </c>
      <c r="V609" t="s">
        <v>4823</v>
      </c>
      <c r="W609" t="s">
        <v>161</v>
      </c>
      <c r="X609" t="s">
        <v>1467</v>
      </c>
      <c r="Y609" t="s">
        <v>93</v>
      </c>
      <c r="Z609" t="s">
        <v>1468</v>
      </c>
      <c r="AA609" t="s">
        <v>2400</v>
      </c>
      <c r="AB609" t="s">
        <v>119</v>
      </c>
      <c r="AC609" t="s">
        <v>6582</v>
      </c>
      <c r="AD609" t="s">
        <v>1468</v>
      </c>
      <c r="AE609" t="s">
        <v>2400</v>
      </c>
      <c r="AF609" t="s">
        <v>119</v>
      </c>
      <c r="AG609" t="s">
        <v>6582</v>
      </c>
      <c r="AI609" t="s">
        <v>6583</v>
      </c>
      <c r="AJ609" t="s">
        <v>1468</v>
      </c>
      <c r="AK609" t="s">
        <v>99</v>
      </c>
      <c r="AL609" t="s">
        <v>6584</v>
      </c>
      <c r="AM609" t="s">
        <v>6585</v>
      </c>
      <c r="AN609" t="s">
        <v>2555</v>
      </c>
      <c r="AR609" t="s">
        <v>125</v>
      </c>
      <c r="AT609" t="s">
        <v>6586</v>
      </c>
      <c r="AV609" t="s">
        <v>128</v>
      </c>
      <c r="AZ609" t="s">
        <v>80</v>
      </c>
    </row>
    <row r="610" spans="1:52" hidden="1" x14ac:dyDescent="0.25">
      <c r="A610" t="s">
        <v>6587</v>
      </c>
      <c r="B610" t="s">
        <v>6588</v>
      </c>
      <c r="C610" t="s">
        <v>6589</v>
      </c>
      <c r="D610" t="s">
        <v>2544</v>
      </c>
      <c r="E610" t="s">
        <v>6590</v>
      </c>
      <c r="F610" t="s">
        <v>6591</v>
      </c>
      <c r="G610" t="s">
        <v>6591</v>
      </c>
      <c r="J610" t="s">
        <v>80</v>
      </c>
      <c r="K610" t="s">
        <v>110</v>
      </c>
      <c r="L610" t="s">
        <v>111</v>
      </c>
      <c r="M610">
        <v>69160</v>
      </c>
      <c r="O610" t="s">
        <v>1176</v>
      </c>
      <c r="P610" t="s">
        <v>212</v>
      </c>
      <c r="Q610" t="s">
        <v>1284</v>
      </c>
      <c r="R610" t="s">
        <v>1285</v>
      </c>
      <c r="S610" t="s">
        <v>1124</v>
      </c>
      <c r="T610" t="s">
        <v>468</v>
      </c>
      <c r="U610" t="s">
        <v>1177</v>
      </c>
      <c r="V610" t="s">
        <v>1178</v>
      </c>
      <c r="W610" t="s">
        <v>161</v>
      </c>
      <c r="X610" t="s">
        <v>471</v>
      </c>
      <c r="Y610" t="s">
        <v>93</v>
      </c>
      <c r="Z610" t="s">
        <v>472</v>
      </c>
      <c r="AA610" t="s">
        <v>6005</v>
      </c>
      <c r="AB610" t="s">
        <v>119</v>
      </c>
      <c r="AC610" t="s">
        <v>3811</v>
      </c>
      <c r="AD610" t="s">
        <v>472</v>
      </c>
      <c r="AE610" t="s">
        <v>6005</v>
      </c>
      <c r="AF610" t="s">
        <v>119</v>
      </c>
      <c r="AG610" t="s">
        <v>3811</v>
      </c>
      <c r="AI610" t="s">
        <v>5402</v>
      </c>
      <c r="AJ610" t="s">
        <v>472</v>
      </c>
      <c r="AK610" t="s">
        <v>99</v>
      </c>
      <c r="AL610" t="s">
        <v>6592</v>
      </c>
      <c r="AM610" t="s">
        <v>6593</v>
      </c>
      <c r="AN610" t="s">
        <v>2555</v>
      </c>
      <c r="AR610" t="s">
        <v>125</v>
      </c>
      <c r="AT610" t="s">
        <v>6594</v>
      </c>
      <c r="AV610" t="s">
        <v>190</v>
      </c>
      <c r="AZ610" t="s">
        <v>80</v>
      </c>
    </row>
    <row r="611" spans="1:52" hidden="1" x14ac:dyDescent="0.25">
      <c r="A611" t="s">
        <v>6595</v>
      </c>
      <c r="B611" t="s">
        <v>6596</v>
      </c>
      <c r="C611" t="s">
        <v>6597</v>
      </c>
      <c r="D611" t="s">
        <v>2544</v>
      </c>
      <c r="E611" t="s">
        <v>6598</v>
      </c>
      <c r="F611" t="s">
        <v>6599</v>
      </c>
      <c r="G611" t="s">
        <v>6599</v>
      </c>
      <c r="J611" t="s">
        <v>80</v>
      </c>
      <c r="K611" t="s">
        <v>110</v>
      </c>
      <c r="L611" t="s">
        <v>111</v>
      </c>
      <c r="M611">
        <v>69508</v>
      </c>
      <c r="P611" t="s">
        <v>154</v>
      </c>
      <c r="Q611" t="s">
        <v>731</v>
      </c>
      <c r="R611" t="s">
        <v>732</v>
      </c>
      <c r="S611" t="s">
        <v>733</v>
      </c>
      <c r="T611" t="s">
        <v>468</v>
      </c>
      <c r="U611" t="s">
        <v>6600</v>
      </c>
      <c r="V611" t="s">
        <v>6601</v>
      </c>
      <c r="W611" t="s">
        <v>161</v>
      </c>
      <c r="X611" t="s">
        <v>471</v>
      </c>
      <c r="Y611" t="s">
        <v>93</v>
      </c>
      <c r="Z611" t="s">
        <v>472</v>
      </c>
      <c r="AA611" t="s">
        <v>429</v>
      </c>
      <c r="AB611" t="s">
        <v>119</v>
      </c>
      <c r="AC611" t="s">
        <v>2183</v>
      </c>
      <c r="AD611" t="s">
        <v>472</v>
      </c>
      <c r="AE611" t="s">
        <v>429</v>
      </c>
      <c r="AF611" t="s">
        <v>119</v>
      </c>
      <c r="AG611" t="s">
        <v>2183</v>
      </c>
      <c r="AI611" t="s">
        <v>6602</v>
      </c>
      <c r="AJ611" t="s">
        <v>472</v>
      </c>
      <c r="AK611" t="s">
        <v>99</v>
      </c>
      <c r="AL611" t="s">
        <v>6603</v>
      </c>
      <c r="AM611" t="s">
        <v>6604</v>
      </c>
      <c r="AN611" t="s">
        <v>2555</v>
      </c>
      <c r="AR611" t="s">
        <v>125</v>
      </c>
      <c r="AT611" t="s">
        <v>6605</v>
      </c>
      <c r="AV611" t="s">
        <v>128</v>
      </c>
      <c r="AZ611" t="s">
        <v>80</v>
      </c>
    </row>
    <row r="612" spans="1:52" hidden="1" x14ac:dyDescent="0.25">
      <c r="A612" t="s">
        <v>6606</v>
      </c>
      <c r="B612" t="s">
        <v>6607</v>
      </c>
      <c r="C612" t="s">
        <v>6608</v>
      </c>
      <c r="D612" t="s">
        <v>2544</v>
      </c>
      <c r="E612" t="s">
        <v>6609</v>
      </c>
      <c r="F612" t="s">
        <v>6610</v>
      </c>
      <c r="G612" t="s">
        <v>6610</v>
      </c>
      <c r="J612" t="s">
        <v>80</v>
      </c>
      <c r="K612" t="s">
        <v>110</v>
      </c>
      <c r="L612" t="s">
        <v>111</v>
      </c>
      <c r="M612" t="s">
        <v>6611</v>
      </c>
      <c r="O612" t="s">
        <v>6612</v>
      </c>
      <c r="P612" t="s">
        <v>154</v>
      </c>
      <c r="Q612" t="s">
        <v>155</v>
      </c>
      <c r="R612" t="s">
        <v>156</v>
      </c>
      <c r="S612" t="s">
        <v>733</v>
      </c>
      <c r="T612" t="s">
        <v>1464</v>
      </c>
      <c r="U612" t="s">
        <v>6613</v>
      </c>
      <c r="V612" t="s">
        <v>600</v>
      </c>
      <c r="W612" t="s">
        <v>161</v>
      </c>
      <c r="X612" t="s">
        <v>1467</v>
      </c>
      <c r="Y612" t="s">
        <v>93</v>
      </c>
      <c r="Z612" t="s">
        <v>1468</v>
      </c>
      <c r="AA612" t="s">
        <v>6614</v>
      </c>
      <c r="AB612" t="s">
        <v>119</v>
      </c>
      <c r="AC612" t="s">
        <v>1723</v>
      </c>
      <c r="AD612" t="s">
        <v>1468</v>
      </c>
      <c r="AE612" t="s">
        <v>6614</v>
      </c>
      <c r="AF612" t="s">
        <v>119</v>
      </c>
      <c r="AG612" t="s">
        <v>1723</v>
      </c>
      <c r="AI612" t="s">
        <v>6615</v>
      </c>
      <c r="AJ612" t="s">
        <v>1468</v>
      </c>
      <c r="AK612" t="s">
        <v>99</v>
      </c>
      <c r="AL612" t="s">
        <v>6616</v>
      </c>
      <c r="AM612" t="s">
        <v>6617</v>
      </c>
      <c r="AN612" t="s">
        <v>2555</v>
      </c>
      <c r="AR612" t="s">
        <v>125</v>
      </c>
      <c r="AT612" t="s">
        <v>6618</v>
      </c>
      <c r="AV612" t="s">
        <v>190</v>
      </c>
      <c r="AZ612" t="s">
        <v>80</v>
      </c>
    </row>
    <row r="613" spans="1:52" hidden="1" x14ac:dyDescent="0.25">
      <c r="A613" t="s">
        <v>6619</v>
      </c>
      <c r="B613" t="s">
        <v>6620</v>
      </c>
      <c r="C613" t="s">
        <v>6621</v>
      </c>
      <c r="D613" t="s">
        <v>2544</v>
      </c>
      <c r="E613" t="s">
        <v>6622</v>
      </c>
      <c r="F613" t="s">
        <v>6623</v>
      </c>
      <c r="G613" t="s">
        <v>6623</v>
      </c>
      <c r="J613" t="s">
        <v>80</v>
      </c>
      <c r="K613" t="s">
        <v>110</v>
      </c>
      <c r="L613" t="s">
        <v>111</v>
      </c>
      <c r="M613">
        <v>69502</v>
      </c>
      <c r="P613" t="s">
        <v>154</v>
      </c>
      <c r="Q613" t="s">
        <v>1284</v>
      </c>
      <c r="R613" t="s">
        <v>1285</v>
      </c>
      <c r="S613" t="s">
        <v>1124</v>
      </c>
      <c r="T613" t="s">
        <v>6624</v>
      </c>
      <c r="U613" t="s">
        <v>3455</v>
      </c>
      <c r="V613" t="s">
        <v>487</v>
      </c>
      <c r="W613" t="s">
        <v>161</v>
      </c>
      <c r="X613" t="s">
        <v>6625</v>
      </c>
      <c r="Y613" t="s">
        <v>93</v>
      </c>
      <c r="Z613" t="s">
        <v>1486</v>
      </c>
      <c r="AA613" t="s">
        <v>4164</v>
      </c>
      <c r="AB613" t="s">
        <v>119</v>
      </c>
      <c r="AC613" t="s">
        <v>3239</v>
      </c>
      <c r="AD613" t="s">
        <v>1486</v>
      </c>
      <c r="AE613" t="s">
        <v>4164</v>
      </c>
      <c r="AF613" t="s">
        <v>119</v>
      </c>
      <c r="AG613" t="s">
        <v>3239</v>
      </c>
      <c r="AI613" t="s">
        <v>6626</v>
      </c>
      <c r="AJ613" t="s">
        <v>1486</v>
      </c>
      <c r="AK613" t="s">
        <v>99</v>
      </c>
      <c r="AL613" t="s">
        <v>6627</v>
      </c>
      <c r="AM613" t="s">
        <v>6628</v>
      </c>
      <c r="AN613" t="s">
        <v>2555</v>
      </c>
      <c r="AR613" t="s">
        <v>125</v>
      </c>
      <c r="AT613" t="s">
        <v>6629</v>
      </c>
      <c r="AV613" t="s">
        <v>128</v>
      </c>
      <c r="AZ613" t="s">
        <v>80</v>
      </c>
    </row>
    <row r="614" spans="1:52" hidden="1" x14ac:dyDescent="0.25">
      <c r="A614" t="s">
        <v>6630</v>
      </c>
      <c r="B614" t="s">
        <v>6631</v>
      </c>
      <c r="C614" t="s">
        <v>6632</v>
      </c>
      <c r="D614" t="s">
        <v>2544</v>
      </c>
      <c r="E614" t="s">
        <v>6633</v>
      </c>
      <c r="F614" t="s">
        <v>6634</v>
      </c>
      <c r="G614" t="s">
        <v>6634</v>
      </c>
      <c r="J614" t="s">
        <v>80</v>
      </c>
      <c r="K614" t="s">
        <v>110</v>
      </c>
      <c r="L614" t="s">
        <v>111</v>
      </c>
      <c r="M614">
        <v>69579</v>
      </c>
      <c r="O614" t="s">
        <v>467</v>
      </c>
      <c r="P614" t="s">
        <v>154</v>
      </c>
      <c r="Q614" t="s">
        <v>539</v>
      </c>
      <c r="R614" t="s">
        <v>540</v>
      </c>
      <c r="S614" t="s">
        <v>541</v>
      </c>
      <c r="T614" t="s">
        <v>6624</v>
      </c>
      <c r="U614" t="s">
        <v>6635</v>
      </c>
      <c r="V614" t="s">
        <v>6636</v>
      </c>
      <c r="W614" t="s">
        <v>6254</v>
      </c>
      <c r="X614" t="s">
        <v>6637</v>
      </c>
      <c r="Y614" t="s">
        <v>93</v>
      </c>
      <c r="Z614" t="s">
        <v>119</v>
      </c>
      <c r="AA614" t="s">
        <v>1898</v>
      </c>
      <c r="AB614" t="s">
        <v>1486</v>
      </c>
      <c r="AC614" t="s">
        <v>568</v>
      </c>
      <c r="AD614" t="s">
        <v>119</v>
      </c>
      <c r="AE614" t="s">
        <v>1898</v>
      </c>
      <c r="AF614" t="s">
        <v>1486</v>
      </c>
      <c r="AG614" t="s">
        <v>568</v>
      </c>
      <c r="AI614" t="s">
        <v>5795</v>
      </c>
      <c r="AJ614" t="s">
        <v>119</v>
      </c>
      <c r="AK614" t="s">
        <v>99</v>
      </c>
      <c r="AL614" t="s">
        <v>6638</v>
      </c>
      <c r="AM614" t="s">
        <v>6639</v>
      </c>
      <c r="AN614" t="s">
        <v>2555</v>
      </c>
      <c r="AR614" t="s">
        <v>125</v>
      </c>
      <c r="AT614" t="s">
        <v>6640</v>
      </c>
      <c r="AV614" t="s">
        <v>190</v>
      </c>
      <c r="AZ614" t="s">
        <v>80</v>
      </c>
    </row>
    <row r="615" spans="1:52" hidden="1" x14ac:dyDescent="0.25">
      <c r="A615" t="s">
        <v>6641</v>
      </c>
      <c r="B615" t="s">
        <v>6642</v>
      </c>
      <c r="C615" t="s">
        <v>6643</v>
      </c>
      <c r="D615" t="s">
        <v>2544</v>
      </c>
      <c r="E615" t="s">
        <v>6644</v>
      </c>
      <c r="F615" t="s">
        <v>6645</v>
      </c>
      <c r="G615" t="s">
        <v>6645</v>
      </c>
      <c r="J615" t="s">
        <v>80</v>
      </c>
      <c r="K615" t="s">
        <v>110</v>
      </c>
      <c r="L615" t="s">
        <v>111</v>
      </c>
      <c r="M615" t="s">
        <v>6646</v>
      </c>
      <c r="P615" t="s">
        <v>154</v>
      </c>
      <c r="Q615" t="s">
        <v>155</v>
      </c>
      <c r="R615" t="s">
        <v>156</v>
      </c>
      <c r="S615" t="s">
        <v>733</v>
      </c>
      <c r="T615" t="s">
        <v>1464</v>
      </c>
      <c r="U615" t="s">
        <v>1940</v>
      </c>
      <c r="V615" t="s">
        <v>1140</v>
      </c>
      <c r="W615" t="s">
        <v>161</v>
      </c>
      <c r="X615" t="s">
        <v>1467</v>
      </c>
      <c r="Y615" t="s">
        <v>93</v>
      </c>
      <c r="Z615" t="s">
        <v>119</v>
      </c>
      <c r="AA615" t="s">
        <v>6647</v>
      </c>
      <c r="AB615" t="s">
        <v>1468</v>
      </c>
      <c r="AC615" t="s">
        <v>6648</v>
      </c>
      <c r="AD615" t="s">
        <v>119</v>
      </c>
      <c r="AE615" t="s">
        <v>6647</v>
      </c>
      <c r="AF615" t="s">
        <v>1468</v>
      </c>
      <c r="AG615" t="s">
        <v>6648</v>
      </c>
      <c r="AI615" t="s">
        <v>4965</v>
      </c>
      <c r="AJ615" t="s">
        <v>119</v>
      </c>
      <c r="AK615" t="s">
        <v>99</v>
      </c>
      <c r="AL615" t="s">
        <v>6649</v>
      </c>
      <c r="AM615" t="s">
        <v>6650</v>
      </c>
      <c r="AN615" t="s">
        <v>2555</v>
      </c>
      <c r="AR615" t="s">
        <v>125</v>
      </c>
      <c r="AT615" t="s">
        <v>6651</v>
      </c>
      <c r="AV615" t="s">
        <v>128</v>
      </c>
      <c r="AZ615" t="s">
        <v>80</v>
      </c>
    </row>
    <row r="616" spans="1:52" hidden="1" x14ac:dyDescent="0.25">
      <c r="A616" t="s">
        <v>6652</v>
      </c>
      <c r="B616" t="s">
        <v>6653</v>
      </c>
      <c r="C616" t="s">
        <v>6654</v>
      </c>
      <c r="D616" t="s">
        <v>2544</v>
      </c>
      <c r="E616" t="s">
        <v>6655</v>
      </c>
      <c r="F616" t="s">
        <v>6656</v>
      </c>
      <c r="G616" t="s">
        <v>6656</v>
      </c>
      <c r="J616" t="s">
        <v>80</v>
      </c>
      <c r="K616" t="s">
        <v>110</v>
      </c>
      <c r="L616" t="s">
        <v>111</v>
      </c>
      <c r="M616">
        <v>69157</v>
      </c>
      <c r="O616" t="s">
        <v>6511</v>
      </c>
      <c r="P616" t="s">
        <v>212</v>
      </c>
      <c r="Q616" t="s">
        <v>1284</v>
      </c>
      <c r="R616" t="s">
        <v>1285</v>
      </c>
      <c r="S616" t="s">
        <v>1124</v>
      </c>
      <c r="T616" t="s">
        <v>468</v>
      </c>
      <c r="U616" t="s">
        <v>1177</v>
      </c>
      <c r="V616" t="s">
        <v>6657</v>
      </c>
      <c r="W616" t="s">
        <v>161</v>
      </c>
      <c r="X616" t="s">
        <v>471</v>
      </c>
      <c r="Y616" t="s">
        <v>93</v>
      </c>
      <c r="Z616" t="s">
        <v>119</v>
      </c>
      <c r="AA616" t="s">
        <v>4316</v>
      </c>
      <c r="AB616" t="s">
        <v>472</v>
      </c>
      <c r="AC616" t="s">
        <v>6658</v>
      </c>
      <c r="AD616" t="s">
        <v>119</v>
      </c>
      <c r="AE616" t="s">
        <v>4316</v>
      </c>
      <c r="AF616" t="s">
        <v>472</v>
      </c>
      <c r="AG616" t="s">
        <v>6658</v>
      </c>
      <c r="AI616" t="s">
        <v>6659</v>
      </c>
      <c r="AJ616" t="s">
        <v>119</v>
      </c>
      <c r="AK616" t="s">
        <v>99</v>
      </c>
      <c r="AL616" t="s">
        <v>6660</v>
      </c>
      <c r="AM616" t="s">
        <v>6661</v>
      </c>
      <c r="AN616" t="s">
        <v>2555</v>
      </c>
      <c r="AR616" t="s">
        <v>125</v>
      </c>
      <c r="AT616" t="s">
        <v>6662</v>
      </c>
      <c r="AV616" t="s">
        <v>190</v>
      </c>
      <c r="AZ616" t="s">
        <v>80</v>
      </c>
    </row>
    <row r="617" spans="1:52" hidden="1" x14ac:dyDescent="0.25">
      <c r="A617" t="s">
        <v>6663</v>
      </c>
      <c r="B617" t="s">
        <v>6664</v>
      </c>
      <c r="C617" t="s">
        <v>6665</v>
      </c>
      <c r="D617" t="s">
        <v>2544</v>
      </c>
      <c r="E617" t="s">
        <v>6666</v>
      </c>
      <c r="F617" t="s">
        <v>6667</v>
      </c>
      <c r="G617" t="s">
        <v>6667</v>
      </c>
      <c r="J617" t="s">
        <v>80</v>
      </c>
      <c r="K617" t="s">
        <v>110</v>
      </c>
      <c r="L617" t="s">
        <v>111</v>
      </c>
      <c r="M617" t="s">
        <v>6668</v>
      </c>
      <c r="P617" t="s">
        <v>154</v>
      </c>
      <c r="Q617" t="s">
        <v>1284</v>
      </c>
      <c r="R617" t="s">
        <v>1285</v>
      </c>
      <c r="S617" t="s">
        <v>1124</v>
      </c>
      <c r="T617" t="s">
        <v>1464</v>
      </c>
      <c r="U617" t="s">
        <v>1514</v>
      </c>
      <c r="V617" t="s">
        <v>5336</v>
      </c>
      <c r="W617" t="s">
        <v>161</v>
      </c>
      <c r="X617" t="s">
        <v>1467</v>
      </c>
      <c r="Y617" t="s">
        <v>93</v>
      </c>
      <c r="Z617" t="s">
        <v>119</v>
      </c>
      <c r="AA617" t="s">
        <v>6669</v>
      </c>
      <c r="AB617" t="s">
        <v>1468</v>
      </c>
      <c r="AC617" t="s">
        <v>1143</v>
      </c>
      <c r="AD617" t="s">
        <v>119</v>
      </c>
      <c r="AE617" t="s">
        <v>6669</v>
      </c>
      <c r="AF617" t="s">
        <v>1468</v>
      </c>
      <c r="AG617" t="s">
        <v>1143</v>
      </c>
      <c r="AI617" t="s">
        <v>6670</v>
      </c>
      <c r="AJ617" t="s">
        <v>119</v>
      </c>
      <c r="AK617" t="s">
        <v>99</v>
      </c>
      <c r="AL617" t="s">
        <v>6671</v>
      </c>
      <c r="AM617" t="s">
        <v>6672</v>
      </c>
      <c r="AN617" t="s">
        <v>2555</v>
      </c>
      <c r="AR617" t="s">
        <v>125</v>
      </c>
      <c r="AT617" t="s">
        <v>6673</v>
      </c>
      <c r="AV617" t="s">
        <v>128</v>
      </c>
      <c r="AZ617" t="s">
        <v>80</v>
      </c>
    </row>
    <row r="618" spans="1:52" hidden="1" x14ac:dyDescent="0.25">
      <c r="A618" t="s">
        <v>6674</v>
      </c>
      <c r="B618" t="s">
        <v>6675</v>
      </c>
      <c r="C618" t="s">
        <v>6676</v>
      </c>
      <c r="D618" t="s">
        <v>2544</v>
      </c>
      <c r="E618" t="s">
        <v>6677</v>
      </c>
      <c r="F618" t="s">
        <v>6678</v>
      </c>
      <c r="G618" t="s">
        <v>6678</v>
      </c>
      <c r="J618" t="s">
        <v>80</v>
      </c>
      <c r="K618" t="s">
        <v>110</v>
      </c>
      <c r="L618" t="s">
        <v>111</v>
      </c>
      <c r="M618">
        <v>69573</v>
      </c>
      <c r="P618" t="s">
        <v>154</v>
      </c>
      <c r="Q618" t="s">
        <v>731</v>
      </c>
      <c r="R618" t="s">
        <v>732</v>
      </c>
      <c r="S618" t="s">
        <v>733</v>
      </c>
      <c r="T618" t="s">
        <v>468</v>
      </c>
      <c r="U618" t="s">
        <v>486</v>
      </c>
      <c r="V618" t="s">
        <v>947</v>
      </c>
      <c r="W618" t="s">
        <v>161</v>
      </c>
      <c r="X618" t="s">
        <v>471</v>
      </c>
      <c r="Y618" t="s">
        <v>93</v>
      </c>
      <c r="Z618" t="s">
        <v>119</v>
      </c>
      <c r="AA618" t="s">
        <v>2826</v>
      </c>
      <c r="AB618" t="s">
        <v>472</v>
      </c>
      <c r="AC618" t="s">
        <v>6679</v>
      </c>
      <c r="AD618" t="s">
        <v>119</v>
      </c>
      <c r="AE618" t="s">
        <v>2826</v>
      </c>
      <c r="AF618" t="s">
        <v>472</v>
      </c>
      <c r="AG618" t="s">
        <v>6679</v>
      </c>
      <c r="AI618" t="s">
        <v>6680</v>
      </c>
      <c r="AJ618" t="s">
        <v>119</v>
      </c>
      <c r="AK618" t="s">
        <v>99</v>
      </c>
      <c r="AL618" t="s">
        <v>6681</v>
      </c>
      <c r="AM618" t="s">
        <v>6682</v>
      </c>
      <c r="AN618" t="s">
        <v>2555</v>
      </c>
      <c r="AR618" t="s">
        <v>125</v>
      </c>
      <c r="AT618" t="s">
        <v>6683</v>
      </c>
      <c r="AV618" t="s">
        <v>128</v>
      </c>
      <c r="AZ618" t="s">
        <v>80</v>
      </c>
    </row>
    <row r="619" spans="1:52" hidden="1" x14ac:dyDescent="0.25">
      <c r="A619" t="s">
        <v>6684</v>
      </c>
      <c r="B619" t="s">
        <v>6685</v>
      </c>
      <c r="C619" t="s">
        <v>6686</v>
      </c>
      <c r="D619" t="s">
        <v>2544</v>
      </c>
      <c r="E619" t="s">
        <v>6687</v>
      </c>
      <c r="F619" t="s">
        <v>6688</v>
      </c>
      <c r="G619" t="s">
        <v>6688</v>
      </c>
      <c r="J619" t="s">
        <v>80</v>
      </c>
      <c r="K619" t="s">
        <v>110</v>
      </c>
      <c r="L619" t="s">
        <v>111</v>
      </c>
      <c r="M619" t="s">
        <v>6689</v>
      </c>
      <c r="P619" t="s">
        <v>154</v>
      </c>
      <c r="Q619" t="s">
        <v>731</v>
      </c>
      <c r="R619" t="s">
        <v>732</v>
      </c>
      <c r="S619" t="s">
        <v>733</v>
      </c>
      <c r="T619" t="s">
        <v>1464</v>
      </c>
      <c r="U619" t="s">
        <v>6525</v>
      </c>
      <c r="V619" t="s">
        <v>5336</v>
      </c>
      <c r="W619" t="s">
        <v>161</v>
      </c>
      <c r="X619" t="s">
        <v>1467</v>
      </c>
      <c r="Y619" t="s">
        <v>93</v>
      </c>
      <c r="Z619" t="s">
        <v>119</v>
      </c>
      <c r="AA619" t="s">
        <v>2838</v>
      </c>
      <c r="AB619" t="s">
        <v>1468</v>
      </c>
      <c r="AC619" t="s">
        <v>1806</v>
      </c>
      <c r="AD619" t="s">
        <v>119</v>
      </c>
      <c r="AE619" t="s">
        <v>2838</v>
      </c>
      <c r="AF619" t="s">
        <v>1468</v>
      </c>
      <c r="AG619" t="s">
        <v>1806</v>
      </c>
      <c r="AI619" t="s">
        <v>6690</v>
      </c>
      <c r="AJ619" t="s">
        <v>119</v>
      </c>
      <c r="AK619" t="s">
        <v>99</v>
      </c>
      <c r="AL619" t="s">
        <v>6691</v>
      </c>
      <c r="AM619" t="s">
        <v>6682</v>
      </c>
      <c r="AN619" t="s">
        <v>2555</v>
      </c>
      <c r="AR619" t="s">
        <v>125</v>
      </c>
      <c r="AT619" t="s">
        <v>6692</v>
      </c>
      <c r="AV619" t="s">
        <v>128</v>
      </c>
      <c r="AZ619" t="s">
        <v>80</v>
      </c>
    </row>
    <row r="620" spans="1:52" hidden="1" x14ac:dyDescent="0.25">
      <c r="A620" t="s">
        <v>6693</v>
      </c>
      <c r="B620" t="s">
        <v>6694</v>
      </c>
      <c r="C620" t="s">
        <v>6695</v>
      </c>
      <c r="D620" t="s">
        <v>2544</v>
      </c>
      <c r="E620" t="s">
        <v>6696</v>
      </c>
      <c r="F620" t="s">
        <v>6697</v>
      </c>
      <c r="G620" t="s">
        <v>6697</v>
      </c>
      <c r="J620" t="s">
        <v>80</v>
      </c>
      <c r="K620" t="s">
        <v>110</v>
      </c>
      <c r="L620" t="s">
        <v>111</v>
      </c>
      <c r="M620" t="s">
        <v>6698</v>
      </c>
      <c r="P620" t="s">
        <v>154</v>
      </c>
      <c r="Q620" t="s">
        <v>155</v>
      </c>
      <c r="R620" t="s">
        <v>156</v>
      </c>
      <c r="S620" t="s">
        <v>733</v>
      </c>
      <c r="T620" t="s">
        <v>1464</v>
      </c>
      <c r="U620" t="s">
        <v>1940</v>
      </c>
      <c r="V620" t="s">
        <v>4823</v>
      </c>
      <c r="W620" t="s">
        <v>161</v>
      </c>
      <c r="X620" t="s">
        <v>1467</v>
      </c>
      <c r="Y620" t="s">
        <v>93</v>
      </c>
      <c r="Z620" t="s">
        <v>119</v>
      </c>
      <c r="AA620" t="s">
        <v>3667</v>
      </c>
      <c r="AB620" t="s">
        <v>1468</v>
      </c>
      <c r="AC620" t="s">
        <v>6699</v>
      </c>
      <c r="AD620" t="s">
        <v>119</v>
      </c>
      <c r="AE620" t="s">
        <v>3667</v>
      </c>
      <c r="AF620" t="s">
        <v>1468</v>
      </c>
      <c r="AG620" t="s">
        <v>6699</v>
      </c>
      <c r="AI620" t="s">
        <v>2847</v>
      </c>
      <c r="AJ620" t="s">
        <v>119</v>
      </c>
      <c r="AK620" t="s">
        <v>99</v>
      </c>
      <c r="AL620" t="s">
        <v>6700</v>
      </c>
      <c r="AM620" t="s">
        <v>6701</v>
      </c>
      <c r="AN620" t="s">
        <v>2555</v>
      </c>
      <c r="AR620" t="s">
        <v>125</v>
      </c>
      <c r="AT620" t="s">
        <v>6702</v>
      </c>
      <c r="AV620" t="s">
        <v>128</v>
      </c>
      <c r="AZ620" t="s">
        <v>80</v>
      </c>
    </row>
    <row r="621" spans="1:52" hidden="1" x14ac:dyDescent="0.25">
      <c r="A621" t="s">
        <v>6703</v>
      </c>
      <c r="B621" t="s">
        <v>6704</v>
      </c>
      <c r="C621" t="s">
        <v>6705</v>
      </c>
      <c r="D621" t="s">
        <v>2544</v>
      </c>
      <c r="E621" t="s">
        <v>6706</v>
      </c>
      <c r="F621" t="s">
        <v>6707</v>
      </c>
      <c r="G621" t="s">
        <v>6707</v>
      </c>
      <c r="J621" t="s">
        <v>80</v>
      </c>
      <c r="K621" t="s">
        <v>110</v>
      </c>
      <c r="L621" t="s">
        <v>111</v>
      </c>
      <c r="M621">
        <v>69563</v>
      </c>
      <c r="P621" t="s">
        <v>154</v>
      </c>
      <c r="Q621" t="s">
        <v>1284</v>
      </c>
      <c r="R621" t="s">
        <v>1285</v>
      </c>
      <c r="S621" t="s">
        <v>1124</v>
      </c>
      <c r="T621" t="s">
        <v>468</v>
      </c>
      <c r="U621" t="s">
        <v>1030</v>
      </c>
      <c r="V621" t="s">
        <v>6708</v>
      </c>
      <c r="W621" t="s">
        <v>161</v>
      </c>
      <c r="X621" t="s">
        <v>471</v>
      </c>
      <c r="Y621" t="s">
        <v>93</v>
      </c>
      <c r="Z621" t="s">
        <v>119</v>
      </c>
      <c r="AA621" t="s">
        <v>6709</v>
      </c>
      <c r="AB621" t="s">
        <v>472</v>
      </c>
      <c r="AC621" t="s">
        <v>6710</v>
      </c>
      <c r="AD621" t="s">
        <v>119</v>
      </c>
      <c r="AE621" t="s">
        <v>6709</v>
      </c>
      <c r="AF621" t="s">
        <v>472</v>
      </c>
      <c r="AG621" t="s">
        <v>6710</v>
      </c>
      <c r="AI621" t="s">
        <v>6711</v>
      </c>
      <c r="AJ621" t="s">
        <v>119</v>
      </c>
      <c r="AK621" t="s">
        <v>99</v>
      </c>
      <c r="AL621" t="s">
        <v>6712</v>
      </c>
      <c r="AM621" t="s">
        <v>6713</v>
      </c>
      <c r="AN621" t="s">
        <v>2555</v>
      </c>
      <c r="AR621" t="s">
        <v>125</v>
      </c>
      <c r="AT621" t="s">
        <v>6714</v>
      </c>
      <c r="AV621" t="s">
        <v>128</v>
      </c>
      <c r="AZ621" t="s">
        <v>80</v>
      </c>
    </row>
    <row r="622" spans="1:52" hidden="1" x14ac:dyDescent="0.25">
      <c r="A622" t="s">
        <v>6715</v>
      </c>
      <c r="B622" t="s">
        <v>6716</v>
      </c>
      <c r="C622" t="s">
        <v>6717</v>
      </c>
      <c r="D622" t="s">
        <v>2544</v>
      </c>
      <c r="E622" t="s">
        <v>6718</v>
      </c>
      <c r="F622" t="s">
        <v>6719</v>
      </c>
      <c r="G622" t="s">
        <v>6719</v>
      </c>
      <c r="J622" t="s">
        <v>80</v>
      </c>
      <c r="K622" t="s">
        <v>110</v>
      </c>
      <c r="L622" t="s">
        <v>111</v>
      </c>
      <c r="M622" t="s">
        <v>6720</v>
      </c>
      <c r="P622" t="s">
        <v>154</v>
      </c>
      <c r="Q622" t="s">
        <v>1284</v>
      </c>
      <c r="R622" t="s">
        <v>1285</v>
      </c>
      <c r="S622" t="s">
        <v>1124</v>
      </c>
      <c r="T622" t="s">
        <v>1464</v>
      </c>
      <c r="U622" t="s">
        <v>1514</v>
      </c>
      <c r="V622" t="s">
        <v>5336</v>
      </c>
      <c r="W622" t="s">
        <v>161</v>
      </c>
      <c r="X622" t="s">
        <v>1467</v>
      </c>
      <c r="Y622" t="s">
        <v>93</v>
      </c>
      <c r="Z622" t="s">
        <v>119</v>
      </c>
      <c r="AA622" t="s">
        <v>6721</v>
      </c>
      <c r="AB622" t="s">
        <v>1468</v>
      </c>
      <c r="AC622" t="s">
        <v>2244</v>
      </c>
      <c r="AD622" t="s">
        <v>119</v>
      </c>
      <c r="AE622" t="s">
        <v>6721</v>
      </c>
      <c r="AF622" t="s">
        <v>1468</v>
      </c>
      <c r="AG622" t="s">
        <v>2244</v>
      </c>
      <c r="AI622" t="s">
        <v>6722</v>
      </c>
      <c r="AJ622" t="s">
        <v>119</v>
      </c>
      <c r="AK622" t="s">
        <v>99</v>
      </c>
      <c r="AL622" t="s">
        <v>6723</v>
      </c>
      <c r="AM622" t="s">
        <v>6724</v>
      </c>
      <c r="AN622" t="s">
        <v>2555</v>
      </c>
      <c r="AR622" t="s">
        <v>125</v>
      </c>
      <c r="AT622" t="s">
        <v>6725</v>
      </c>
      <c r="AV622" t="s">
        <v>128</v>
      </c>
      <c r="AZ622" t="s">
        <v>80</v>
      </c>
    </row>
    <row r="623" spans="1:52" hidden="1" x14ac:dyDescent="0.25">
      <c r="A623" t="s">
        <v>6726</v>
      </c>
      <c r="B623" t="s">
        <v>1171</v>
      </c>
      <c r="C623" t="s">
        <v>6727</v>
      </c>
      <c r="D623" t="s">
        <v>2544</v>
      </c>
      <c r="E623" t="s">
        <v>6728</v>
      </c>
      <c r="F623" t="s">
        <v>1174</v>
      </c>
      <c r="G623" t="s">
        <v>1174</v>
      </c>
      <c r="J623" t="s">
        <v>80</v>
      </c>
      <c r="K623" t="s">
        <v>110</v>
      </c>
      <c r="L623" t="s">
        <v>111</v>
      </c>
      <c r="M623">
        <v>69155</v>
      </c>
      <c r="O623" t="s">
        <v>1176</v>
      </c>
      <c r="P623" t="s">
        <v>212</v>
      </c>
      <c r="Q623" t="s">
        <v>1284</v>
      </c>
      <c r="R623" t="s">
        <v>1285</v>
      </c>
      <c r="S623" t="s">
        <v>1124</v>
      </c>
      <c r="T623" t="s">
        <v>468</v>
      </c>
      <c r="U623" t="s">
        <v>1177</v>
      </c>
      <c r="V623" t="s">
        <v>1178</v>
      </c>
      <c r="W623" t="s">
        <v>302</v>
      </c>
      <c r="X623" t="s">
        <v>6557</v>
      </c>
      <c r="Y623" t="s">
        <v>93</v>
      </c>
      <c r="Z623" t="s">
        <v>119</v>
      </c>
      <c r="AA623" t="s">
        <v>1179</v>
      </c>
      <c r="AB623" t="s">
        <v>472</v>
      </c>
      <c r="AC623" t="s">
        <v>1180</v>
      </c>
      <c r="AD623" t="s">
        <v>119</v>
      </c>
      <c r="AE623" t="s">
        <v>1179</v>
      </c>
      <c r="AF623" t="s">
        <v>472</v>
      </c>
      <c r="AG623" t="s">
        <v>1180</v>
      </c>
      <c r="AI623" t="s">
        <v>1181</v>
      </c>
      <c r="AJ623" t="s">
        <v>119</v>
      </c>
      <c r="AK623" t="s">
        <v>99</v>
      </c>
      <c r="AL623" t="s">
        <v>6729</v>
      </c>
      <c r="AM623" t="s">
        <v>6730</v>
      </c>
      <c r="AN623" t="s">
        <v>2555</v>
      </c>
      <c r="AR623" t="s">
        <v>125</v>
      </c>
      <c r="AT623" t="s">
        <v>6731</v>
      </c>
      <c r="AV623" t="s">
        <v>190</v>
      </c>
      <c r="AZ623" t="s">
        <v>80</v>
      </c>
    </row>
    <row r="624" spans="1:52" hidden="1" x14ac:dyDescent="0.25">
      <c r="A624" t="s">
        <v>6732</v>
      </c>
      <c r="B624" t="s">
        <v>6733</v>
      </c>
      <c r="C624" t="s">
        <v>6734</v>
      </c>
      <c r="D624" t="s">
        <v>2544</v>
      </c>
      <c r="E624" t="s">
        <v>6735</v>
      </c>
      <c r="F624" t="s">
        <v>6736</v>
      </c>
      <c r="G624" t="s">
        <v>6736</v>
      </c>
      <c r="J624" t="s">
        <v>80</v>
      </c>
      <c r="K624" t="s">
        <v>110</v>
      </c>
      <c r="L624" t="s">
        <v>111</v>
      </c>
      <c r="M624">
        <v>69559</v>
      </c>
      <c r="P624" t="s">
        <v>154</v>
      </c>
      <c r="Q624" t="s">
        <v>731</v>
      </c>
      <c r="R624" t="s">
        <v>732</v>
      </c>
      <c r="S624" t="s">
        <v>733</v>
      </c>
      <c r="T624" t="s">
        <v>468</v>
      </c>
      <c r="U624" t="s">
        <v>486</v>
      </c>
      <c r="V624" t="s">
        <v>947</v>
      </c>
      <c r="W624" t="s">
        <v>161</v>
      </c>
      <c r="X624" t="s">
        <v>471</v>
      </c>
      <c r="Y624" t="s">
        <v>93</v>
      </c>
      <c r="Z624" t="s">
        <v>119</v>
      </c>
      <c r="AA624" t="s">
        <v>6737</v>
      </c>
      <c r="AB624" t="s">
        <v>472</v>
      </c>
      <c r="AC624" t="s">
        <v>6721</v>
      </c>
      <c r="AD624" t="s">
        <v>119</v>
      </c>
      <c r="AE624" t="s">
        <v>6737</v>
      </c>
      <c r="AF624" t="s">
        <v>472</v>
      </c>
      <c r="AG624" t="s">
        <v>6721</v>
      </c>
      <c r="AI624" t="s">
        <v>6738</v>
      </c>
      <c r="AJ624" t="s">
        <v>119</v>
      </c>
      <c r="AK624" t="s">
        <v>99</v>
      </c>
      <c r="AL624" t="s">
        <v>6739</v>
      </c>
      <c r="AM624" t="s">
        <v>6740</v>
      </c>
      <c r="AN624" t="s">
        <v>2555</v>
      </c>
      <c r="AR624" t="s">
        <v>125</v>
      </c>
      <c r="AT624" t="s">
        <v>6741</v>
      </c>
      <c r="AV624" t="s">
        <v>128</v>
      </c>
      <c r="AZ624" t="s">
        <v>80</v>
      </c>
    </row>
    <row r="625" spans="1:52" hidden="1" x14ac:dyDescent="0.25">
      <c r="A625" t="s">
        <v>6742</v>
      </c>
      <c r="B625" t="s">
        <v>6743</v>
      </c>
      <c r="C625" t="s">
        <v>6734</v>
      </c>
      <c r="D625" t="s">
        <v>2544</v>
      </c>
      <c r="E625" t="s">
        <v>6744</v>
      </c>
      <c r="F625" t="s">
        <v>6745</v>
      </c>
      <c r="G625" t="s">
        <v>6745</v>
      </c>
      <c r="J625" t="s">
        <v>80</v>
      </c>
      <c r="K625" t="s">
        <v>110</v>
      </c>
      <c r="L625" t="s">
        <v>111</v>
      </c>
      <c r="M625" t="s">
        <v>6746</v>
      </c>
      <c r="P625" t="s">
        <v>154</v>
      </c>
      <c r="Q625" t="s">
        <v>155</v>
      </c>
      <c r="R625" t="s">
        <v>156</v>
      </c>
      <c r="S625" t="s">
        <v>733</v>
      </c>
      <c r="T625" t="s">
        <v>1464</v>
      </c>
      <c r="U625" t="s">
        <v>6581</v>
      </c>
      <c r="V625" t="s">
        <v>1721</v>
      </c>
      <c r="W625" t="s">
        <v>161</v>
      </c>
      <c r="X625" t="s">
        <v>1467</v>
      </c>
      <c r="Y625" t="s">
        <v>93</v>
      </c>
      <c r="Z625" t="s">
        <v>119</v>
      </c>
      <c r="AA625" t="s">
        <v>3833</v>
      </c>
      <c r="AB625" t="s">
        <v>1468</v>
      </c>
      <c r="AC625" t="s">
        <v>6747</v>
      </c>
      <c r="AD625" t="s">
        <v>119</v>
      </c>
      <c r="AE625" t="s">
        <v>3833</v>
      </c>
      <c r="AF625" t="s">
        <v>1468</v>
      </c>
      <c r="AG625" t="s">
        <v>6747</v>
      </c>
      <c r="AI625" t="s">
        <v>2883</v>
      </c>
      <c r="AJ625" t="s">
        <v>119</v>
      </c>
      <c r="AK625" t="s">
        <v>99</v>
      </c>
      <c r="AL625" t="s">
        <v>6748</v>
      </c>
      <c r="AM625" t="s">
        <v>6749</v>
      </c>
      <c r="AN625" t="s">
        <v>2555</v>
      </c>
      <c r="AR625" t="s">
        <v>125</v>
      </c>
      <c r="AT625" t="s">
        <v>6750</v>
      </c>
      <c r="AV625" t="s">
        <v>128</v>
      </c>
      <c r="AZ625" t="s">
        <v>80</v>
      </c>
    </row>
    <row r="626" spans="1:52" hidden="1" x14ac:dyDescent="0.25">
      <c r="A626" t="s">
        <v>6751</v>
      </c>
      <c r="B626" t="s">
        <v>6752</v>
      </c>
      <c r="C626" t="s">
        <v>6753</v>
      </c>
      <c r="D626" t="s">
        <v>2544</v>
      </c>
      <c r="E626" t="s">
        <v>6754</v>
      </c>
      <c r="F626" t="s">
        <v>6755</v>
      </c>
      <c r="G626" t="s">
        <v>6755</v>
      </c>
      <c r="J626" t="s">
        <v>80</v>
      </c>
      <c r="K626" t="s">
        <v>110</v>
      </c>
      <c r="L626" t="s">
        <v>111</v>
      </c>
      <c r="M626">
        <v>69151</v>
      </c>
      <c r="O626" t="s">
        <v>6567</v>
      </c>
      <c r="P626" t="s">
        <v>212</v>
      </c>
      <c r="Q626" t="s">
        <v>1284</v>
      </c>
      <c r="R626" t="s">
        <v>1285</v>
      </c>
      <c r="S626" t="s">
        <v>1124</v>
      </c>
      <c r="T626" t="s">
        <v>468</v>
      </c>
      <c r="U626" t="s">
        <v>6756</v>
      </c>
      <c r="V626" t="s">
        <v>6757</v>
      </c>
      <c r="W626" t="s">
        <v>161</v>
      </c>
      <c r="X626" t="s">
        <v>471</v>
      </c>
      <c r="Y626" t="s">
        <v>93</v>
      </c>
      <c r="Z626" t="s">
        <v>119</v>
      </c>
      <c r="AA626" t="s">
        <v>516</v>
      </c>
      <c r="AB626" t="s">
        <v>472</v>
      </c>
      <c r="AC626" t="s">
        <v>3226</v>
      </c>
      <c r="AD626" t="s">
        <v>119</v>
      </c>
      <c r="AE626" t="s">
        <v>516</v>
      </c>
      <c r="AF626" t="s">
        <v>472</v>
      </c>
      <c r="AG626" t="s">
        <v>3226</v>
      </c>
      <c r="AI626" t="s">
        <v>6758</v>
      </c>
      <c r="AJ626" t="s">
        <v>119</v>
      </c>
      <c r="AK626" t="s">
        <v>99</v>
      </c>
      <c r="AL626" t="s">
        <v>6759</v>
      </c>
      <c r="AM626" t="s">
        <v>6760</v>
      </c>
      <c r="AN626" t="s">
        <v>2555</v>
      </c>
      <c r="AR626" t="s">
        <v>125</v>
      </c>
      <c r="AT626" t="s">
        <v>6761</v>
      </c>
      <c r="AV626" t="s">
        <v>190</v>
      </c>
      <c r="AZ626" t="s">
        <v>80</v>
      </c>
    </row>
    <row r="627" spans="1:52" hidden="1" x14ac:dyDescent="0.25">
      <c r="A627" t="s">
        <v>6762</v>
      </c>
      <c r="B627" t="s">
        <v>6763</v>
      </c>
      <c r="C627" t="s">
        <v>6764</v>
      </c>
      <c r="D627" t="s">
        <v>2544</v>
      </c>
      <c r="E627" t="s">
        <v>6765</v>
      </c>
      <c r="F627" t="s">
        <v>6766</v>
      </c>
      <c r="G627" t="s">
        <v>6766</v>
      </c>
      <c r="J627" t="s">
        <v>80</v>
      </c>
      <c r="K627" t="s">
        <v>110</v>
      </c>
      <c r="L627" t="s">
        <v>111</v>
      </c>
      <c r="M627" t="s">
        <v>6767</v>
      </c>
      <c r="P627" t="s">
        <v>134</v>
      </c>
      <c r="Q627" t="s">
        <v>1205</v>
      </c>
      <c r="R627" t="s">
        <v>914</v>
      </c>
      <c r="S627" t="s">
        <v>748</v>
      </c>
      <c r="T627" t="s">
        <v>6768</v>
      </c>
      <c r="U627" t="s">
        <v>4483</v>
      </c>
      <c r="V627" t="s">
        <v>6769</v>
      </c>
      <c r="W627" t="s">
        <v>1209</v>
      </c>
      <c r="X627" t="s">
        <v>6770</v>
      </c>
      <c r="Y627" t="s">
        <v>93</v>
      </c>
      <c r="Z627" t="s">
        <v>2986</v>
      </c>
      <c r="AA627" t="s">
        <v>6771</v>
      </c>
      <c r="AB627" t="s">
        <v>548</v>
      </c>
      <c r="AC627" t="s">
        <v>6772</v>
      </c>
      <c r="AD627" t="s">
        <v>2986</v>
      </c>
      <c r="AE627" t="s">
        <v>6771</v>
      </c>
      <c r="AF627" t="s">
        <v>548</v>
      </c>
      <c r="AG627" t="s">
        <v>6772</v>
      </c>
      <c r="AI627" t="s">
        <v>6773</v>
      </c>
      <c r="AJ627" t="s">
        <v>2986</v>
      </c>
      <c r="AK627" t="s">
        <v>99</v>
      </c>
      <c r="AL627" t="s">
        <v>6774</v>
      </c>
      <c r="AM627" t="s">
        <v>6775</v>
      </c>
      <c r="AN627" t="s">
        <v>2578</v>
      </c>
      <c r="AR627" t="s">
        <v>125</v>
      </c>
      <c r="AT627" t="s">
        <v>6776</v>
      </c>
      <c r="AV627" t="s">
        <v>128</v>
      </c>
      <c r="AZ627" t="s">
        <v>80</v>
      </c>
    </row>
    <row r="628" spans="1:52" hidden="1" x14ac:dyDescent="0.25">
      <c r="A628" t="s">
        <v>6777</v>
      </c>
      <c r="B628" t="s">
        <v>6763</v>
      </c>
      <c r="C628" t="s">
        <v>6764</v>
      </c>
      <c r="D628" t="s">
        <v>2544</v>
      </c>
      <c r="E628" t="s">
        <v>6778</v>
      </c>
      <c r="F628" t="s">
        <v>6766</v>
      </c>
      <c r="G628" t="s">
        <v>6766</v>
      </c>
      <c r="J628" t="s">
        <v>80</v>
      </c>
      <c r="K628" t="s">
        <v>110</v>
      </c>
      <c r="L628" t="s">
        <v>111</v>
      </c>
      <c r="M628" t="s">
        <v>6767</v>
      </c>
      <c r="P628" t="s">
        <v>134</v>
      </c>
      <c r="Q628" t="s">
        <v>1205</v>
      </c>
      <c r="R628" t="s">
        <v>914</v>
      </c>
      <c r="S628" t="s">
        <v>748</v>
      </c>
      <c r="T628" t="s">
        <v>6768</v>
      </c>
      <c r="U628" t="s">
        <v>4483</v>
      </c>
      <c r="V628" t="s">
        <v>6769</v>
      </c>
      <c r="W628" t="s">
        <v>1225</v>
      </c>
      <c r="X628" t="s">
        <v>6779</v>
      </c>
      <c r="Y628" t="s">
        <v>93</v>
      </c>
      <c r="Z628" t="s">
        <v>2986</v>
      </c>
      <c r="AA628" t="s">
        <v>6771</v>
      </c>
      <c r="AB628" t="s">
        <v>548</v>
      </c>
      <c r="AC628" t="s">
        <v>6772</v>
      </c>
      <c r="AD628" t="s">
        <v>2986</v>
      </c>
      <c r="AE628" t="s">
        <v>6771</v>
      </c>
      <c r="AF628" t="s">
        <v>548</v>
      </c>
      <c r="AG628" t="s">
        <v>6772</v>
      </c>
      <c r="AI628" t="s">
        <v>6773</v>
      </c>
      <c r="AJ628" t="s">
        <v>2986</v>
      </c>
      <c r="AK628" t="s">
        <v>99</v>
      </c>
      <c r="AL628" t="s">
        <v>6780</v>
      </c>
      <c r="AM628" t="s">
        <v>6775</v>
      </c>
      <c r="AN628" t="s">
        <v>2578</v>
      </c>
      <c r="AR628" t="s">
        <v>125</v>
      </c>
      <c r="AT628" t="s">
        <v>6781</v>
      </c>
      <c r="AV628" t="s">
        <v>128</v>
      </c>
      <c r="AZ628" t="s">
        <v>80</v>
      </c>
    </row>
    <row r="629" spans="1:52" hidden="1" x14ac:dyDescent="0.25">
      <c r="A629" t="s">
        <v>6782</v>
      </c>
      <c r="B629" t="s">
        <v>6763</v>
      </c>
      <c r="C629" t="s">
        <v>6764</v>
      </c>
      <c r="D629" t="s">
        <v>2544</v>
      </c>
      <c r="E629" t="s">
        <v>6783</v>
      </c>
      <c r="F629" t="s">
        <v>6766</v>
      </c>
      <c r="G629" t="s">
        <v>6766</v>
      </c>
      <c r="J629" t="s">
        <v>80</v>
      </c>
      <c r="K629" t="s">
        <v>110</v>
      </c>
      <c r="L629" t="s">
        <v>111</v>
      </c>
      <c r="M629" t="s">
        <v>6767</v>
      </c>
      <c r="P629" t="s">
        <v>134</v>
      </c>
      <c r="Q629" t="s">
        <v>1205</v>
      </c>
      <c r="R629" t="s">
        <v>914</v>
      </c>
      <c r="S629" t="s">
        <v>748</v>
      </c>
      <c r="T629" t="s">
        <v>6768</v>
      </c>
      <c r="U629" t="s">
        <v>4483</v>
      </c>
      <c r="V629" t="s">
        <v>6769</v>
      </c>
      <c r="W629" t="s">
        <v>1233</v>
      </c>
      <c r="X629" t="s">
        <v>6784</v>
      </c>
      <c r="Y629" t="s">
        <v>93</v>
      </c>
      <c r="Z629" t="s">
        <v>2986</v>
      </c>
      <c r="AA629" t="s">
        <v>6771</v>
      </c>
      <c r="AB629" t="s">
        <v>548</v>
      </c>
      <c r="AC629" t="s">
        <v>6772</v>
      </c>
      <c r="AD629" t="s">
        <v>2986</v>
      </c>
      <c r="AE629" t="s">
        <v>6771</v>
      </c>
      <c r="AF629" t="s">
        <v>548</v>
      </c>
      <c r="AG629" t="s">
        <v>6772</v>
      </c>
      <c r="AI629" t="s">
        <v>6773</v>
      </c>
      <c r="AJ629" t="s">
        <v>2986</v>
      </c>
      <c r="AK629" t="s">
        <v>99</v>
      </c>
      <c r="AL629" t="s">
        <v>6785</v>
      </c>
      <c r="AM629" t="s">
        <v>6775</v>
      </c>
      <c r="AN629" t="s">
        <v>2578</v>
      </c>
      <c r="AR629" t="s">
        <v>125</v>
      </c>
      <c r="AT629" t="s">
        <v>6786</v>
      </c>
      <c r="AV629" t="s">
        <v>128</v>
      </c>
      <c r="AZ629" t="s">
        <v>80</v>
      </c>
    </row>
    <row r="630" spans="1:52" hidden="1" x14ac:dyDescent="0.25">
      <c r="A630" t="s">
        <v>6787</v>
      </c>
      <c r="B630" t="s">
        <v>6763</v>
      </c>
      <c r="C630" t="s">
        <v>6788</v>
      </c>
      <c r="D630" t="s">
        <v>2544</v>
      </c>
      <c r="E630" t="s">
        <v>6789</v>
      </c>
      <c r="F630" t="s">
        <v>6766</v>
      </c>
      <c r="G630" t="s">
        <v>6766</v>
      </c>
      <c r="J630" t="s">
        <v>80</v>
      </c>
      <c r="K630" t="s">
        <v>110</v>
      </c>
      <c r="L630" t="s">
        <v>111</v>
      </c>
      <c r="M630" t="s">
        <v>6767</v>
      </c>
      <c r="P630" t="s">
        <v>134</v>
      </c>
      <c r="Q630" t="s">
        <v>1205</v>
      </c>
      <c r="R630" t="s">
        <v>914</v>
      </c>
      <c r="S630" t="s">
        <v>748</v>
      </c>
      <c r="T630" t="s">
        <v>6768</v>
      </c>
      <c r="U630" t="s">
        <v>4483</v>
      </c>
      <c r="V630" t="s">
        <v>6769</v>
      </c>
      <c r="W630" t="s">
        <v>1242</v>
      </c>
      <c r="X630" t="s">
        <v>6790</v>
      </c>
      <c r="Y630" t="s">
        <v>93</v>
      </c>
      <c r="Z630" t="s">
        <v>2986</v>
      </c>
      <c r="AA630" t="s">
        <v>6771</v>
      </c>
      <c r="AB630" t="s">
        <v>548</v>
      </c>
      <c r="AC630" t="s">
        <v>6772</v>
      </c>
      <c r="AD630" t="s">
        <v>2986</v>
      </c>
      <c r="AE630" t="s">
        <v>6771</v>
      </c>
      <c r="AF630" t="s">
        <v>548</v>
      </c>
      <c r="AG630" t="s">
        <v>6772</v>
      </c>
      <c r="AI630" t="s">
        <v>6773</v>
      </c>
      <c r="AJ630" t="s">
        <v>2986</v>
      </c>
      <c r="AK630" t="s">
        <v>99</v>
      </c>
      <c r="AL630" t="s">
        <v>6791</v>
      </c>
      <c r="AM630" t="s">
        <v>6775</v>
      </c>
      <c r="AN630" t="s">
        <v>2578</v>
      </c>
      <c r="AR630" t="s">
        <v>125</v>
      </c>
      <c r="AT630" t="s">
        <v>6792</v>
      </c>
      <c r="AV630" t="s">
        <v>128</v>
      </c>
      <c r="AZ630" t="s">
        <v>80</v>
      </c>
    </row>
    <row r="631" spans="1:52" hidden="1" x14ac:dyDescent="0.25">
      <c r="A631" t="s">
        <v>6793</v>
      </c>
      <c r="B631" t="s">
        <v>6794</v>
      </c>
      <c r="C631" t="s">
        <v>6788</v>
      </c>
      <c r="D631" t="s">
        <v>2544</v>
      </c>
      <c r="E631" t="s">
        <v>6795</v>
      </c>
      <c r="F631" t="s">
        <v>6796</v>
      </c>
      <c r="G631" t="s">
        <v>6796</v>
      </c>
      <c r="J631" t="s">
        <v>80</v>
      </c>
      <c r="K631" t="s">
        <v>110</v>
      </c>
      <c r="L631" t="s">
        <v>111</v>
      </c>
      <c r="M631" t="s">
        <v>6797</v>
      </c>
      <c r="P631" t="s">
        <v>134</v>
      </c>
      <c r="Q631" t="s">
        <v>1205</v>
      </c>
      <c r="R631" t="s">
        <v>914</v>
      </c>
      <c r="S631" t="s">
        <v>444</v>
      </c>
      <c r="T631" t="s">
        <v>1206</v>
      </c>
      <c r="U631" t="s">
        <v>6798</v>
      </c>
      <c r="V631" t="s">
        <v>6799</v>
      </c>
      <c r="W631" t="s">
        <v>1209</v>
      </c>
      <c r="X631" t="s">
        <v>1210</v>
      </c>
      <c r="Y631" t="s">
        <v>93</v>
      </c>
      <c r="Z631" t="s">
        <v>678</v>
      </c>
      <c r="AA631" t="s">
        <v>5909</v>
      </c>
      <c r="AB631" t="s">
        <v>1213</v>
      </c>
      <c r="AC631" t="s">
        <v>3899</v>
      </c>
      <c r="AD631" t="s">
        <v>678</v>
      </c>
      <c r="AE631" t="s">
        <v>5909</v>
      </c>
      <c r="AF631" t="s">
        <v>1213</v>
      </c>
      <c r="AG631" t="s">
        <v>3899</v>
      </c>
      <c r="AI631" t="s">
        <v>6800</v>
      </c>
      <c r="AJ631" t="s">
        <v>678</v>
      </c>
      <c r="AK631" t="s">
        <v>99</v>
      </c>
      <c r="AL631" t="s">
        <v>6801</v>
      </c>
      <c r="AM631" t="s">
        <v>6802</v>
      </c>
      <c r="AN631" t="s">
        <v>2555</v>
      </c>
      <c r="AR631" t="s">
        <v>125</v>
      </c>
      <c r="AT631" t="s">
        <v>6803</v>
      </c>
      <c r="AV631" t="s">
        <v>128</v>
      </c>
      <c r="AZ631" t="s">
        <v>80</v>
      </c>
    </row>
    <row r="632" spans="1:52" hidden="1" x14ac:dyDescent="0.25">
      <c r="A632" t="s">
        <v>6804</v>
      </c>
      <c r="B632" t="s">
        <v>6794</v>
      </c>
      <c r="C632" t="s">
        <v>6788</v>
      </c>
      <c r="D632" t="s">
        <v>2544</v>
      </c>
      <c r="E632" t="s">
        <v>6805</v>
      </c>
      <c r="F632" t="s">
        <v>6796</v>
      </c>
      <c r="G632" t="s">
        <v>6796</v>
      </c>
      <c r="J632" t="s">
        <v>80</v>
      </c>
      <c r="K632" t="s">
        <v>110</v>
      </c>
      <c r="L632" t="s">
        <v>111</v>
      </c>
      <c r="M632" t="s">
        <v>6797</v>
      </c>
      <c r="P632" t="s">
        <v>134</v>
      </c>
      <c r="Q632" t="s">
        <v>1205</v>
      </c>
      <c r="R632" t="s">
        <v>914</v>
      </c>
      <c r="S632" t="s">
        <v>444</v>
      </c>
      <c r="T632" t="s">
        <v>1206</v>
      </c>
      <c r="U632" t="s">
        <v>6798</v>
      </c>
      <c r="V632" t="s">
        <v>6799</v>
      </c>
      <c r="W632" t="s">
        <v>1225</v>
      </c>
      <c r="X632" t="s">
        <v>1226</v>
      </c>
      <c r="Y632" t="s">
        <v>93</v>
      </c>
      <c r="Z632" t="s">
        <v>678</v>
      </c>
      <c r="AA632" t="s">
        <v>5909</v>
      </c>
      <c r="AB632" t="s">
        <v>1213</v>
      </c>
      <c r="AC632" t="s">
        <v>3899</v>
      </c>
      <c r="AD632" t="s">
        <v>678</v>
      </c>
      <c r="AE632" t="s">
        <v>5909</v>
      </c>
      <c r="AF632" t="s">
        <v>1213</v>
      </c>
      <c r="AG632" t="s">
        <v>3899</v>
      </c>
      <c r="AI632" t="s">
        <v>6800</v>
      </c>
      <c r="AJ632" t="s">
        <v>678</v>
      </c>
      <c r="AK632" t="s">
        <v>99</v>
      </c>
      <c r="AL632" t="s">
        <v>6806</v>
      </c>
      <c r="AM632" t="s">
        <v>6802</v>
      </c>
      <c r="AN632" t="s">
        <v>2555</v>
      </c>
      <c r="AR632" t="s">
        <v>125</v>
      </c>
      <c r="AT632" t="s">
        <v>6807</v>
      </c>
      <c r="AV632" t="s">
        <v>128</v>
      </c>
      <c r="AZ632" t="s">
        <v>80</v>
      </c>
    </row>
    <row r="633" spans="1:52" hidden="1" x14ac:dyDescent="0.25">
      <c r="A633" t="s">
        <v>6808</v>
      </c>
      <c r="B633" t="s">
        <v>6794</v>
      </c>
      <c r="C633" t="s">
        <v>6788</v>
      </c>
      <c r="D633" t="s">
        <v>2544</v>
      </c>
      <c r="E633" t="s">
        <v>6809</v>
      </c>
      <c r="F633" t="s">
        <v>6796</v>
      </c>
      <c r="G633" t="s">
        <v>6796</v>
      </c>
      <c r="J633" t="s">
        <v>80</v>
      </c>
      <c r="K633" t="s">
        <v>110</v>
      </c>
      <c r="L633" t="s">
        <v>111</v>
      </c>
      <c r="M633" t="s">
        <v>6797</v>
      </c>
      <c r="P633" t="s">
        <v>134</v>
      </c>
      <c r="Q633" t="s">
        <v>1205</v>
      </c>
      <c r="R633" t="s">
        <v>914</v>
      </c>
      <c r="S633" t="s">
        <v>444</v>
      </c>
      <c r="T633" t="s">
        <v>1206</v>
      </c>
      <c r="U633" t="s">
        <v>6798</v>
      </c>
      <c r="V633" t="s">
        <v>6799</v>
      </c>
      <c r="W633" t="s">
        <v>1233</v>
      </c>
      <c r="X633" t="s">
        <v>1234</v>
      </c>
      <c r="Y633" t="s">
        <v>93</v>
      </c>
      <c r="Z633" t="s">
        <v>678</v>
      </c>
      <c r="AA633" t="s">
        <v>5909</v>
      </c>
      <c r="AB633" t="s">
        <v>1213</v>
      </c>
      <c r="AC633" t="s">
        <v>3899</v>
      </c>
      <c r="AD633" t="s">
        <v>678</v>
      </c>
      <c r="AE633" t="s">
        <v>5909</v>
      </c>
      <c r="AF633" t="s">
        <v>1213</v>
      </c>
      <c r="AG633" t="s">
        <v>3899</v>
      </c>
      <c r="AI633" t="s">
        <v>6800</v>
      </c>
      <c r="AJ633" t="s">
        <v>678</v>
      </c>
      <c r="AK633" t="s">
        <v>99</v>
      </c>
      <c r="AL633" t="s">
        <v>6810</v>
      </c>
      <c r="AM633" t="s">
        <v>6802</v>
      </c>
      <c r="AN633" t="s">
        <v>2555</v>
      </c>
      <c r="AR633" t="s">
        <v>125</v>
      </c>
      <c r="AT633" t="s">
        <v>6811</v>
      </c>
      <c r="AV633" t="s">
        <v>128</v>
      </c>
      <c r="AZ633" t="s">
        <v>80</v>
      </c>
    </row>
    <row r="634" spans="1:52" hidden="1" x14ac:dyDescent="0.25">
      <c r="A634" t="s">
        <v>6812</v>
      </c>
      <c r="B634" t="s">
        <v>6794</v>
      </c>
      <c r="C634" t="s">
        <v>6788</v>
      </c>
      <c r="D634" t="s">
        <v>2544</v>
      </c>
      <c r="E634" t="s">
        <v>6813</v>
      </c>
      <c r="F634" t="s">
        <v>6796</v>
      </c>
      <c r="G634" t="s">
        <v>6796</v>
      </c>
      <c r="J634" t="s">
        <v>80</v>
      </c>
      <c r="K634" t="s">
        <v>110</v>
      </c>
      <c r="L634" t="s">
        <v>111</v>
      </c>
      <c r="M634" t="s">
        <v>6797</v>
      </c>
      <c r="P634" t="s">
        <v>134</v>
      </c>
      <c r="Q634" t="s">
        <v>1205</v>
      </c>
      <c r="R634" t="s">
        <v>914</v>
      </c>
      <c r="S634" t="s">
        <v>444</v>
      </c>
      <c r="T634" t="s">
        <v>1206</v>
      </c>
      <c r="U634" t="s">
        <v>6798</v>
      </c>
      <c r="V634" t="s">
        <v>6799</v>
      </c>
      <c r="W634" t="s">
        <v>1242</v>
      </c>
      <c r="X634" t="s">
        <v>1243</v>
      </c>
      <c r="Y634" t="s">
        <v>93</v>
      </c>
      <c r="Z634" t="s">
        <v>678</v>
      </c>
      <c r="AA634" t="s">
        <v>5909</v>
      </c>
      <c r="AB634" t="s">
        <v>1213</v>
      </c>
      <c r="AC634" t="s">
        <v>3899</v>
      </c>
      <c r="AD634" t="s">
        <v>678</v>
      </c>
      <c r="AE634" t="s">
        <v>5909</v>
      </c>
      <c r="AF634" t="s">
        <v>1213</v>
      </c>
      <c r="AG634" t="s">
        <v>3899</v>
      </c>
      <c r="AI634" t="s">
        <v>6800</v>
      </c>
      <c r="AJ634" t="s">
        <v>678</v>
      </c>
      <c r="AK634" t="s">
        <v>99</v>
      </c>
      <c r="AL634" t="s">
        <v>6814</v>
      </c>
      <c r="AM634" t="s">
        <v>6802</v>
      </c>
      <c r="AN634" t="s">
        <v>2555</v>
      </c>
      <c r="AR634" t="s">
        <v>125</v>
      </c>
      <c r="AT634" t="s">
        <v>6815</v>
      </c>
      <c r="AV634" t="s">
        <v>128</v>
      </c>
      <c r="AZ634" t="s">
        <v>80</v>
      </c>
    </row>
    <row r="635" spans="1:52" hidden="1" x14ac:dyDescent="0.25">
      <c r="A635" t="s">
        <v>6816</v>
      </c>
      <c r="B635" t="s">
        <v>6817</v>
      </c>
      <c r="C635" t="s">
        <v>6818</v>
      </c>
      <c r="D635" t="s">
        <v>2544</v>
      </c>
      <c r="E635" t="s">
        <v>6819</v>
      </c>
      <c r="F635" t="s">
        <v>6820</v>
      </c>
      <c r="G635" t="s">
        <v>6820</v>
      </c>
      <c r="J635" t="s">
        <v>80</v>
      </c>
      <c r="K635" t="s">
        <v>110</v>
      </c>
      <c r="L635" t="s">
        <v>111</v>
      </c>
      <c r="M635" t="s">
        <v>6821</v>
      </c>
      <c r="P635" t="s">
        <v>134</v>
      </c>
      <c r="Q635" t="s">
        <v>1205</v>
      </c>
      <c r="R635" t="s">
        <v>914</v>
      </c>
      <c r="S635" t="s">
        <v>444</v>
      </c>
      <c r="T635" t="s">
        <v>6822</v>
      </c>
      <c r="U635" t="s">
        <v>3410</v>
      </c>
      <c r="V635" t="s">
        <v>6823</v>
      </c>
      <c r="W635" t="s">
        <v>1225</v>
      </c>
      <c r="X635" t="s">
        <v>6824</v>
      </c>
      <c r="Y635" t="s">
        <v>93</v>
      </c>
      <c r="Z635" t="s">
        <v>1213</v>
      </c>
      <c r="AA635" t="s">
        <v>6825</v>
      </c>
      <c r="AB635" t="s">
        <v>699</v>
      </c>
      <c r="AC635" t="s">
        <v>5136</v>
      </c>
      <c r="AD635" t="s">
        <v>1213</v>
      </c>
      <c r="AE635" t="s">
        <v>6825</v>
      </c>
      <c r="AF635" t="s">
        <v>699</v>
      </c>
      <c r="AG635" t="s">
        <v>5136</v>
      </c>
      <c r="AI635" t="s">
        <v>6826</v>
      </c>
      <c r="AJ635" t="s">
        <v>1213</v>
      </c>
      <c r="AK635" t="s">
        <v>99</v>
      </c>
      <c r="AL635" t="s">
        <v>6827</v>
      </c>
      <c r="AM635" t="s">
        <v>6828</v>
      </c>
      <c r="AN635" t="s">
        <v>2555</v>
      </c>
      <c r="AR635" t="s">
        <v>125</v>
      </c>
      <c r="AT635" t="s">
        <v>6829</v>
      </c>
      <c r="AV635" t="s">
        <v>128</v>
      </c>
      <c r="AZ635" t="s">
        <v>80</v>
      </c>
    </row>
    <row r="636" spans="1:52" hidden="1" x14ac:dyDescent="0.25">
      <c r="A636" t="s">
        <v>6830</v>
      </c>
      <c r="B636" t="s">
        <v>6817</v>
      </c>
      <c r="C636" t="s">
        <v>6818</v>
      </c>
      <c r="D636" t="s">
        <v>2544</v>
      </c>
      <c r="E636" t="s">
        <v>6831</v>
      </c>
      <c r="F636" t="s">
        <v>6820</v>
      </c>
      <c r="G636" t="s">
        <v>6820</v>
      </c>
      <c r="J636" t="s">
        <v>80</v>
      </c>
      <c r="K636" t="s">
        <v>110</v>
      </c>
      <c r="L636" t="s">
        <v>111</v>
      </c>
      <c r="M636" t="s">
        <v>6821</v>
      </c>
      <c r="P636" t="s">
        <v>134</v>
      </c>
      <c r="Q636" t="s">
        <v>1205</v>
      </c>
      <c r="R636" t="s">
        <v>914</v>
      </c>
      <c r="S636" t="s">
        <v>444</v>
      </c>
      <c r="T636" t="s">
        <v>6822</v>
      </c>
      <c r="U636" t="s">
        <v>3410</v>
      </c>
      <c r="V636" t="s">
        <v>6823</v>
      </c>
      <c r="W636" t="s">
        <v>1242</v>
      </c>
      <c r="X636" t="s">
        <v>6832</v>
      </c>
      <c r="Y636" t="s">
        <v>93</v>
      </c>
      <c r="Z636" t="s">
        <v>1213</v>
      </c>
      <c r="AA636" t="s">
        <v>6825</v>
      </c>
      <c r="AB636" t="s">
        <v>699</v>
      </c>
      <c r="AC636" t="s">
        <v>5136</v>
      </c>
      <c r="AD636" t="s">
        <v>1213</v>
      </c>
      <c r="AE636" t="s">
        <v>6825</v>
      </c>
      <c r="AF636" t="s">
        <v>699</v>
      </c>
      <c r="AG636" t="s">
        <v>5136</v>
      </c>
      <c r="AI636" t="s">
        <v>6826</v>
      </c>
      <c r="AJ636" t="s">
        <v>1213</v>
      </c>
      <c r="AK636" t="s">
        <v>99</v>
      </c>
      <c r="AL636" t="s">
        <v>6833</v>
      </c>
      <c r="AM636" t="s">
        <v>6828</v>
      </c>
      <c r="AN636" t="s">
        <v>2555</v>
      </c>
      <c r="AR636" t="s">
        <v>125</v>
      </c>
      <c r="AT636" t="s">
        <v>6834</v>
      </c>
      <c r="AV636" t="s">
        <v>128</v>
      </c>
      <c r="AZ636" t="s">
        <v>80</v>
      </c>
    </row>
    <row r="637" spans="1:52" hidden="1" x14ac:dyDescent="0.25">
      <c r="A637" t="s">
        <v>6835</v>
      </c>
      <c r="B637" t="s">
        <v>6817</v>
      </c>
      <c r="C637" t="s">
        <v>6818</v>
      </c>
      <c r="D637" t="s">
        <v>2544</v>
      </c>
      <c r="E637" t="s">
        <v>6836</v>
      </c>
      <c r="F637" t="s">
        <v>6820</v>
      </c>
      <c r="G637" t="s">
        <v>6820</v>
      </c>
      <c r="J637" t="s">
        <v>80</v>
      </c>
      <c r="K637" t="s">
        <v>110</v>
      </c>
      <c r="L637" t="s">
        <v>111</v>
      </c>
      <c r="M637" t="s">
        <v>6821</v>
      </c>
      <c r="P637" t="s">
        <v>134</v>
      </c>
      <c r="Q637" t="s">
        <v>1205</v>
      </c>
      <c r="R637" t="s">
        <v>914</v>
      </c>
      <c r="S637" t="s">
        <v>444</v>
      </c>
      <c r="T637" t="s">
        <v>6822</v>
      </c>
      <c r="U637" t="s">
        <v>3410</v>
      </c>
      <c r="V637" t="s">
        <v>6823</v>
      </c>
      <c r="W637" t="s">
        <v>1209</v>
      </c>
      <c r="X637" t="s">
        <v>6837</v>
      </c>
      <c r="Y637" t="s">
        <v>93</v>
      </c>
      <c r="Z637" t="s">
        <v>1213</v>
      </c>
      <c r="AA637" t="s">
        <v>6825</v>
      </c>
      <c r="AB637" t="s">
        <v>699</v>
      </c>
      <c r="AC637" t="s">
        <v>5136</v>
      </c>
      <c r="AD637" t="s">
        <v>1213</v>
      </c>
      <c r="AE637" t="s">
        <v>6825</v>
      </c>
      <c r="AF637" t="s">
        <v>699</v>
      </c>
      <c r="AG637" t="s">
        <v>5136</v>
      </c>
      <c r="AI637" t="s">
        <v>5508</v>
      </c>
      <c r="AJ637" t="s">
        <v>1213</v>
      </c>
      <c r="AK637" t="s">
        <v>99</v>
      </c>
      <c r="AL637" t="s">
        <v>6838</v>
      </c>
      <c r="AM637" t="s">
        <v>6839</v>
      </c>
      <c r="AN637" t="s">
        <v>2555</v>
      </c>
      <c r="AR637" t="s">
        <v>125</v>
      </c>
      <c r="AT637" t="s">
        <v>6840</v>
      </c>
      <c r="AV637" t="s">
        <v>128</v>
      </c>
      <c r="AZ637" t="s">
        <v>80</v>
      </c>
    </row>
    <row r="638" spans="1:52" hidden="1" x14ac:dyDescent="0.25">
      <c r="A638" t="s">
        <v>6841</v>
      </c>
      <c r="B638" t="s">
        <v>6817</v>
      </c>
      <c r="C638" t="s">
        <v>6842</v>
      </c>
      <c r="D638" t="s">
        <v>2544</v>
      </c>
      <c r="E638" t="s">
        <v>6843</v>
      </c>
      <c r="F638" t="s">
        <v>6820</v>
      </c>
      <c r="G638" t="s">
        <v>6820</v>
      </c>
      <c r="J638" t="s">
        <v>80</v>
      </c>
      <c r="K638" t="s">
        <v>110</v>
      </c>
      <c r="L638" t="s">
        <v>111</v>
      </c>
      <c r="M638" t="s">
        <v>6821</v>
      </c>
      <c r="P638" t="s">
        <v>134</v>
      </c>
      <c r="Q638" t="s">
        <v>1205</v>
      </c>
      <c r="R638" t="s">
        <v>914</v>
      </c>
      <c r="S638" t="s">
        <v>444</v>
      </c>
      <c r="T638" t="s">
        <v>6822</v>
      </c>
      <c r="U638" t="s">
        <v>3410</v>
      </c>
      <c r="V638" t="s">
        <v>6823</v>
      </c>
      <c r="W638" t="s">
        <v>1233</v>
      </c>
      <c r="X638" t="s">
        <v>6844</v>
      </c>
      <c r="Y638" t="s">
        <v>93</v>
      </c>
      <c r="Z638" t="s">
        <v>1213</v>
      </c>
      <c r="AA638" t="s">
        <v>6825</v>
      </c>
      <c r="AB638" t="s">
        <v>699</v>
      </c>
      <c r="AC638" t="s">
        <v>5136</v>
      </c>
      <c r="AD638" t="s">
        <v>1213</v>
      </c>
      <c r="AE638" t="s">
        <v>6825</v>
      </c>
      <c r="AF638" t="s">
        <v>699</v>
      </c>
      <c r="AG638" t="s">
        <v>5136</v>
      </c>
      <c r="AI638" t="s">
        <v>5508</v>
      </c>
      <c r="AJ638" t="s">
        <v>1213</v>
      </c>
      <c r="AK638" t="s">
        <v>99</v>
      </c>
      <c r="AL638" t="s">
        <v>6845</v>
      </c>
      <c r="AM638" t="s">
        <v>6839</v>
      </c>
      <c r="AN638" t="s">
        <v>2555</v>
      </c>
      <c r="AR638" t="s">
        <v>125</v>
      </c>
      <c r="AT638" t="s">
        <v>6846</v>
      </c>
      <c r="AV638" t="s">
        <v>128</v>
      </c>
      <c r="AZ638" t="s">
        <v>80</v>
      </c>
    </row>
    <row r="639" spans="1:52" hidden="1" x14ac:dyDescent="0.25">
      <c r="A639" t="s">
        <v>6847</v>
      </c>
      <c r="B639" t="s">
        <v>6848</v>
      </c>
      <c r="C639" t="s">
        <v>6842</v>
      </c>
      <c r="D639" t="s">
        <v>2544</v>
      </c>
      <c r="E639" t="s">
        <v>6849</v>
      </c>
      <c r="F639" t="s">
        <v>6850</v>
      </c>
      <c r="G639" t="s">
        <v>6850</v>
      </c>
      <c r="J639" t="s">
        <v>80</v>
      </c>
      <c r="K639" t="s">
        <v>110</v>
      </c>
      <c r="L639" t="s">
        <v>111</v>
      </c>
      <c r="M639" t="s">
        <v>6851</v>
      </c>
      <c r="P639" t="s">
        <v>134</v>
      </c>
      <c r="Q639" t="s">
        <v>1205</v>
      </c>
      <c r="R639" t="s">
        <v>914</v>
      </c>
      <c r="S639" t="s">
        <v>444</v>
      </c>
      <c r="T639" t="s">
        <v>1206</v>
      </c>
      <c r="U639" t="s">
        <v>6852</v>
      </c>
      <c r="V639" t="s">
        <v>3046</v>
      </c>
      <c r="W639" t="s">
        <v>1225</v>
      </c>
      <c r="X639" t="s">
        <v>1226</v>
      </c>
      <c r="Y639" t="s">
        <v>93</v>
      </c>
      <c r="Z639" t="s">
        <v>1213</v>
      </c>
      <c r="AA639" t="s">
        <v>3265</v>
      </c>
      <c r="AB639" t="s">
        <v>678</v>
      </c>
      <c r="AC639" t="s">
        <v>6853</v>
      </c>
      <c r="AD639" t="s">
        <v>1213</v>
      </c>
      <c r="AE639" t="s">
        <v>3265</v>
      </c>
      <c r="AF639" t="s">
        <v>678</v>
      </c>
      <c r="AG639" t="s">
        <v>6853</v>
      </c>
      <c r="AI639" t="s">
        <v>6854</v>
      </c>
      <c r="AJ639" t="s">
        <v>1213</v>
      </c>
      <c r="AK639" t="s">
        <v>99</v>
      </c>
      <c r="AL639" t="s">
        <v>6855</v>
      </c>
      <c r="AM639" t="s">
        <v>6856</v>
      </c>
      <c r="AN639" t="s">
        <v>2555</v>
      </c>
      <c r="AR639" t="s">
        <v>125</v>
      </c>
      <c r="AT639" t="s">
        <v>6857</v>
      </c>
      <c r="AV639" t="s">
        <v>128</v>
      </c>
      <c r="AZ639" t="s">
        <v>80</v>
      </c>
    </row>
    <row r="640" spans="1:52" hidden="1" x14ac:dyDescent="0.25">
      <c r="A640" t="s">
        <v>6858</v>
      </c>
      <c r="B640" t="s">
        <v>6848</v>
      </c>
      <c r="C640" t="s">
        <v>6842</v>
      </c>
      <c r="D640" t="s">
        <v>2544</v>
      </c>
      <c r="E640" t="s">
        <v>6859</v>
      </c>
      <c r="F640" t="s">
        <v>6850</v>
      </c>
      <c r="G640" t="s">
        <v>6850</v>
      </c>
      <c r="J640" t="s">
        <v>80</v>
      </c>
      <c r="K640" t="s">
        <v>110</v>
      </c>
      <c r="L640" t="s">
        <v>111</v>
      </c>
      <c r="M640" t="s">
        <v>6851</v>
      </c>
      <c r="P640" t="s">
        <v>134</v>
      </c>
      <c r="Q640" t="s">
        <v>1205</v>
      </c>
      <c r="R640" t="s">
        <v>914</v>
      </c>
      <c r="S640" t="s">
        <v>444</v>
      </c>
      <c r="T640" t="s">
        <v>1206</v>
      </c>
      <c r="U640" t="s">
        <v>6852</v>
      </c>
      <c r="V640" t="s">
        <v>3046</v>
      </c>
      <c r="W640" t="s">
        <v>1242</v>
      </c>
      <c r="X640" t="s">
        <v>1243</v>
      </c>
      <c r="Y640" t="s">
        <v>93</v>
      </c>
      <c r="Z640" t="s">
        <v>1213</v>
      </c>
      <c r="AA640" t="s">
        <v>3265</v>
      </c>
      <c r="AB640" t="s">
        <v>678</v>
      </c>
      <c r="AC640" t="s">
        <v>6853</v>
      </c>
      <c r="AD640" t="s">
        <v>1213</v>
      </c>
      <c r="AE640" t="s">
        <v>3265</v>
      </c>
      <c r="AF640" t="s">
        <v>678</v>
      </c>
      <c r="AG640" t="s">
        <v>6853</v>
      </c>
      <c r="AI640" t="s">
        <v>6854</v>
      </c>
      <c r="AJ640" t="s">
        <v>1213</v>
      </c>
      <c r="AK640" t="s">
        <v>99</v>
      </c>
      <c r="AL640" t="s">
        <v>6860</v>
      </c>
      <c r="AM640" t="s">
        <v>6856</v>
      </c>
      <c r="AN640" t="s">
        <v>2555</v>
      </c>
      <c r="AR640" t="s">
        <v>125</v>
      </c>
      <c r="AT640" t="s">
        <v>6861</v>
      </c>
      <c r="AV640" t="s">
        <v>128</v>
      </c>
      <c r="AZ640" t="s">
        <v>80</v>
      </c>
    </row>
    <row r="641" spans="1:52" hidden="1" x14ac:dyDescent="0.25">
      <c r="A641" t="s">
        <v>6862</v>
      </c>
      <c r="B641" t="s">
        <v>6848</v>
      </c>
      <c r="C641" t="s">
        <v>6842</v>
      </c>
      <c r="D641" t="s">
        <v>2544</v>
      </c>
      <c r="E641" t="s">
        <v>6863</v>
      </c>
      <c r="F641" t="s">
        <v>6850</v>
      </c>
      <c r="G641" t="s">
        <v>6850</v>
      </c>
      <c r="J641" t="s">
        <v>80</v>
      </c>
      <c r="K641" t="s">
        <v>110</v>
      </c>
      <c r="L641" t="s">
        <v>111</v>
      </c>
      <c r="M641" t="s">
        <v>6851</v>
      </c>
      <c r="P641" t="s">
        <v>134</v>
      </c>
      <c r="Q641" t="s">
        <v>1205</v>
      </c>
      <c r="R641" t="s">
        <v>914</v>
      </c>
      <c r="S641" t="s">
        <v>444</v>
      </c>
      <c r="T641" t="s">
        <v>1206</v>
      </c>
      <c r="U641" t="s">
        <v>6852</v>
      </c>
      <c r="V641" t="s">
        <v>3046</v>
      </c>
      <c r="W641" t="s">
        <v>1209</v>
      </c>
      <c r="X641" t="s">
        <v>1210</v>
      </c>
      <c r="Y641" t="s">
        <v>93</v>
      </c>
      <c r="Z641" t="s">
        <v>1213</v>
      </c>
      <c r="AA641" t="s">
        <v>3265</v>
      </c>
      <c r="AB641" t="s">
        <v>678</v>
      </c>
      <c r="AC641" t="s">
        <v>6853</v>
      </c>
      <c r="AD641" t="s">
        <v>1213</v>
      </c>
      <c r="AE641" t="s">
        <v>3265</v>
      </c>
      <c r="AF641" t="s">
        <v>678</v>
      </c>
      <c r="AG641" t="s">
        <v>6853</v>
      </c>
      <c r="AI641" t="s">
        <v>1144</v>
      </c>
      <c r="AJ641" t="s">
        <v>1213</v>
      </c>
      <c r="AK641" t="s">
        <v>99</v>
      </c>
      <c r="AL641" t="s">
        <v>6864</v>
      </c>
      <c r="AM641" t="s">
        <v>6856</v>
      </c>
      <c r="AN641" t="s">
        <v>2555</v>
      </c>
      <c r="AR641" t="s">
        <v>125</v>
      </c>
      <c r="AT641" t="s">
        <v>6865</v>
      </c>
      <c r="AV641" t="s">
        <v>128</v>
      </c>
      <c r="AZ641" t="s">
        <v>80</v>
      </c>
    </row>
    <row r="642" spans="1:52" hidden="1" x14ac:dyDescent="0.25">
      <c r="A642" t="s">
        <v>6866</v>
      </c>
      <c r="B642" t="s">
        <v>6848</v>
      </c>
      <c r="C642" t="s">
        <v>6867</v>
      </c>
      <c r="D642" t="s">
        <v>2544</v>
      </c>
      <c r="E642" t="s">
        <v>6868</v>
      </c>
      <c r="F642" t="s">
        <v>6850</v>
      </c>
      <c r="G642" t="s">
        <v>6850</v>
      </c>
      <c r="J642" t="s">
        <v>80</v>
      </c>
      <c r="K642" t="s">
        <v>110</v>
      </c>
      <c r="L642" t="s">
        <v>111</v>
      </c>
      <c r="M642" t="s">
        <v>6851</v>
      </c>
      <c r="P642" t="s">
        <v>134</v>
      </c>
      <c r="Q642" t="s">
        <v>1205</v>
      </c>
      <c r="R642" t="s">
        <v>914</v>
      </c>
      <c r="S642" t="s">
        <v>444</v>
      </c>
      <c r="T642" t="s">
        <v>1206</v>
      </c>
      <c r="U642" t="s">
        <v>6852</v>
      </c>
      <c r="V642" t="s">
        <v>3046</v>
      </c>
      <c r="W642" t="s">
        <v>1233</v>
      </c>
      <c r="X642" t="s">
        <v>1234</v>
      </c>
      <c r="Y642" t="s">
        <v>93</v>
      </c>
      <c r="Z642" t="s">
        <v>1213</v>
      </c>
      <c r="AA642" t="s">
        <v>3265</v>
      </c>
      <c r="AB642" t="s">
        <v>678</v>
      </c>
      <c r="AC642" t="s">
        <v>6853</v>
      </c>
      <c r="AD642" t="s">
        <v>1213</v>
      </c>
      <c r="AE642" t="s">
        <v>3265</v>
      </c>
      <c r="AF642" t="s">
        <v>678</v>
      </c>
      <c r="AG642" t="s">
        <v>6853</v>
      </c>
      <c r="AI642" t="s">
        <v>1144</v>
      </c>
      <c r="AJ642" t="s">
        <v>1213</v>
      </c>
      <c r="AK642" t="s">
        <v>99</v>
      </c>
      <c r="AL642" t="s">
        <v>6869</v>
      </c>
      <c r="AM642" t="s">
        <v>6856</v>
      </c>
      <c r="AN642" t="s">
        <v>2555</v>
      </c>
      <c r="AR642" t="s">
        <v>125</v>
      </c>
      <c r="AT642" t="s">
        <v>6870</v>
      </c>
      <c r="AV642" t="s">
        <v>128</v>
      </c>
      <c r="AZ642" t="s">
        <v>80</v>
      </c>
    </row>
    <row r="643" spans="1:52" hidden="1" x14ac:dyDescent="0.25">
      <c r="A643" t="s">
        <v>6871</v>
      </c>
      <c r="B643" t="s">
        <v>3405</v>
      </c>
      <c r="C643" t="s">
        <v>6867</v>
      </c>
      <c r="D643" t="s">
        <v>2544</v>
      </c>
      <c r="E643" t="s">
        <v>6872</v>
      </c>
      <c r="F643" t="s">
        <v>3408</v>
      </c>
      <c r="G643" t="s">
        <v>3408</v>
      </c>
      <c r="J643" t="s">
        <v>80</v>
      </c>
      <c r="K643" t="s">
        <v>110</v>
      </c>
      <c r="L643" t="s">
        <v>111</v>
      </c>
      <c r="M643" t="s">
        <v>3409</v>
      </c>
      <c r="P643" t="s">
        <v>134</v>
      </c>
      <c r="Q643" t="s">
        <v>1205</v>
      </c>
      <c r="R643" t="s">
        <v>914</v>
      </c>
      <c r="S643" t="s">
        <v>444</v>
      </c>
      <c r="T643" t="s">
        <v>1206</v>
      </c>
      <c r="U643" t="s">
        <v>3410</v>
      </c>
      <c r="V643" t="s">
        <v>3046</v>
      </c>
      <c r="W643" t="s">
        <v>6873</v>
      </c>
      <c r="X643" t="s">
        <v>3412</v>
      </c>
      <c r="Y643" t="s">
        <v>93</v>
      </c>
      <c r="Z643" t="s">
        <v>1213</v>
      </c>
      <c r="AA643" t="s">
        <v>3413</v>
      </c>
      <c r="AB643" t="s">
        <v>678</v>
      </c>
      <c r="AC643" t="s">
        <v>3414</v>
      </c>
      <c r="AD643" t="s">
        <v>1213</v>
      </c>
      <c r="AE643" t="s">
        <v>3413</v>
      </c>
      <c r="AF643" t="s">
        <v>678</v>
      </c>
      <c r="AG643" t="s">
        <v>3414</v>
      </c>
      <c r="AI643" t="s">
        <v>6874</v>
      </c>
      <c r="AJ643" t="s">
        <v>1213</v>
      </c>
      <c r="AK643" t="s">
        <v>99</v>
      </c>
      <c r="AL643" t="s">
        <v>6875</v>
      </c>
      <c r="AM643" t="s">
        <v>3417</v>
      </c>
      <c r="AN643" t="s">
        <v>2555</v>
      </c>
      <c r="AR643" t="s">
        <v>125</v>
      </c>
      <c r="AT643" t="s">
        <v>6876</v>
      </c>
      <c r="AV643" t="s">
        <v>128</v>
      </c>
      <c r="AZ643" t="s">
        <v>80</v>
      </c>
    </row>
    <row r="644" spans="1:52" hidden="1" x14ac:dyDescent="0.25">
      <c r="A644" t="s">
        <v>6877</v>
      </c>
      <c r="B644" t="s">
        <v>3405</v>
      </c>
      <c r="C644" t="s">
        <v>6867</v>
      </c>
      <c r="D644" t="s">
        <v>2544</v>
      </c>
      <c r="E644" t="s">
        <v>6878</v>
      </c>
      <c r="F644" t="s">
        <v>3408</v>
      </c>
      <c r="G644" t="s">
        <v>3408</v>
      </c>
      <c r="J644" t="s">
        <v>80</v>
      </c>
      <c r="K644" t="s">
        <v>110</v>
      </c>
      <c r="L644" t="s">
        <v>111</v>
      </c>
      <c r="M644" t="s">
        <v>3409</v>
      </c>
      <c r="P644" t="s">
        <v>134</v>
      </c>
      <c r="Q644" t="s">
        <v>1205</v>
      </c>
      <c r="R644" t="s">
        <v>914</v>
      </c>
      <c r="S644" t="s">
        <v>444</v>
      </c>
      <c r="T644" t="s">
        <v>1206</v>
      </c>
      <c r="U644" t="s">
        <v>3410</v>
      </c>
      <c r="V644" t="s">
        <v>3046</v>
      </c>
      <c r="W644" t="s">
        <v>6879</v>
      </c>
      <c r="X644" t="s">
        <v>6880</v>
      </c>
      <c r="Y644" t="s">
        <v>93</v>
      </c>
      <c r="Z644" t="s">
        <v>1213</v>
      </c>
      <c r="AA644" t="s">
        <v>3413</v>
      </c>
      <c r="AB644" t="s">
        <v>678</v>
      </c>
      <c r="AC644" t="s">
        <v>3414</v>
      </c>
      <c r="AD644" t="s">
        <v>1213</v>
      </c>
      <c r="AE644" t="s">
        <v>3413</v>
      </c>
      <c r="AF644" t="s">
        <v>678</v>
      </c>
      <c r="AG644" t="s">
        <v>3414</v>
      </c>
      <c r="AI644" t="s">
        <v>6874</v>
      </c>
      <c r="AJ644" t="s">
        <v>1213</v>
      </c>
      <c r="AK644" t="s">
        <v>99</v>
      </c>
      <c r="AL644" t="s">
        <v>6881</v>
      </c>
      <c r="AM644" t="s">
        <v>2991</v>
      </c>
      <c r="AN644" t="s">
        <v>2555</v>
      </c>
      <c r="AR644" t="s">
        <v>125</v>
      </c>
      <c r="AT644" t="s">
        <v>6882</v>
      </c>
      <c r="AV644" t="s">
        <v>128</v>
      </c>
      <c r="AZ644" t="s">
        <v>80</v>
      </c>
    </row>
    <row r="645" spans="1:52" hidden="1" x14ac:dyDescent="0.25">
      <c r="A645" t="s">
        <v>6883</v>
      </c>
      <c r="B645" t="s">
        <v>3405</v>
      </c>
      <c r="C645" t="s">
        <v>6867</v>
      </c>
      <c r="D645" t="s">
        <v>2544</v>
      </c>
      <c r="E645" t="s">
        <v>6884</v>
      </c>
      <c r="F645" t="s">
        <v>3408</v>
      </c>
      <c r="G645" t="s">
        <v>3408</v>
      </c>
      <c r="J645" t="s">
        <v>80</v>
      </c>
      <c r="K645" t="s">
        <v>110</v>
      </c>
      <c r="L645" t="s">
        <v>111</v>
      </c>
      <c r="M645" t="s">
        <v>3409</v>
      </c>
      <c r="P645" t="s">
        <v>134</v>
      </c>
      <c r="Q645" t="s">
        <v>1205</v>
      </c>
      <c r="R645" t="s">
        <v>914</v>
      </c>
      <c r="S645" t="s">
        <v>444</v>
      </c>
      <c r="T645" t="s">
        <v>1206</v>
      </c>
      <c r="U645" t="s">
        <v>3410</v>
      </c>
      <c r="V645" t="s">
        <v>3046</v>
      </c>
      <c r="W645" t="s">
        <v>6885</v>
      </c>
      <c r="X645" t="s">
        <v>1226</v>
      </c>
      <c r="Y645" t="s">
        <v>93</v>
      </c>
      <c r="Z645" t="s">
        <v>1213</v>
      </c>
      <c r="AA645" t="s">
        <v>3413</v>
      </c>
      <c r="AB645" t="s">
        <v>678</v>
      </c>
      <c r="AC645" t="s">
        <v>3414</v>
      </c>
      <c r="AD645" t="s">
        <v>1213</v>
      </c>
      <c r="AE645" t="s">
        <v>3413</v>
      </c>
      <c r="AF645" t="s">
        <v>678</v>
      </c>
      <c r="AG645" t="s">
        <v>3414</v>
      </c>
      <c r="AI645" t="s">
        <v>6886</v>
      </c>
      <c r="AJ645" t="s">
        <v>1213</v>
      </c>
      <c r="AK645" t="s">
        <v>99</v>
      </c>
      <c r="AL645" t="s">
        <v>6887</v>
      </c>
      <c r="AM645" t="s">
        <v>2991</v>
      </c>
      <c r="AN645" t="s">
        <v>2555</v>
      </c>
      <c r="AR645" t="s">
        <v>125</v>
      </c>
      <c r="AT645" t="s">
        <v>6888</v>
      </c>
      <c r="AV645" t="s">
        <v>128</v>
      </c>
      <c r="AZ645" t="s">
        <v>80</v>
      </c>
    </row>
    <row r="646" spans="1:52" hidden="1" x14ac:dyDescent="0.25">
      <c r="A646" t="s">
        <v>6889</v>
      </c>
      <c r="B646" t="s">
        <v>3405</v>
      </c>
      <c r="C646" t="s">
        <v>6890</v>
      </c>
      <c r="D646" t="s">
        <v>2544</v>
      </c>
      <c r="E646" t="s">
        <v>6891</v>
      </c>
      <c r="F646" t="s">
        <v>3408</v>
      </c>
      <c r="G646" t="s">
        <v>3408</v>
      </c>
      <c r="J646" t="s">
        <v>80</v>
      </c>
      <c r="K646" t="s">
        <v>110</v>
      </c>
      <c r="L646" t="s">
        <v>111</v>
      </c>
      <c r="M646" t="s">
        <v>3409</v>
      </c>
      <c r="P646" t="s">
        <v>134</v>
      </c>
      <c r="Q646" t="s">
        <v>1205</v>
      </c>
      <c r="R646" t="s">
        <v>914</v>
      </c>
      <c r="S646" t="s">
        <v>444</v>
      </c>
      <c r="T646" t="s">
        <v>1206</v>
      </c>
      <c r="U646" t="s">
        <v>3410</v>
      </c>
      <c r="V646" t="s">
        <v>3046</v>
      </c>
      <c r="W646" t="s">
        <v>6892</v>
      </c>
      <c r="X646" t="s">
        <v>6893</v>
      </c>
      <c r="Y646" t="s">
        <v>93</v>
      </c>
      <c r="Z646" t="s">
        <v>1213</v>
      </c>
      <c r="AA646" t="s">
        <v>3413</v>
      </c>
      <c r="AB646" t="s">
        <v>678</v>
      </c>
      <c r="AC646" t="s">
        <v>3414</v>
      </c>
      <c r="AD646" t="s">
        <v>1213</v>
      </c>
      <c r="AE646" t="s">
        <v>3413</v>
      </c>
      <c r="AF646" t="s">
        <v>678</v>
      </c>
      <c r="AG646" t="s">
        <v>3414</v>
      </c>
      <c r="AI646" t="s">
        <v>6886</v>
      </c>
      <c r="AJ646" t="s">
        <v>1213</v>
      </c>
      <c r="AK646" t="s">
        <v>99</v>
      </c>
      <c r="AL646" t="s">
        <v>6894</v>
      </c>
      <c r="AM646" t="s">
        <v>2991</v>
      </c>
      <c r="AN646" t="s">
        <v>2555</v>
      </c>
      <c r="AR646" t="s">
        <v>125</v>
      </c>
      <c r="AT646" t="s">
        <v>6895</v>
      </c>
      <c r="AV646" t="s">
        <v>128</v>
      </c>
      <c r="AZ646" t="s">
        <v>80</v>
      </c>
    </row>
    <row r="647" spans="1:52" hidden="1" x14ac:dyDescent="0.25">
      <c r="A647" t="s">
        <v>6896</v>
      </c>
      <c r="B647" t="s">
        <v>6897</v>
      </c>
      <c r="C647" t="s">
        <v>6890</v>
      </c>
      <c r="D647" t="s">
        <v>2544</v>
      </c>
      <c r="E647" t="s">
        <v>6898</v>
      </c>
      <c r="F647" t="s">
        <v>6899</v>
      </c>
      <c r="G647" t="s">
        <v>6899</v>
      </c>
      <c r="J647" t="s">
        <v>80</v>
      </c>
      <c r="K647" t="s">
        <v>110</v>
      </c>
      <c r="L647" t="s">
        <v>111</v>
      </c>
      <c r="M647" t="s">
        <v>6900</v>
      </c>
      <c r="P647" t="s">
        <v>134</v>
      </c>
      <c r="Q647" t="s">
        <v>1205</v>
      </c>
      <c r="R647" t="s">
        <v>914</v>
      </c>
      <c r="S647" t="s">
        <v>444</v>
      </c>
      <c r="T647" t="s">
        <v>6901</v>
      </c>
      <c r="U647" t="s">
        <v>6902</v>
      </c>
      <c r="V647" t="s">
        <v>4638</v>
      </c>
      <c r="W647" t="s">
        <v>6903</v>
      </c>
      <c r="X647" t="s">
        <v>6904</v>
      </c>
      <c r="Y647" t="s">
        <v>93</v>
      </c>
      <c r="Z647" t="s">
        <v>1213</v>
      </c>
      <c r="AA647" t="s">
        <v>3413</v>
      </c>
      <c r="AB647" t="s">
        <v>2986</v>
      </c>
      <c r="AC647" t="s">
        <v>3118</v>
      </c>
      <c r="AD647" t="s">
        <v>1213</v>
      </c>
      <c r="AE647" t="s">
        <v>3413</v>
      </c>
      <c r="AF647" t="s">
        <v>2986</v>
      </c>
      <c r="AG647" t="s">
        <v>3118</v>
      </c>
      <c r="AI647" t="s">
        <v>6874</v>
      </c>
      <c r="AJ647" t="s">
        <v>1213</v>
      </c>
      <c r="AK647" t="s">
        <v>99</v>
      </c>
      <c r="AL647" t="s">
        <v>6905</v>
      </c>
      <c r="AM647" t="s">
        <v>6906</v>
      </c>
      <c r="AN647" t="s">
        <v>2555</v>
      </c>
      <c r="AR647" t="s">
        <v>125</v>
      </c>
      <c r="AT647" t="s">
        <v>6907</v>
      </c>
      <c r="AV647" t="s">
        <v>128</v>
      </c>
      <c r="AZ647" t="s">
        <v>80</v>
      </c>
    </row>
    <row r="648" spans="1:52" hidden="1" x14ac:dyDescent="0.25">
      <c r="A648" t="s">
        <v>6908</v>
      </c>
      <c r="B648" t="s">
        <v>6897</v>
      </c>
      <c r="C648" t="s">
        <v>6890</v>
      </c>
      <c r="D648" t="s">
        <v>2544</v>
      </c>
      <c r="E648" t="s">
        <v>6909</v>
      </c>
      <c r="F648" t="s">
        <v>6899</v>
      </c>
      <c r="G648" t="s">
        <v>6899</v>
      </c>
      <c r="J648" t="s">
        <v>80</v>
      </c>
      <c r="K648" t="s">
        <v>110</v>
      </c>
      <c r="L648" t="s">
        <v>111</v>
      </c>
      <c r="M648" t="s">
        <v>6900</v>
      </c>
      <c r="P648" t="s">
        <v>134</v>
      </c>
      <c r="Q648" t="s">
        <v>1205</v>
      </c>
      <c r="R648" t="s">
        <v>914</v>
      </c>
      <c r="S648" t="s">
        <v>444</v>
      </c>
      <c r="T648" t="s">
        <v>6901</v>
      </c>
      <c r="U648" t="s">
        <v>6902</v>
      </c>
      <c r="V648" t="s">
        <v>4638</v>
      </c>
      <c r="W648" t="s">
        <v>6910</v>
      </c>
      <c r="X648" t="s">
        <v>6911</v>
      </c>
      <c r="Y648" t="s">
        <v>93</v>
      </c>
      <c r="Z648" t="s">
        <v>1213</v>
      </c>
      <c r="AA648" t="s">
        <v>3413</v>
      </c>
      <c r="AB648" t="s">
        <v>2986</v>
      </c>
      <c r="AC648" t="s">
        <v>3118</v>
      </c>
      <c r="AD648" t="s">
        <v>1213</v>
      </c>
      <c r="AE648" t="s">
        <v>3413</v>
      </c>
      <c r="AF648" t="s">
        <v>2986</v>
      </c>
      <c r="AG648" t="s">
        <v>3118</v>
      </c>
      <c r="AI648" t="s">
        <v>6886</v>
      </c>
      <c r="AJ648" t="s">
        <v>1213</v>
      </c>
      <c r="AK648" t="s">
        <v>99</v>
      </c>
      <c r="AL648" t="s">
        <v>6912</v>
      </c>
      <c r="AM648" t="s">
        <v>6906</v>
      </c>
      <c r="AN648" t="s">
        <v>2555</v>
      </c>
      <c r="AR648" t="s">
        <v>125</v>
      </c>
      <c r="AT648" t="s">
        <v>6913</v>
      </c>
      <c r="AV648" t="s">
        <v>128</v>
      </c>
      <c r="AZ648" t="s">
        <v>80</v>
      </c>
    </row>
    <row r="649" spans="1:52" hidden="1" x14ac:dyDescent="0.25">
      <c r="A649" t="s">
        <v>6914</v>
      </c>
      <c r="B649" t="s">
        <v>6897</v>
      </c>
      <c r="C649" t="s">
        <v>6915</v>
      </c>
      <c r="D649" t="s">
        <v>2544</v>
      </c>
      <c r="E649" t="s">
        <v>6916</v>
      </c>
      <c r="F649" t="s">
        <v>6899</v>
      </c>
      <c r="G649" t="s">
        <v>6899</v>
      </c>
      <c r="J649" t="s">
        <v>80</v>
      </c>
      <c r="K649" t="s">
        <v>110</v>
      </c>
      <c r="L649" t="s">
        <v>111</v>
      </c>
      <c r="M649" t="s">
        <v>6900</v>
      </c>
      <c r="P649" t="s">
        <v>134</v>
      </c>
      <c r="Q649" t="s">
        <v>1205</v>
      </c>
      <c r="R649" t="s">
        <v>914</v>
      </c>
      <c r="S649" t="s">
        <v>444</v>
      </c>
      <c r="T649" t="s">
        <v>6901</v>
      </c>
      <c r="U649" t="s">
        <v>6902</v>
      </c>
      <c r="V649" t="s">
        <v>4638</v>
      </c>
      <c r="W649" t="s">
        <v>6917</v>
      </c>
      <c r="X649" t="s">
        <v>6918</v>
      </c>
      <c r="Y649" t="s">
        <v>93</v>
      </c>
      <c r="Z649" t="s">
        <v>1213</v>
      </c>
      <c r="AA649" t="s">
        <v>3413</v>
      </c>
      <c r="AB649" t="s">
        <v>2986</v>
      </c>
      <c r="AC649" t="s">
        <v>3118</v>
      </c>
      <c r="AD649" t="s">
        <v>1213</v>
      </c>
      <c r="AE649" t="s">
        <v>3413</v>
      </c>
      <c r="AF649" t="s">
        <v>2986</v>
      </c>
      <c r="AG649" t="s">
        <v>3118</v>
      </c>
      <c r="AI649" t="s">
        <v>6886</v>
      </c>
      <c r="AJ649" t="s">
        <v>1213</v>
      </c>
      <c r="AK649" t="s">
        <v>99</v>
      </c>
      <c r="AL649" t="s">
        <v>6919</v>
      </c>
      <c r="AM649" t="s">
        <v>6906</v>
      </c>
      <c r="AN649" t="s">
        <v>2555</v>
      </c>
      <c r="AR649" t="s">
        <v>125</v>
      </c>
      <c r="AT649" t="s">
        <v>6920</v>
      </c>
      <c r="AV649" t="s">
        <v>128</v>
      </c>
      <c r="AZ649" t="s">
        <v>80</v>
      </c>
    </row>
    <row r="650" spans="1:52" hidden="1" x14ac:dyDescent="0.25">
      <c r="A650" t="s">
        <v>6921</v>
      </c>
      <c r="B650" t="s">
        <v>6922</v>
      </c>
      <c r="C650" t="s">
        <v>6915</v>
      </c>
      <c r="D650" t="s">
        <v>2544</v>
      </c>
      <c r="E650" t="s">
        <v>6923</v>
      </c>
      <c r="F650" t="s">
        <v>6924</v>
      </c>
      <c r="G650" t="s">
        <v>6924</v>
      </c>
      <c r="J650" t="s">
        <v>80</v>
      </c>
      <c r="K650" t="s">
        <v>110</v>
      </c>
      <c r="L650" t="s">
        <v>111</v>
      </c>
      <c r="M650">
        <v>67103</v>
      </c>
      <c r="O650" t="s">
        <v>1818</v>
      </c>
      <c r="P650" t="s">
        <v>1819</v>
      </c>
      <c r="Q650" t="s">
        <v>1744</v>
      </c>
      <c r="R650" t="s">
        <v>1550</v>
      </c>
      <c r="S650" t="s">
        <v>774</v>
      </c>
      <c r="T650" t="s">
        <v>1820</v>
      </c>
      <c r="U650" t="s">
        <v>6925</v>
      </c>
      <c r="V650" t="s">
        <v>6926</v>
      </c>
      <c r="W650" t="s">
        <v>1822</v>
      </c>
      <c r="X650" t="s">
        <v>1823</v>
      </c>
      <c r="Y650" t="s">
        <v>93</v>
      </c>
      <c r="Z650" t="s">
        <v>119</v>
      </c>
      <c r="AA650" t="s">
        <v>6927</v>
      </c>
      <c r="AB650" t="s">
        <v>1804</v>
      </c>
      <c r="AC650" t="s">
        <v>2641</v>
      </c>
      <c r="AD650" t="s">
        <v>119</v>
      </c>
      <c r="AE650" t="s">
        <v>6927</v>
      </c>
      <c r="AF650" t="s">
        <v>1804</v>
      </c>
      <c r="AG650" t="s">
        <v>2641</v>
      </c>
      <c r="AI650" t="s">
        <v>6928</v>
      </c>
      <c r="AJ650" t="s">
        <v>119</v>
      </c>
      <c r="AK650" t="s">
        <v>99</v>
      </c>
      <c r="AL650" t="s">
        <v>6929</v>
      </c>
      <c r="AM650" t="s">
        <v>6930</v>
      </c>
      <c r="AN650" t="s">
        <v>2578</v>
      </c>
      <c r="AR650" t="s">
        <v>125</v>
      </c>
      <c r="AT650" t="s">
        <v>6931</v>
      </c>
      <c r="AV650" t="s">
        <v>190</v>
      </c>
      <c r="AZ650" t="s">
        <v>80</v>
      </c>
    </row>
    <row r="651" spans="1:52" hidden="1" x14ac:dyDescent="0.25">
      <c r="A651" t="s">
        <v>6932</v>
      </c>
      <c r="B651" t="s">
        <v>6933</v>
      </c>
      <c r="C651" t="s">
        <v>6934</v>
      </c>
      <c r="D651" t="s">
        <v>2544</v>
      </c>
      <c r="E651" t="s">
        <v>6935</v>
      </c>
      <c r="F651" t="s">
        <v>6936</v>
      </c>
      <c r="G651" t="s">
        <v>6936</v>
      </c>
      <c r="J651" t="s">
        <v>80</v>
      </c>
      <c r="K651" t="s">
        <v>110</v>
      </c>
      <c r="L651" t="s">
        <v>111</v>
      </c>
      <c r="M651" t="s">
        <v>6937</v>
      </c>
      <c r="O651" t="s">
        <v>2162</v>
      </c>
      <c r="P651" t="s">
        <v>154</v>
      </c>
      <c r="Q651" t="s">
        <v>155</v>
      </c>
      <c r="R651" t="s">
        <v>156</v>
      </c>
      <c r="S651" t="s">
        <v>157</v>
      </c>
      <c r="T651" t="s">
        <v>2163</v>
      </c>
      <c r="U651" t="s">
        <v>2241</v>
      </c>
      <c r="V651" t="s">
        <v>2242</v>
      </c>
      <c r="W651" t="s">
        <v>161</v>
      </c>
      <c r="X651" t="s">
        <v>6938</v>
      </c>
      <c r="Y651" t="s">
        <v>93</v>
      </c>
      <c r="Z651" t="s">
        <v>249</v>
      </c>
      <c r="AA651" t="s">
        <v>6939</v>
      </c>
      <c r="AB651" t="s">
        <v>119</v>
      </c>
      <c r="AC651" t="s">
        <v>6940</v>
      </c>
      <c r="AD651" t="s">
        <v>249</v>
      </c>
      <c r="AE651" t="s">
        <v>6939</v>
      </c>
      <c r="AF651" t="s">
        <v>119</v>
      </c>
      <c r="AG651" t="s">
        <v>6940</v>
      </c>
      <c r="AI651" t="s">
        <v>6941</v>
      </c>
      <c r="AJ651" t="s">
        <v>249</v>
      </c>
      <c r="AK651" t="s">
        <v>99</v>
      </c>
      <c r="AL651" t="s">
        <v>6942</v>
      </c>
      <c r="AM651" t="s">
        <v>6943</v>
      </c>
      <c r="AN651" t="s">
        <v>2555</v>
      </c>
      <c r="AR651" t="s">
        <v>125</v>
      </c>
      <c r="AT651" t="s">
        <v>6944</v>
      </c>
      <c r="AV651" t="s">
        <v>128</v>
      </c>
      <c r="AZ651" t="s">
        <v>80</v>
      </c>
    </row>
    <row r="652" spans="1:52" hidden="1" x14ac:dyDescent="0.25">
      <c r="A652" t="s">
        <v>6945</v>
      </c>
      <c r="B652" t="s">
        <v>6946</v>
      </c>
      <c r="C652" t="s">
        <v>6947</v>
      </c>
      <c r="D652" t="s">
        <v>2544</v>
      </c>
      <c r="E652" t="s">
        <v>6948</v>
      </c>
      <c r="F652" t="s">
        <v>6949</v>
      </c>
      <c r="G652" t="s">
        <v>6949</v>
      </c>
      <c r="J652" t="s">
        <v>80</v>
      </c>
      <c r="K652" t="s">
        <v>110</v>
      </c>
      <c r="L652" t="s">
        <v>111</v>
      </c>
      <c r="M652" t="s">
        <v>6950</v>
      </c>
      <c r="O652" t="s">
        <v>2162</v>
      </c>
      <c r="P652" t="s">
        <v>154</v>
      </c>
      <c r="Q652" t="s">
        <v>155</v>
      </c>
      <c r="R652" t="s">
        <v>156</v>
      </c>
      <c r="S652" t="s">
        <v>157</v>
      </c>
      <c r="T652" t="s">
        <v>2163</v>
      </c>
      <c r="U652" t="s">
        <v>114</v>
      </c>
      <c r="V652" t="s">
        <v>6769</v>
      </c>
      <c r="W652" t="s">
        <v>161</v>
      </c>
      <c r="X652" t="s">
        <v>6938</v>
      </c>
      <c r="Y652" t="s">
        <v>93</v>
      </c>
      <c r="Z652" t="s">
        <v>249</v>
      </c>
      <c r="AA652" t="s">
        <v>3564</v>
      </c>
      <c r="AB652" t="s">
        <v>119</v>
      </c>
      <c r="AC652" t="s">
        <v>6951</v>
      </c>
      <c r="AD652" t="s">
        <v>249</v>
      </c>
      <c r="AE652" t="s">
        <v>3564</v>
      </c>
      <c r="AF652" t="s">
        <v>119</v>
      </c>
      <c r="AG652" t="s">
        <v>6951</v>
      </c>
      <c r="AI652" t="s">
        <v>6952</v>
      </c>
      <c r="AJ652" t="s">
        <v>249</v>
      </c>
      <c r="AK652" t="s">
        <v>99</v>
      </c>
      <c r="AL652" t="s">
        <v>6953</v>
      </c>
      <c r="AM652" t="s">
        <v>6954</v>
      </c>
      <c r="AN652" t="s">
        <v>2555</v>
      </c>
      <c r="AR652" t="s">
        <v>125</v>
      </c>
      <c r="AT652" t="s">
        <v>6955</v>
      </c>
      <c r="AV652" t="s">
        <v>128</v>
      </c>
      <c r="AZ652" t="s">
        <v>80</v>
      </c>
    </row>
    <row r="653" spans="1:52" hidden="1" x14ac:dyDescent="0.25">
      <c r="A653" t="s">
        <v>6956</v>
      </c>
      <c r="B653" t="s">
        <v>6957</v>
      </c>
      <c r="C653" t="s">
        <v>6958</v>
      </c>
      <c r="D653" t="s">
        <v>2544</v>
      </c>
      <c r="E653" t="s">
        <v>6959</v>
      </c>
      <c r="F653" t="s">
        <v>6960</v>
      </c>
      <c r="G653" t="s">
        <v>6960</v>
      </c>
      <c r="J653" t="s">
        <v>80</v>
      </c>
      <c r="K653" t="s">
        <v>110</v>
      </c>
      <c r="L653" t="s">
        <v>111</v>
      </c>
      <c r="M653" t="s">
        <v>6961</v>
      </c>
      <c r="O653" t="s">
        <v>2162</v>
      </c>
      <c r="P653" t="s">
        <v>154</v>
      </c>
      <c r="Q653" t="s">
        <v>155</v>
      </c>
      <c r="R653" t="s">
        <v>156</v>
      </c>
      <c r="S653" t="s">
        <v>157</v>
      </c>
      <c r="T653" t="s">
        <v>2163</v>
      </c>
      <c r="U653" t="s">
        <v>2241</v>
      </c>
      <c r="V653" t="s">
        <v>2164</v>
      </c>
      <c r="W653" t="s">
        <v>161</v>
      </c>
      <c r="X653" t="s">
        <v>6938</v>
      </c>
      <c r="Y653" t="s">
        <v>93</v>
      </c>
      <c r="Z653" t="s">
        <v>249</v>
      </c>
      <c r="AA653" t="s">
        <v>6962</v>
      </c>
      <c r="AB653" t="s">
        <v>119</v>
      </c>
      <c r="AC653" t="s">
        <v>6963</v>
      </c>
      <c r="AD653" t="s">
        <v>249</v>
      </c>
      <c r="AE653" t="s">
        <v>6962</v>
      </c>
      <c r="AF653" t="s">
        <v>119</v>
      </c>
      <c r="AG653" t="s">
        <v>6963</v>
      </c>
      <c r="AI653" t="s">
        <v>6964</v>
      </c>
      <c r="AJ653" t="s">
        <v>249</v>
      </c>
      <c r="AK653" t="s">
        <v>99</v>
      </c>
      <c r="AL653" t="s">
        <v>6965</v>
      </c>
      <c r="AM653" t="s">
        <v>6966</v>
      </c>
      <c r="AN653" t="s">
        <v>2555</v>
      </c>
      <c r="AR653" t="s">
        <v>125</v>
      </c>
      <c r="AT653" t="s">
        <v>6967</v>
      </c>
      <c r="AV653" t="s">
        <v>128</v>
      </c>
      <c r="AZ653" t="s">
        <v>80</v>
      </c>
    </row>
    <row r="654" spans="1:52" hidden="1" x14ac:dyDescent="0.25">
      <c r="A654" t="s">
        <v>6968</v>
      </c>
      <c r="B654" t="s">
        <v>6969</v>
      </c>
      <c r="C654" t="s">
        <v>6958</v>
      </c>
      <c r="D654" t="s">
        <v>2544</v>
      </c>
      <c r="E654" t="s">
        <v>6970</v>
      </c>
      <c r="F654" t="s">
        <v>6971</v>
      </c>
      <c r="G654" t="s">
        <v>6971</v>
      </c>
      <c r="J654" t="s">
        <v>80</v>
      </c>
      <c r="K654" t="s">
        <v>110</v>
      </c>
      <c r="L654" t="s">
        <v>111</v>
      </c>
      <c r="M654" t="s">
        <v>2259</v>
      </c>
      <c r="O654" t="s">
        <v>2162</v>
      </c>
      <c r="P654" t="s">
        <v>154</v>
      </c>
      <c r="Q654" t="s">
        <v>155</v>
      </c>
      <c r="R654" t="s">
        <v>156</v>
      </c>
      <c r="S654" t="s">
        <v>157</v>
      </c>
      <c r="T654" t="s">
        <v>2163</v>
      </c>
      <c r="U654" t="s">
        <v>2260</v>
      </c>
      <c r="V654" t="s">
        <v>2261</v>
      </c>
      <c r="W654" t="s">
        <v>797</v>
      </c>
      <c r="X654" t="s">
        <v>2165</v>
      </c>
      <c r="Y654" t="s">
        <v>93</v>
      </c>
      <c r="Z654" t="s">
        <v>249</v>
      </c>
      <c r="AA654" t="s">
        <v>2262</v>
      </c>
      <c r="AB654" t="s">
        <v>119</v>
      </c>
      <c r="AC654" t="s">
        <v>1928</v>
      </c>
      <c r="AD654" t="s">
        <v>249</v>
      </c>
      <c r="AE654" t="s">
        <v>2262</v>
      </c>
      <c r="AF654" t="s">
        <v>119</v>
      </c>
      <c r="AG654" t="s">
        <v>1928</v>
      </c>
      <c r="AI654" t="s">
        <v>2666</v>
      </c>
      <c r="AJ654" t="s">
        <v>249</v>
      </c>
      <c r="AK654" t="s">
        <v>99</v>
      </c>
      <c r="AL654" t="s">
        <v>6972</v>
      </c>
      <c r="AM654" t="s">
        <v>6973</v>
      </c>
      <c r="AN654" t="s">
        <v>2555</v>
      </c>
      <c r="AR654" t="s">
        <v>125</v>
      </c>
      <c r="AT654" t="s">
        <v>6974</v>
      </c>
      <c r="AV654" t="s">
        <v>128</v>
      </c>
      <c r="AZ654" t="s">
        <v>80</v>
      </c>
    </row>
    <row r="655" spans="1:52" hidden="1" x14ac:dyDescent="0.25">
      <c r="A655" t="s">
        <v>6975</v>
      </c>
      <c r="B655" t="s">
        <v>6976</v>
      </c>
      <c r="C655" t="s">
        <v>6977</v>
      </c>
      <c r="D655" t="s">
        <v>2544</v>
      </c>
      <c r="E655" t="s">
        <v>6978</v>
      </c>
      <c r="F655" t="s">
        <v>6979</v>
      </c>
      <c r="G655" t="s">
        <v>6979</v>
      </c>
      <c r="J655" t="s">
        <v>80</v>
      </c>
      <c r="K655" t="s">
        <v>110</v>
      </c>
      <c r="L655" t="s">
        <v>111</v>
      </c>
      <c r="M655" t="s">
        <v>6980</v>
      </c>
      <c r="O655" t="s">
        <v>2162</v>
      </c>
      <c r="P655" t="s">
        <v>154</v>
      </c>
      <c r="Q655" t="s">
        <v>155</v>
      </c>
      <c r="R655" t="s">
        <v>156</v>
      </c>
      <c r="S655" t="s">
        <v>157</v>
      </c>
      <c r="T655" t="s">
        <v>2163</v>
      </c>
      <c r="U655" t="s">
        <v>2076</v>
      </c>
      <c r="V655" t="s">
        <v>2164</v>
      </c>
      <c r="W655" t="s">
        <v>161</v>
      </c>
      <c r="X655" t="s">
        <v>6938</v>
      </c>
      <c r="Y655" t="s">
        <v>93</v>
      </c>
      <c r="Z655" t="s">
        <v>249</v>
      </c>
      <c r="AA655" t="s">
        <v>6981</v>
      </c>
      <c r="AB655" t="s">
        <v>119</v>
      </c>
      <c r="AC655" t="s">
        <v>2855</v>
      </c>
      <c r="AD655" t="s">
        <v>249</v>
      </c>
      <c r="AE655" t="s">
        <v>6981</v>
      </c>
      <c r="AF655" t="s">
        <v>119</v>
      </c>
      <c r="AG655" t="s">
        <v>2855</v>
      </c>
      <c r="AI655" t="s">
        <v>278</v>
      </c>
      <c r="AJ655" t="s">
        <v>249</v>
      </c>
      <c r="AK655" t="s">
        <v>99</v>
      </c>
      <c r="AL655" t="s">
        <v>6982</v>
      </c>
      <c r="AM655" t="s">
        <v>6983</v>
      </c>
      <c r="AN655" t="s">
        <v>2555</v>
      </c>
      <c r="AR655" t="s">
        <v>125</v>
      </c>
      <c r="AT655" t="s">
        <v>6984</v>
      </c>
      <c r="AV655" t="s">
        <v>128</v>
      </c>
      <c r="AZ655" t="s">
        <v>80</v>
      </c>
    </row>
    <row r="656" spans="1:52" hidden="1" x14ac:dyDescent="0.25">
      <c r="A656" t="s">
        <v>6985</v>
      </c>
      <c r="B656" t="s">
        <v>6986</v>
      </c>
      <c r="C656" t="s">
        <v>6987</v>
      </c>
      <c r="D656" t="s">
        <v>2544</v>
      </c>
      <c r="E656" t="s">
        <v>6988</v>
      </c>
      <c r="F656" t="s">
        <v>6989</v>
      </c>
      <c r="G656" t="s">
        <v>6989</v>
      </c>
      <c r="J656" t="s">
        <v>80</v>
      </c>
      <c r="K656" t="s">
        <v>110</v>
      </c>
      <c r="L656" t="s">
        <v>111</v>
      </c>
      <c r="M656" t="s">
        <v>6990</v>
      </c>
      <c r="O656" t="s">
        <v>2162</v>
      </c>
      <c r="P656" t="s">
        <v>154</v>
      </c>
      <c r="Q656" t="s">
        <v>155</v>
      </c>
      <c r="R656" t="s">
        <v>156</v>
      </c>
      <c r="S656" t="s">
        <v>157</v>
      </c>
      <c r="T656" t="s">
        <v>2163</v>
      </c>
      <c r="U656" t="s">
        <v>2076</v>
      </c>
      <c r="V656" t="s">
        <v>2164</v>
      </c>
      <c r="W656" t="s">
        <v>161</v>
      </c>
      <c r="X656" t="s">
        <v>6938</v>
      </c>
      <c r="Y656" t="s">
        <v>93</v>
      </c>
      <c r="Z656" t="s">
        <v>249</v>
      </c>
      <c r="AA656" t="s">
        <v>6991</v>
      </c>
      <c r="AB656" t="s">
        <v>119</v>
      </c>
      <c r="AC656" t="s">
        <v>3822</v>
      </c>
      <c r="AD656" t="s">
        <v>249</v>
      </c>
      <c r="AE656" t="s">
        <v>6991</v>
      </c>
      <c r="AF656" t="s">
        <v>119</v>
      </c>
      <c r="AG656" t="s">
        <v>3822</v>
      </c>
      <c r="AI656" t="s">
        <v>6992</v>
      </c>
      <c r="AJ656" t="s">
        <v>249</v>
      </c>
      <c r="AK656" t="s">
        <v>99</v>
      </c>
      <c r="AL656" t="s">
        <v>6993</v>
      </c>
      <c r="AM656" t="s">
        <v>6994</v>
      </c>
      <c r="AN656" t="s">
        <v>2555</v>
      </c>
      <c r="AR656" t="s">
        <v>125</v>
      </c>
      <c r="AT656" t="s">
        <v>6995</v>
      </c>
      <c r="AV656" t="s">
        <v>128</v>
      </c>
      <c r="AZ656" t="s">
        <v>80</v>
      </c>
    </row>
    <row r="657" spans="1:52" hidden="1" x14ac:dyDescent="0.25">
      <c r="A657" t="s">
        <v>6996</v>
      </c>
      <c r="B657" t="s">
        <v>6997</v>
      </c>
      <c r="C657" t="s">
        <v>6998</v>
      </c>
      <c r="D657" t="s">
        <v>2544</v>
      </c>
      <c r="E657" t="s">
        <v>6999</v>
      </c>
      <c r="F657" t="s">
        <v>7000</v>
      </c>
      <c r="G657" t="s">
        <v>7000</v>
      </c>
      <c r="J657" t="s">
        <v>80</v>
      </c>
      <c r="K657" t="s">
        <v>110</v>
      </c>
      <c r="L657" t="s">
        <v>111</v>
      </c>
      <c r="M657" t="s">
        <v>7001</v>
      </c>
      <c r="O657" t="s">
        <v>2162</v>
      </c>
      <c r="P657" t="s">
        <v>154</v>
      </c>
      <c r="Q657" t="s">
        <v>155</v>
      </c>
      <c r="R657" t="s">
        <v>156</v>
      </c>
      <c r="S657" t="s">
        <v>157</v>
      </c>
      <c r="T657" t="s">
        <v>2163</v>
      </c>
      <c r="U657" t="s">
        <v>114</v>
      </c>
      <c r="V657" t="s">
        <v>7002</v>
      </c>
      <c r="W657" t="s">
        <v>161</v>
      </c>
      <c r="X657" t="s">
        <v>6938</v>
      </c>
      <c r="Y657" t="s">
        <v>93</v>
      </c>
      <c r="Z657" t="s">
        <v>249</v>
      </c>
      <c r="AA657" t="s">
        <v>5352</v>
      </c>
      <c r="AB657" t="s">
        <v>119</v>
      </c>
      <c r="AC657" t="s">
        <v>3899</v>
      </c>
      <c r="AD657" t="s">
        <v>249</v>
      </c>
      <c r="AE657" t="s">
        <v>5352</v>
      </c>
      <c r="AF657" t="s">
        <v>119</v>
      </c>
      <c r="AG657" t="s">
        <v>3899</v>
      </c>
      <c r="AI657" t="s">
        <v>4747</v>
      </c>
      <c r="AJ657" t="s">
        <v>249</v>
      </c>
      <c r="AK657" t="s">
        <v>99</v>
      </c>
      <c r="AL657" t="s">
        <v>7003</v>
      </c>
      <c r="AM657" t="s">
        <v>6994</v>
      </c>
      <c r="AN657" t="s">
        <v>2555</v>
      </c>
      <c r="AR657" t="s">
        <v>125</v>
      </c>
      <c r="AT657" t="s">
        <v>7004</v>
      </c>
      <c r="AV657" t="s">
        <v>128</v>
      </c>
      <c r="AZ657" t="s">
        <v>80</v>
      </c>
    </row>
    <row r="658" spans="1:52" hidden="1" x14ac:dyDescent="0.25">
      <c r="A658" t="s">
        <v>7005</v>
      </c>
      <c r="B658" t="s">
        <v>3979</v>
      </c>
      <c r="C658" t="s">
        <v>6998</v>
      </c>
      <c r="D658" t="s">
        <v>2544</v>
      </c>
      <c r="E658" t="s">
        <v>7006</v>
      </c>
      <c r="F658" t="s">
        <v>3982</v>
      </c>
      <c r="G658" t="s">
        <v>3982</v>
      </c>
      <c r="J658" t="s">
        <v>80</v>
      </c>
      <c r="K658" t="s">
        <v>110</v>
      </c>
      <c r="L658" t="s">
        <v>111</v>
      </c>
      <c r="M658">
        <v>66822</v>
      </c>
      <c r="P658" t="s">
        <v>134</v>
      </c>
      <c r="Q658" t="s">
        <v>1205</v>
      </c>
      <c r="R658" t="s">
        <v>914</v>
      </c>
      <c r="S658" t="s">
        <v>444</v>
      </c>
      <c r="T658" t="s">
        <v>2517</v>
      </c>
      <c r="U658" t="s">
        <v>3983</v>
      </c>
      <c r="V658" t="s">
        <v>115</v>
      </c>
      <c r="W658" t="s">
        <v>2015</v>
      </c>
      <c r="X658" t="s">
        <v>5569</v>
      </c>
      <c r="Y658" t="s">
        <v>93</v>
      </c>
      <c r="Z658" t="s">
        <v>182</v>
      </c>
      <c r="AA658" t="s">
        <v>3985</v>
      </c>
      <c r="AB658" t="s">
        <v>2003</v>
      </c>
      <c r="AC658" t="s">
        <v>3986</v>
      </c>
      <c r="AD658" t="s">
        <v>182</v>
      </c>
      <c r="AE658" t="s">
        <v>3985</v>
      </c>
      <c r="AF658" t="s">
        <v>2003</v>
      </c>
      <c r="AG658" t="s">
        <v>3986</v>
      </c>
      <c r="AI658" t="s">
        <v>3987</v>
      </c>
      <c r="AJ658" t="s">
        <v>182</v>
      </c>
      <c r="AK658" t="s">
        <v>99</v>
      </c>
      <c r="AL658" t="s">
        <v>7007</v>
      </c>
      <c r="AM658" t="s">
        <v>3989</v>
      </c>
      <c r="AN658" t="s">
        <v>2578</v>
      </c>
      <c r="AR658" t="s">
        <v>125</v>
      </c>
      <c r="AT658" t="s">
        <v>3990</v>
      </c>
      <c r="AV658" t="s">
        <v>128</v>
      </c>
      <c r="AZ658" t="s">
        <v>80</v>
      </c>
    </row>
    <row r="659" spans="1:52" hidden="1" x14ac:dyDescent="0.25">
      <c r="A659" t="s">
        <v>5189</v>
      </c>
      <c r="B659" t="s">
        <v>5180</v>
      </c>
      <c r="C659" t="s">
        <v>5159</v>
      </c>
      <c r="D659" t="s">
        <v>2544</v>
      </c>
      <c r="E659" t="s">
        <v>5190</v>
      </c>
      <c r="F659" t="s">
        <v>5182</v>
      </c>
      <c r="G659" t="s">
        <v>5182</v>
      </c>
      <c r="J659" t="s">
        <v>80</v>
      </c>
      <c r="K659" t="s">
        <v>110</v>
      </c>
      <c r="L659" t="s">
        <v>111</v>
      </c>
      <c r="M659" t="s">
        <v>5183</v>
      </c>
      <c r="P659" t="s">
        <v>154</v>
      </c>
      <c r="Q659" t="s">
        <v>155</v>
      </c>
      <c r="R659" t="s">
        <v>156</v>
      </c>
      <c r="S659" t="s">
        <v>157</v>
      </c>
      <c r="T659" t="s">
        <v>273</v>
      </c>
      <c r="U659" t="s">
        <v>274</v>
      </c>
      <c r="V659" t="s">
        <v>246</v>
      </c>
      <c r="W659" t="s">
        <v>347</v>
      </c>
      <c r="X659" t="s">
        <v>5143</v>
      </c>
      <c r="Y659" t="s">
        <v>93</v>
      </c>
      <c r="Z659" t="s">
        <v>119</v>
      </c>
      <c r="AA659" t="s">
        <v>5184</v>
      </c>
      <c r="AB659" t="s">
        <v>249</v>
      </c>
      <c r="AC659" t="s">
        <v>5185</v>
      </c>
      <c r="AD659" t="s">
        <v>119</v>
      </c>
      <c r="AE659" t="s">
        <v>5184</v>
      </c>
      <c r="AF659" t="s">
        <v>249</v>
      </c>
      <c r="AG659" t="s">
        <v>5185</v>
      </c>
      <c r="AI659" t="s">
        <v>1767</v>
      </c>
      <c r="AJ659" t="s">
        <v>119</v>
      </c>
      <c r="AK659" t="s">
        <v>99</v>
      </c>
      <c r="AL659" t="s">
        <v>5191</v>
      </c>
      <c r="AM659" t="s">
        <v>5187</v>
      </c>
      <c r="AN659" t="s">
        <v>2578</v>
      </c>
      <c r="AR659" t="s">
        <v>125</v>
      </c>
      <c r="AT659" t="s">
        <v>5192</v>
      </c>
      <c r="AV659" t="s">
        <v>128</v>
      </c>
      <c r="AZ659" t="s">
        <v>80</v>
      </c>
    </row>
    <row r="660" spans="1:52" hidden="1" x14ac:dyDescent="0.25">
      <c r="A660" t="s">
        <v>2311</v>
      </c>
      <c r="B660" t="s">
        <v>2312</v>
      </c>
      <c r="C660" t="s">
        <v>2313</v>
      </c>
      <c r="D660" t="s">
        <v>78</v>
      </c>
      <c r="E660" t="s">
        <v>2314</v>
      </c>
      <c r="F660" t="s">
        <v>2315</v>
      </c>
      <c r="G660" t="s">
        <v>2315</v>
      </c>
      <c r="H660" t="s">
        <v>2316</v>
      </c>
      <c r="J660" t="s">
        <v>80</v>
      </c>
      <c r="K660" t="s">
        <v>81</v>
      </c>
      <c r="L660" t="s">
        <v>111</v>
      </c>
      <c r="M660" t="s">
        <v>2317</v>
      </c>
      <c r="O660" t="s">
        <v>2162</v>
      </c>
      <c r="P660" t="s">
        <v>154</v>
      </c>
      <c r="Q660" t="s">
        <v>155</v>
      </c>
      <c r="R660" t="s">
        <v>156</v>
      </c>
      <c r="S660" t="s">
        <v>157</v>
      </c>
      <c r="T660" t="s">
        <v>2318</v>
      </c>
      <c r="U660" t="s">
        <v>2241</v>
      </c>
      <c r="V660" t="s">
        <v>2242</v>
      </c>
      <c r="W660" t="s">
        <v>797</v>
      </c>
      <c r="X660" t="s">
        <v>2319</v>
      </c>
      <c r="Y660" t="s">
        <v>93</v>
      </c>
      <c r="Z660" t="s">
        <v>119</v>
      </c>
      <c r="AA660" t="s">
        <v>2320</v>
      </c>
      <c r="AB660" t="s">
        <v>249</v>
      </c>
      <c r="AC660" t="s">
        <v>1593</v>
      </c>
      <c r="AD660" t="s">
        <v>119</v>
      </c>
      <c r="AE660" t="s">
        <v>2320</v>
      </c>
      <c r="AF660" t="s">
        <v>249</v>
      </c>
      <c r="AG660" t="s">
        <v>1593</v>
      </c>
      <c r="AI660" t="s">
        <v>2321</v>
      </c>
      <c r="AJ660" t="s">
        <v>119</v>
      </c>
      <c r="AK660" t="s">
        <v>99</v>
      </c>
      <c r="AL660" t="s">
        <v>2322</v>
      </c>
      <c r="AM660" t="s">
        <v>2323</v>
      </c>
      <c r="AQ660" t="s">
        <v>2324</v>
      </c>
      <c r="AR660" t="s">
        <v>125</v>
      </c>
      <c r="AT660" t="s">
        <v>2325</v>
      </c>
      <c r="AU660" t="s">
        <v>2173</v>
      </c>
      <c r="AV660" t="s">
        <v>128</v>
      </c>
      <c r="AZ660" t="s">
        <v>80</v>
      </c>
    </row>
    <row r="661" spans="1:52" hidden="1" x14ac:dyDescent="0.25">
      <c r="A661" t="s">
        <v>5147</v>
      </c>
      <c r="B661" t="s">
        <v>5148</v>
      </c>
      <c r="C661" t="s">
        <v>5125</v>
      </c>
      <c r="D661" t="s">
        <v>2544</v>
      </c>
      <c r="E661" t="s">
        <v>5149</v>
      </c>
      <c r="F661" t="s">
        <v>5150</v>
      </c>
      <c r="G661" t="s">
        <v>5150</v>
      </c>
      <c r="J661" t="s">
        <v>80</v>
      </c>
      <c r="K661" t="s">
        <v>110</v>
      </c>
      <c r="L661" t="s">
        <v>111</v>
      </c>
      <c r="M661" t="s">
        <v>5151</v>
      </c>
      <c r="P661" t="s">
        <v>154</v>
      </c>
      <c r="Q661" t="s">
        <v>155</v>
      </c>
      <c r="R661" t="s">
        <v>156</v>
      </c>
      <c r="S661" t="s">
        <v>157</v>
      </c>
      <c r="T661" t="s">
        <v>273</v>
      </c>
      <c r="U661" t="s">
        <v>5152</v>
      </c>
      <c r="V661" t="s">
        <v>652</v>
      </c>
      <c r="W661" t="s">
        <v>247</v>
      </c>
      <c r="X661" t="s">
        <v>275</v>
      </c>
      <c r="Y661" t="s">
        <v>93</v>
      </c>
      <c r="Z661" t="s">
        <v>119</v>
      </c>
      <c r="AA661" t="s">
        <v>5153</v>
      </c>
      <c r="AB661" t="s">
        <v>249</v>
      </c>
      <c r="AC661" t="s">
        <v>5154</v>
      </c>
      <c r="AD661" t="s">
        <v>119</v>
      </c>
      <c r="AE661" t="s">
        <v>5153</v>
      </c>
      <c r="AF661" t="s">
        <v>249</v>
      </c>
      <c r="AG661" t="s">
        <v>5154</v>
      </c>
      <c r="AI661" t="s">
        <v>1120</v>
      </c>
      <c r="AJ661" t="s">
        <v>119</v>
      </c>
      <c r="AK661" t="s">
        <v>99</v>
      </c>
      <c r="AL661" t="s">
        <v>5155</v>
      </c>
      <c r="AM661" t="s">
        <v>5156</v>
      </c>
      <c r="AN661" t="s">
        <v>2578</v>
      </c>
      <c r="AR661" t="s">
        <v>125</v>
      </c>
      <c r="AT661" t="s">
        <v>5157</v>
      </c>
      <c r="AV661" t="s">
        <v>128</v>
      </c>
      <c r="AZ661" t="s">
        <v>80</v>
      </c>
    </row>
    <row r="662" spans="1:52" hidden="1" x14ac:dyDescent="0.25">
      <c r="A662" t="s">
        <v>5158</v>
      </c>
      <c r="B662" t="s">
        <v>5148</v>
      </c>
      <c r="C662" t="s">
        <v>5159</v>
      </c>
      <c r="D662" t="s">
        <v>2544</v>
      </c>
      <c r="E662" t="s">
        <v>5160</v>
      </c>
      <c r="F662" t="s">
        <v>5150</v>
      </c>
      <c r="G662" t="s">
        <v>5150</v>
      </c>
      <c r="J662" t="s">
        <v>80</v>
      </c>
      <c r="K662" t="s">
        <v>110</v>
      </c>
      <c r="L662" t="s">
        <v>111</v>
      </c>
      <c r="M662" t="s">
        <v>5151</v>
      </c>
      <c r="P662" t="s">
        <v>154</v>
      </c>
      <c r="Q662" t="s">
        <v>155</v>
      </c>
      <c r="R662" t="s">
        <v>156</v>
      </c>
      <c r="S662" t="s">
        <v>157</v>
      </c>
      <c r="T662" t="s">
        <v>273</v>
      </c>
      <c r="U662" t="s">
        <v>5152</v>
      </c>
      <c r="V662" t="s">
        <v>652</v>
      </c>
      <c r="W662" t="s">
        <v>261</v>
      </c>
      <c r="X662" t="s">
        <v>275</v>
      </c>
      <c r="Y662" t="s">
        <v>93</v>
      </c>
      <c r="Z662" t="s">
        <v>119</v>
      </c>
      <c r="AA662" t="s">
        <v>5153</v>
      </c>
      <c r="AB662" t="s">
        <v>249</v>
      </c>
      <c r="AC662" t="s">
        <v>5154</v>
      </c>
      <c r="AD662" t="s">
        <v>119</v>
      </c>
      <c r="AE662" t="s">
        <v>5153</v>
      </c>
      <c r="AF662" t="s">
        <v>249</v>
      </c>
      <c r="AG662" t="s">
        <v>5154</v>
      </c>
      <c r="AI662" t="s">
        <v>1120</v>
      </c>
      <c r="AJ662" t="s">
        <v>119</v>
      </c>
      <c r="AK662" t="s">
        <v>99</v>
      </c>
      <c r="AL662" t="s">
        <v>5161</v>
      </c>
      <c r="AM662" t="s">
        <v>5156</v>
      </c>
      <c r="AN662" t="s">
        <v>2578</v>
      </c>
      <c r="AR662" t="s">
        <v>125</v>
      </c>
      <c r="AT662" t="s">
        <v>5162</v>
      </c>
      <c r="AV662" t="s">
        <v>128</v>
      </c>
      <c r="AZ662" t="s">
        <v>80</v>
      </c>
    </row>
    <row r="663" spans="1:52" hidden="1" x14ac:dyDescent="0.25">
      <c r="A663" t="s">
        <v>5130</v>
      </c>
      <c r="B663" t="s">
        <v>5131</v>
      </c>
      <c r="C663" t="s">
        <v>5125</v>
      </c>
      <c r="D663" t="s">
        <v>2544</v>
      </c>
      <c r="E663" t="s">
        <v>5132</v>
      </c>
      <c r="F663" t="s">
        <v>5133</v>
      </c>
      <c r="G663" t="s">
        <v>5133</v>
      </c>
      <c r="J663" t="s">
        <v>80</v>
      </c>
      <c r="K663" t="s">
        <v>110</v>
      </c>
      <c r="L663" t="s">
        <v>111</v>
      </c>
      <c r="M663" t="s">
        <v>5134</v>
      </c>
      <c r="P663" t="s">
        <v>154</v>
      </c>
      <c r="Q663" t="s">
        <v>3469</v>
      </c>
      <c r="R663" t="s">
        <v>2488</v>
      </c>
      <c r="S663" t="s">
        <v>1016</v>
      </c>
      <c r="T663" t="s">
        <v>273</v>
      </c>
      <c r="U663" t="s">
        <v>1397</v>
      </c>
      <c r="V663" t="s">
        <v>3046</v>
      </c>
      <c r="W663" t="s">
        <v>359</v>
      </c>
      <c r="X663" t="s">
        <v>5135</v>
      </c>
      <c r="Y663" t="s">
        <v>93</v>
      </c>
      <c r="Z663" t="s">
        <v>119</v>
      </c>
      <c r="AA663" t="s">
        <v>4593</v>
      </c>
      <c r="AB663" t="s">
        <v>249</v>
      </c>
      <c r="AC663" t="s">
        <v>5136</v>
      </c>
      <c r="AD663" t="s">
        <v>119</v>
      </c>
      <c r="AE663" t="s">
        <v>4593</v>
      </c>
      <c r="AF663" t="s">
        <v>249</v>
      </c>
      <c r="AG663" t="s">
        <v>5136</v>
      </c>
      <c r="AI663" t="s">
        <v>5137</v>
      </c>
      <c r="AJ663" t="s">
        <v>119</v>
      </c>
      <c r="AK663" t="s">
        <v>99</v>
      </c>
      <c r="AL663" t="s">
        <v>5138</v>
      </c>
      <c r="AM663" t="s">
        <v>5139</v>
      </c>
      <c r="AN663" t="s">
        <v>2578</v>
      </c>
      <c r="AR663" t="s">
        <v>125</v>
      </c>
      <c r="AT663" t="s">
        <v>5140</v>
      </c>
      <c r="AV663" t="s">
        <v>128</v>
      </c>
      <c r="AZ663" t="s">
        <v>80</v>
      </c>
    </row>
    <row r="664" spans="1:52" hidden="1" x14ac:dyDescent="0.25">
      <c r="A664" t="s">
        <v>5141</v>
      </c>
      <c r="B664" t="s">
        <v>5131</v>
      </c>
      <c r="C664" t="s">
        <v>5125</v>
      </c>
      <c r="D664" t="s">
        <v>2544</v>
      </c>
      <c r="E664" t="s">
        <v>5142</v>
      </c>
      <c r="F664" t="s">
        <v>5133</v>
      </c>
      <c r="G664" t="s">
        <v>5133</v>
      </c>
      <c r="J664" t="s">
        <v>80</v>
      </c>
      <c r="K664" t="s">
        <v>110</v>
      </c>
      <c r="L664" t="s">
        <v>111</v>
      </c>
      <c r="M664" t="s">
        <v>5134</v>
      </c>
      <c r="P664" t="s">
        <v>154</v>
      </c>
      <c r="Q664" t="s">
        <v>3469</v>
      </c>
      <c r="R664" t="s">
        <v>2488</v>
      </c>
      <c r="S664" t="s">
        <v>1016</v>
      </c>
      <c r="T664" t="s">
        <v>273</v>
      </c>
      <c r="U664" t="s">
        <v>1397</v>
      </c>
      <c r="V664" t="s">
        <v>3046</v>
      </c>
      <c r="W664" t="s">
        <v>347</v>
      </c>
      <c r="X664" t="s">
        <v>5143</v>
      </c>
      <c r="Y664" t="s">
        <v>93</v>
      </c>
      <c r="Z664" t="s">
        <v>119</v>
      </c>
      <c r="AA664" t="s">
        <v>4593</v>
      </c>
      <c r="AB664" t="s">
        <v>249</v>
      </c>
      <c r="AC664" t="s">
        <v>5136</v>
      </c>
      <c r="AD664" t="s">
        <v>119</v>
      </c>
      <c r="AE664" t="s">
        <v>4593</v>
      </c>
      <c r="AF664" t="s">
        <v>249</v>
      </c>
      <c r="AG664" t="s">
        <v>5136</v>
      </c>
      <c r="AI664" t="s">
        <v>5137</v>
      </c>
      <c r="AJ664" t="s">
        <v>119</v>
      </c>
      <c r="AK664" t="s">
        <v>99</v>
      </c>
      <c r="AL664" t="s">
        <v>5144</v>
      </c>
      <c r="AM664" t="s">
        <v>5145</v>
      </c>
      <c r="AN664" t="s">
        <v>2578</v>
      </c>
      <c r="AR664" t="s">
        <v>125</v>
      </c>
      <c r="AT664" t="s">
        <v>5146</v>
      </c>
      <c r="AV664" t="s">
        <v>128</v>
      </c>
      <c r="AZ664" t="s">
        <v>80</v>
      </c>
    </row>
    <row r="665" spans="1:52" hidden="1" x14ac:dyDescent="0.25">
      <c r="A665" t="s">
        <v>7008</v>
      </c>
      <c r="B665" t="s">
        <v>7009</v>
      </c>
      <c r="C665" t="s">
        <v>7010</v>
      </c>
      <c r="D665" t="s">
        <v>2544</v>
      </c>
      <c r="E665" t="s">
        <v>7011</v>
      </c>
      <c r="F665" t="s">
        <v>7012</v>
      </c>
      <c r="G665" t="s">
        <v>7012</v>
      </c>
      <c r="J665" t="s">
        <v>80</v>
      </c>
      <c r="K665" t="s">
        <v>110</v>
      </c>
      <c r="L665" t="s">
        <v>111</v>
      </c>
      <c r="M665" t="s">
        <v>7013</v>
      </c>
      <c r="O665" t="s">
        <v>2162</v>
      </c>
      <c r="P665" t="s">
        <v>154</v>
      </c>
      <c r="Q665" t="s">
        <v>155</v>
      </c>
      <c r="R665" t="s">
        <v>156</v>
      </c>
      <c r="S665" t="s">
        <v>157</v>
      </c>
      <c r="T665" t="s">
        <v>2318</v>
      </c>
      <c r="U665" t="s">
        <v>2361</v>
      </c>
      <c r="V665" t="s">
        <v>7014</v>
      </c>
      <c r="W665" t="s">
        <v>161</v>
      </c>
      <c r="X665" t="s">
        <v>7015</v>
      </c>
      <c r="Y665" t="s">
        <v>93</v>
      </c>
      <c r="Z665" t="s">
        <v>119</v>
      </c>
      <c r="AA665" t="s">
        <v>741</v>
      </c>
      <c r="AB665" t="s">
        <v>249</v>
      </c>
      <c r="AC665" t="s">
        <v>7016</v>
      </c>
      <c r="AD665" t="s">
        <v>119</v>
      </c>
      <c r="AE665" t="s">
        <v>741</v>
      </c>
      <c r="AF665" t="s">
        <v>249</v>
      </c>
      <c r="AG665" t="s">
        <v>7016</v>
      </c>
      <c r="AI665" t="s">
        <v>7017</v>
      </c>
      <c r="AJ665" t="s">
        <v>119</v>
      </c>
      <c r="AK665" t="s">
        <v>99</v>
      </c>
      <c r="AL665" t="s">
        <v>7018</v>
      </c>
      <c r="AM665" t="s">
        <v>7019</v>
      </c>
      <c r="AN665" t="s">
        <v>2555</v>
      </c>
      <c r="AR665" t="s">
        <v>125</v>
      </c>
      <c r="AT665" t="s">
        <v>7020</v>
      </c>
      <c r="AV665" t="s">
        <v>128</v>
      </c>
      <c r="AZ665" t="s">
        <v>80</v>
      </c>
    </row>
    <row r="666" spans="1:52" hidden="1" x14ac:dyDescent="0.25">
      <c r="A666" t="s">
        <v>7080</v>
      </c>
      <c r="B666" t="s">
        <v>7081</v>
      </c>
      <c r="C666" t="s">
        <v>7082</v>
      </c>
      <c r="D666" t="s">
        <v>2544</v>
      </c>
      <c r="E666" t="s">
        <v>7083</v>
      </c>
      <c r="F666" t="s">
        <v>7084</v>
      </c>
      <c r="G666" t="s">
        <v>7084</v>
      </c>
      <c r="J666" t="s">
        <v>80</v>
      </c>
      <c r="K666" t="s">
        <v>110</v>
      </c>
      <c r="L666" t="s">
        <v>111</v>
      </c>
      <c r="M666" t="s">
        <v>7085</v>
      </c>
      <c r="P666" t="s">
        <v>134</v>
      </c>
      <c r="Q666" t="s">
        <v>1744</v>
      </c>
      <c r="R666" t="s">
        <v>1550</v>
      </c>
      <c r="S666" t="s">
        <v>774</v>
      </c>
      <c r="T666" t="s">
        <v>113</v>
      </c>
      <c r="U666" t="s">
        <v>4570</v>
      </c>
      <c r="V666" t="s">
        <v>1484</v>
      </c>
      <c r="W666" t="s">
        <v>161</v>
      </c>
      <c r="X666" t="s">
        <v>7086</v>
      </c>
      <c r="Y666" t="s">
        <v>93</v>
      </c>
      <c r="Z666" t="s">
        <v>94</v>
      </c>
      <c r="AA666" t="s">
        <v>568</v>
      </c>
      <c r="AB666" t="s">
        <v>119</v>
      </c>
      <c r="AC666" t="s">
        <v>7087</v>
      </c>
      <c r="AD666" t="s">
        <v>94</v>
      </c>
      <c r="AE666" t="s">
        <v>568</v>
      </c>
      <c r="AF666" t="s">
        <v>119</v>
      </c>
      <c r="AG666" t="s">
        <v>7087</v>
      </c>
      <c r="AI666" t="s">
        <v>5778</v>
      </c>
      <c r="AJ666" t="s">
        <v>94</v>
      </c>
      <c r="AK666" t="s">
        <v>99</v>
      </c>
      <c r="AL666" t="s">
        <v>7088</v>
      </c>
      <c r="AM666" t="s">
        <v>7089</v>
      </c>
      <c r="AN666" t="s">
        <v>2555</v>
      </c>
      <c r="AR666" t="s">
        <v>125</v>
      </c>
      <c r="AT666" t="s">
        <v>5539</v>
      </c>
      <c r="AV666" t="s">
        <v>128</v>
      </c>
      <c r="AZ666" t="s">
        <v>80</v>
      </c>
    </row>
    <row r="667" spans="1:52" hidden="1" x14ac:dyDescent="0.25">
      <c r="A667" t="s">
        <v>7090</v>
      </c>
      <c r="B667" t="s">
        <v>7091</v>
      </c>
      <c r="C667" t="s">
        <v>7082</v>
      </c>
      <c r="D667" t="s">
        <v>2544</v>
      </c>
      <c r="E667" t="s">
        <v>7092</v>
      </c>
      <c r="F667" t="s">
        <v>7093</v>
      </c>
      <c r="G667" t="s">
        <v>7093</v>
      </c>
      <c r="J667" t="s">
        <v>80</v>
      </c>
      <c r="K667" t="s">
        <v>110</v>
      </c>
      <c r="L667" t="s">
        <v>111</v>
      </c>
      <c r="M667" t="s">
        <v>7094</v>
      </c>
      <c r="P667" t="s">
        <v>134</v>
      </c>
      <c r="Q667" t="s">
        <v>2687</v>
      </c>
      <c r="R667" t="s">
        <v>1441</v>
      </c>
      <c r="S667" t="s">
        <v>748</v>
      </c>
      <c r="T667" t="s">
        <v>113</v>
      </c>
      <c r="U667" t="s">
        <v>4570</v>
      </c>
      <c r="V667" t="s">
        <v>1484</v>
      </c>
      <c r="W667" t="s">
        <v>797</v>
      </c>
      <c r="X667" t="s">
        <v>7095</v>
      </c>
      <c r="Y667" t="s">
        <v>93</v>
      </c>
      <c r="Z667" t="s">
        <v>94</v>
      </c>
      <c r="AA667" t="s">
        <v>7096</v>
      </c>
      <c r="AB667" t="s">
        <v>119</v>
      </c>
      <c r="AC667" t="s">
        <v>3922</v>
      </c>
      <c r="AD667" t="s">
        <v>94</v>
      </c>
      <c r="AE667" t="s">
        <v>7096</v>
      </c>
      <c r="AF667" t="s">
        <v>119</v>
      </c>
      <c r="AG667" t="s">
        <v>3922</v>
      </c>
      <c r="AI667" t="s">
        <v>7097</v>
      </c>
      <c r="AJ667" t="s">
        <v>94</v>
      </c>
      <c r="AK667" t="s">
        <v>99</v>
      </c>
      <c r="AL667" t="s">
        <v>7098</v>
      </c>
      <c r="AM667" t="s">
        <v>7089</v>
      </c>
      <c r="AN667" t="s">
        <v>2555</v>
      </c>
      <c r="AR667" t="s">
        <v>125</v>
      </c>
      <c r="AT667" t="s">
        <v>7099</v>
      </c>
      <c r="AV667" t="s">
        <v>128</v>
      </c>
      <c r="AZ667" t="s">
        <v>80</v>
      </c>
    </row>
    <row r="668" spans="1:52" hidden="1" x14ac:dyDescent="0.25">
      <c r="A668" t="s">
        <v>7100</v>
      </c>
      <c r="B668" t="s">
        <v>7101</v>
      </c>
      <c r="C668" t="s">
        <v>7102</v>
      </c>
      <c r="D668" t="s">
        <v>2544</v>
      </c>
      <c r="E668" t="s">
        <v>7103</v>
      </c>
      <c r="F668" t="s">
        <v>7104</v>
      </c>
      <c r="G668" t="s">
        <v>7104</v>
      </c>
      <c r="J668" t="s">
        <v>80</v>
      </c>
      <c r="K668" t="s">
        <v>110</v>
      </c>
      <c r="L668" t="s">
        <v>111</v>
      </c>
      <c r="M668" t="s">
        <v>7105</v>
      </c>
      <c r="P668" t="s">
        <v>134</v>
      </c>
      <c r="Q668" t="s">
        <v>2687</v>
      </c>
      <c r="R668" t="s">
        <v>1441</v>
      </c>
      <c r="S668" t="s">
        <v>748</v>
      </c>
      <c r="T668" t="s">
        <v>113</v>
      </c>
      <c r="U668" t="s">
        <v>853</v>
      </c>
      <c r="V668" t="s">
        <v>373</v>
      </c>
      <c r="W668" t="s">
        <v>797</v>
      </c>
      <c r="X668" t="s">
        <v>7095</v>
      </c>
      <c r="Y668" t="s">
        <v>93</v>
      </c>
      <c r="Z668" t="s">
        <v>94</v>
      </c>
      <c r="AA668" t="s">
        <v>6658</v>
      </c>
      <c r="AB668" t="s">
        <v>119</v>
      </c>
      <c r="AC668" t="s">
        <v>5482</v>
      </c>
      <c r="AD668" t="s">
        <v>94</v>
      </c>
      <c r="AE668" t="s">
        <v>6658</v>
      </c>
      <c r="AF668" t="s">
        <v>119</v>
      </c>
      <c r="AG668" t="s">
        <v>5482</v>
      </c>
      <c r="AI668" t="s">
        <v>7106</v>
      </c>
      <c r="AJ668" t="s">
        <v>94</v>
      </c>
      <c r="AK668" t="s">
        <v>99</v>
      </c>
      <c r="AL668" t="s">
        <v>7107</v>
      </c>
      <c r="AM668" t="s">
        <v>7108</v>
      </c>
      <c r="AN668" t="s">
        <v>2555</v>
      </c>
      <c r="AR668" t="s">
        <v>125</v>
      </c>
      <c r="AT668" t="s">
        <v>7109</v>
      </c>
      <c r="AV668" t="s">
        <v>128</v>
      </c>
      <c r="AZ668" t="s">
        <v>80</v>
      </c>
    </row>
    <row r="669" spans="1:52" hidden="1" x14ac:dyDescent="0.25">
      <c r="A669" t="s">
        <v>7110</v>
      </c>
      <c r="B669" t="s">
        <v>7111</v>
      </c>
      <c r="C669" t="s">
        <v>7102</v>
      </c>
      <c r="D669" t="s">
        <v>2544</v>
      </c>
      <c r="E669" t="s">
        <v>7112</v>
      </c>
      <c r="F669" t="s">
        <v>7113</v>
      </c>
      <c r="G669" t="s">
        <v>7113</v>
      </c>
      <c r="J669" t="s">
        <v>80</v>
      </c>
      <c r="K669" t="s">
        <v>110</v>
      </c>
      <c r="L669" t="s">
        <v>111</v>
      </c>
      <c r="M669" t="s">
        <v>7114</v>
      </c>
      <c r="P669" t="s">
        <v>134</v>
      </c>
      <c r="Q669" t="s">
        <v>2687</v>
      </c>
      <c r="R669" t="s">
        <v>1441</v>
      </c>
      <c r="S669" t="s">
        <v>748</v>
      </c>
      <c r="T669" t="s">
        <v>113</v>
      </c>
      <c r="U669" t="s">
        <v>3485</v>
      </c>
      <c r="V669" t="s">
        <v>7115</v>
      </c>
      <c r="W669" t="s">
        <v>797</v>
      </c>
      <c r="X669" t="s">
        <v>7095</v>
      </c>
      <c r="Y669" t="s">
        <v>93</v>
      </c>
      <c r="Z669" t="s">
        <v>94</v>
      </c>
      <c r="AA669" t="s">
        <v>7116</v>
      </c>
      <c r="AB669" t="s">
        <v>119</v>
      </c>
      <c r="AC669" t="s">
        <v>7117</v>
      </c>
      <c r="AD669" t="s">
        <v>94</v>
      </c>
      <c r="AE669" t="s">
        <v>7116</v>
      </c>
      <c r="AF669" t="s">
        <v>119</v>
      </c>
      <c r="AG669" t="s">
        <v>7117</v>
      </c>
      <c r="AI669" t="s">
        <v>7118</v>
      </c>
      <c r="AJ669" t="s">
        <v>94</v>
      </c>
      <c r="AK669" t="s">
        <v>99</v>
      </c>
      <c r="AL669" t="s">
        <v>7119</v>
      </c>
      <c r="AM669" t="s">
        <v>7108</v>
      </c>
      <c r="AN669" t="s">
        <v>2555</v>
      </c>
      <c r="AR669" t="s">
        <v>125</v>
      </c>
      <c r="AT669" t="s">
        <v>7120</v>
      </c>
      <c r="AV669" t="s">
        <v>128</v>
      </c>
      <c r="AZ669" t="s">
        <v>80</v>
      </c>
    </row>
    <row r="670" spans="1:52" hidden="1" x14ac:dyDescent="0.25">
      <c r="A670" t="s">
        <v>7121</v>
      </c>
      <c r="B670" t="s">
        <v>7122</v>
      </c>
      <c r="C670" t="s">
        <v>7102</v>
      </c>
      <c r="D670" t="s">
        <v>2544</v>
      </c>
      <c r="E670" t="s">
        <v>7123</v>
      </c>
      <c r="F670" t="s">
        <v>7124</v>
      </c>
      <c r="G670" t="s">
        <v>7124</v>
      </c>
      <c r="J670" t="s">
        <v>80</v>
      </c>
      <c r="K670" t="s">
        <v>110</v>
      </c>
      <c r="L670" t="s">
        <v>111</v>
      </c>
      <c r="M670" t="s">
        <v>7125</v>
      </c>
      <c r="P670" t="s">
        <v>134</v>
      </c>
      <c r="Q670" t="s">
        <v>2687</v>
      </c>
      <c r="R670" t="s">
        <v>1441</v>
      </c>
      <c r="S670" t="s">
        <v>748</v>
      </c>
      <c r="T670" t="s">
        <v>113</v>
      </c>
      <c r="U670" t="s">
        <v>1655</v>
      </c>
      <c r="V670" t="s">
        <v>6902</v>
      </c>
      <c r="W670" t="s">
        <v>161</v>
      </c>
      <c r="X670" t="s">
        <v>7086</v>
      </c>
      <c r="Y670" t="s">
        <v>93</v>
      </c>
      <c r="Z670" t="s">
        <v>94</v>
      </c>
      <c r="AA670" t="s">
        <v>7126</v>
      </c>
      <c r="AB670" t="s">
        <v>119</v>
      </c>
      <c r="AC670" t="s">
        <v>7127</v>
      </c>
      <c r="AD670" t="s">
        <v>94</v>
      </c>
      <c r="AE670" t="s">
        <v>7126</v>
      </c>
      <c r="AF670" t="s">
        <v>119</v>
      </c>
      <c r="AG670" t="s">
        <v>7127</v>
      </c>
      <c r="AI670" t="s">
        <v>3974</v>
      </c>
      <c r="AJ670" t="s">
        <v>94</v>
      </c>
      <c r="AK670" t="s">
        <v>99</v>
      </c>
      <c r="AL670" t="s">
        <v>7128</v>
      </c>
      <c r="AM670" t="s">
        <v>7129</v>
      </c>
      <c r="AN670" t="s">
        <v>2555</v>
      </c>
      <c r="AR670" t="s">
        <v>125</v>
      </c>
      <c r="AT670" t="s">
        <v>7130</v>
      </c>
      <c r="AV670" t="s">
        <v>128</v>
      </c>
      <c r="AZ670" t="s">
        <v>80</v>
      </c>
    </row>
    <row r="671" spans="1:52" hidden="1" x14ac:dyDescent="0.25">
      <c r="A671" t="s">
        <v>7131</v>
      </c>
      <c r="B671" t="s">
        <v>7132</v>
      </c>
      <c r="C671" t="s">
        <v>7102</v>
      </c>
      <c r="D671" t="s">
        <v>2544</v>
      </c>
      <c r="E671" t="s">
        <v>7133</v>
      </c>
      <c r="F671" t="s">
        <v>7134</v>
      </c>
      <c r="G671" t="s">
        <v>7134</v>
      </c>
      <c r="J671" t="s">
        <v>80</v>
      </c>
      <c r="K671" t="s">
        <v>110</v>
      </c>
      <c r="L671" t="s">
        <v>111</v>
      </c>
      <c r="M671" t="s">
        <v>7135</v>
      </c>
      <c r="P671" t="s">
        <v>134</v>
      </c>
      <c r="Q671" t="s">
        <v>2687</v>
      </c>
      <c r="R671" t="s">
        <v>1441</v>
      </c>
      <c r="S671" t="s">
        <v>748</v>
      </c>
      <c r="T671" t="s">
        <v>113</v>
      </c>
      <c r="U671" t="s">
        <v>2090</v>
      </c>
      <c r="V671" t="s">
        <v>6902</v>
      </c>
      <c r="W671" t="s">
        <v>797</v>
      </c>
      <c r="X671" t="s">
        <v>7095</v>
      </c>
      <c r="Y671" t="s">
        <v>93</v>
      </c>
      <c r="Z671" t="s">
        <v>94</v>
      </c>
      <c r="AA671" t="s">
        <v>7136</v>
      </c>
      <c r="AB671" t="s">
        <v>119</v>
      </c>
      <c r="AC671" t="s">
        <v>6549</v>
      </c>
      <c r="AD671" t="s">
        <v>94</v>
      </c>
      <c r="AE671" t="s">
        <v>7136</v>
      </c>
      <c r="AF671" t="s">
        <v>119</v>
      </c>
      <c r="AG671" t="s">
        <v>6549</v>
      </c>
      <c r="AI671" t="s">
        <v>6854</v>
      </c>
      <c r="AJ671" t="s">
        <v>94</v>
      </c>
      <c r="AK671" t="s">
        <v>99</v>
      </c>
      <c r="AL671" t="s">
        <v>7137</v>
      </c>
      <c r="AM671" t="s">
        <v>7129</v>
      </c>
      <c r="AN671" t="s">
        <v>2555</v>
      </c>
      <c r="AR671" t="s">
        <v>125</v>
      </c>
      <c r="AT671" t="s">
        <v>7138</v>
      </c>
      <c r="AV671" t="s">
        <v>128</v>
      </c>
      <c r="AZ671" t="s">
        <v>80</v>
      </c>
    </row>
    <row r="672" spans="1:52" hidden="1" x14ac:dyDescent="0.25">
      <c r="A672" t="s">
        <v>7139</v>
      </c>
      <c r="B672" t="s">
        <v>7140</v>
      </c>
      <c r="C672" t="s">
        <v>7102</v>
      </c>
      <c r="D672" t="s">
        <v>2544</v>
      </c>
      <c r="E672" t="s">
        <v>7141</v>
      </c>
      <c r="F672" t="s">
        <v>7142</v>
      </c>
      <c r="G672" t="s">
        <v>7142</v>
      </c>
      <c r="J672" t="s">
        <v>80</v>
      </c>
      <c r="K672" t="s">
        <v>110</v>
      </c>
      <c r="L672" t="s">
        <v>111</v>
      </c>
      <c r="M672" t="s">
        <v>7143</v>
      </c>
      <c r="P672" t="s">
        <v>7144</v>
      </c>
      <c r="Q672" t="s">
        <v>85</v>
      </c>
      <c r="R672" t="s">
        <v>86</v>
      </c>
      <c r="S672" t="s">
        <v>87</v>
      </c>
      <c r="T672" t="s">
        <v>113</v>
      </c>
      <c r="U672" t="s">
        <v>4787</v>
      </c>
      <c r="V672" t="s">
        <v>6902</v>
      </c>
      <c r="W672" t="s">
        <v>161</v>
      </c>
      <c r="X672" t="s">
        <v>7086</v>
      </c>
      <c r="Y672" t="s">
        <v>93</v>
      </c>
      <c r="Z672" t="s">
        <v>94</v>
      </c>
      <c r="AA672" t="s">
        <v>908</v>
      </c>
      <c r="AB672" t="s">
        <v>119</v>
      </c>
      <c r="AC672" t="s">
        <v>7145</v>
      </c>
      <c r="AD672" t="s">
        <v>94</v>
      </c>
      <c r="AE672" t="s">
        <v>908</v>
      </c>
      <c r="AF672" t="s">
        <v>119</v>
      </c>
      <c r="AG672" t="s">
        <v>7145</v>
      </c>
      <c r="AI672" t="s">
        <v>4431</v>
      </c>
      <c r="AJ672" t="s">
        <v>94</v>
      </c>
      <c r="AK672" t="s">
        <v>99</v>
      </c>
      <c r="AL672" t="s">
        <v>7146</v>
      </c>
      <c r="AM672" t="s">
        <v>7147</v>
      </c>
      <c r="AN672" t="s">
        <v>2555</v>
      </c>
      <c r="AR672" t="s">
        <v>125</v>
      </c>
      <c r="AT672" t="s">
        <v>7148</v>
      </c>
      <c r="AV672" t="s">
        <v>128</v>
      </c>
      <c r="AZ672" t="s">
        <v>80</v>
      </c>
    </row>
    <row r="673" spans="1:52" hidden="1" x14ac:dyDescent="0.25">
      <c r="A673" t="s">
        <v>7149</v>
      </c>
      <c r="B673" t="s">
        <v>7150</v>
      </c>
      <c r="C673" t="s">
        <v>7102</v>
      </c>
      <c r="D673" t="s">
        <v>2544</v>
      </c>
      <c r="E673" t="s">
        <v>7151</v>
      </c>
      <c r="F673" t="s">
        <v>7152</v>
      </c>
      <c r="G673" t="s">
        <v>7152</v>
      </c>
      <c r="J673" t="s">
        <v>80</v>
      </c>
      <c r="K673" t="s">
        <v>110</v>
      </c>
      <c r="L673" t="s">
        <v>111</v>
      </c>
      <c r="M673" t="s">
        <v>7153</v>
      </c>
      <c r="P673" t="s">
        <v>7144</v>
      </c>
      <c r="Q673" t="s">
        <v>85</v>
      </c>
      <c r="R673" t="s">
        <v>86</v>
      </c>
      <c r="S673" t="s">
        <v>748</v>
      </c>
      <c r="T673" t="s">
        <v>113</v>
      </c>
      <c r="U673" t="s">
        <v>4722</v>
      </c>
      <c r="V673" t="s">
        <v>696</v>
      </c>
      <c r="W673" t="s">
        <v>797</v>
      </c>
      <c r="X673" t="s">
        <v>7095</v>
      </c>
      <c r="Y673" t="s">
        <v>93</v>
      </c>
      <c r="Z673" t="s">
        <v>94</v>
      </c>
      <c r="AA673" t="s">
        <v>2142</v>
      </c>
      <c r="AB673" t="s">
        <v>119</v>
      </c>
      <c r="AC673" t="s">
        <v>3668</v>
      </c>
      <c r="AD673" t="s">
        <v>94</v>
      </c>
      <c r="AE673" t="s">
        <v>2142</v>
      </c>
      <c r="AF673" t="s">
        <v>119</v>
      </c>
      <c r="AG673" t="s">
        <v>3668</v>
      </c>
      <c r="AI673" t="s">
        <v>7154</v>
      </c>
      <c r="AJ673" t="s">
        <v>94</v>
      </c>
      <c r="AK673" t="s">
        <v>99</v>
      </c>
      <c r="AL673" t="s">
        <v>7155</v>
      </c>
      <c r="AM673" t="s">
        <v>7156</v>
      </c>
      <c r="AN673" t="s">
        <v>2555</v>
      </c>
      <c r="AR673" t="s">
        <v>125</v>
      </c>
      <c r="AT673" t="s">
        <v>7157</v>
      </c>
      <c r="AV673" t="s">
        <v>128</v>
      </c>
      <c r="AZ673" t="s">
        <v>80</v>
      </c>
    </row>
    <row r="674" spans="1:52" hidden="1" x14ac:dyDescent="0.25">
      <c r="A674" t="s">
        <v>7158</v>
      </c>
      <c r="B674" t="s">
        <v>7159</v>
      </c>
      <c r="C674" t="s">
        <v>7160</v>
      </c>
      <c r="D674" t="s">
        <v>2544</v>
      </c>
      <c r="E674" t="s">
        <v>7161</v>
      </c>
      <c r="F674" t="s">
        <v>7162</v>
      </c>
      <c r="G674" t="s">
        <v>7162</v>
      </c>
      <c r="J674" t="s">
        <v>80</v>
      </c>
      <c r="K674" t="s">
        <v>110</v>
      </c>
      <c r="L674" t="s">
        <v>111</v>
      </c>
      <c r="M674" t="s">
        <v>7163</v>
      </c>
      <c r="P674" t="s">
        <v>7144</v>
      </c>
      <c r="Q674" t="s">
        <v>85</v>
      </c>
      <c r="R674" t="s">
        <v>86</v>
      </c>
      <c r="S674" t="s">
        <v>87</v>
      </c>
      <c r="T674" t="s">
        <v>113</v>
      </c>
      <c r="U674" t="s">
        <v>2548</v>
      </c>
      <c r="V674" t="s">
        <v>115</v>
      </c>
      <c r="W674" t="s">
        <v>161</v>
      </c>
      <c r="X674" t="s">
        <v>7086</v>
      </c>
      <c r="Y674" t="s">
        <v>93</v>
      </c>
      <c r="Z674" t="s">
        <v>94</v>
      </c>
      <c r="AA674" t="s">
        <v>4338</v>
      </c>
      <c r="AB674" t="s">
        <v>119</v>
      </c>
      <c r="AC674" t="s">
        <v>7164</v>
      </c>
      <c r="AD674" t="s">
        <v>94</v>
      </c>
      <c r="AE674" t="s">
        <v>4338</v>
      </c>
      <c r="AF674" t="s">
        <v>119</v>
      </c>
      <c r="AG674" t="s">
        <v>7164</v>
      </c>
      <c r="AI674" t="s">
        <v>4847</v>
      </c>
      <c r="AJ674" t="s">
        <v>94</v>
      </c>
      <c r="AK674" t="s">
        <v>99</v>
      </c>
      <c r="AL674" t="s">
        <v>7165</v>
      </c>
      <c r="AM674" t="s">
        <v>7166</v>
      </c>
      <c r="AN674" t="s">
        <v>2555</v>
      </c>
      <c r="AR674" t="s">
        <v>125</v>
      </c>
      <c r="AT674" t="s">
        <v>7167</v>
      </c>
      <c r="AV674" t="s">
        <v>128</v>
      </c>
      <c r="AZ674" t="s">
        <v>80</v>
      </c>
    </row>
    <row r="675" spans="1:52" hidden="1" x14ac:dyDescent="0.25">
      <c r="A675" t="s">
        <v>7168</v>
      </c>
      <c r="B675" t="s">
        <v>7169</v>
      </c>
      <c r="C675" t="s">
        <v>7160</v>
      </c>
      <c r="D675" t="s">
        <v>2544</v>
      </c>
      <c r="E675" t="s">
        <v>7170</v>
      </c>
      <c r="F675" t="s">
        <v>7171</v>
      </c>
      <c r="G675" t="s">
        <v>7171</v>
      </c>
      <c r="J675" t="s">
        <v>80</v>
      </c>
      <c r="K675" t="s">
        <v>110</v>
      </c>
      <c r="L675" t="s">
        <v>111</v>
      </c>
      <c r="M675" t="s">
        <v>7172</v>
      </c>
      <c r="P675" t="s">
        <v>134</v>
      </c>
      <c r="Q675" t="s">
        <v>2687</v>
      </c>
      <c r="R675" t="s">
        <v>1441</v>
      </c>
      <c r="S675" t="s">
        <v>748</v>
      </c>
      <c r="T675" t="s">
        <v>113</v>
      </c>
      <c r="U675" t="s">
        <v>7173</v>
      </c>
      <c r="V675" t="s">
        <v>2587</v>
      </c>
      <c r="W675" t="s">
        <v>797</v>
      </c>
      <c r="X675" t="s">
        <v>7095</v>
      </c>
      <c r="Y675" t="s">
        <v>93</v>
      </c>
      <c r="Z675" t="s">
        <v>94</v>
      </c>
      <c r="AA675" t="s">
        <v>7174</v>
      </c>
      <c r="AB675" t="s">
        <v>119</v>
      </c>
      <c r="AC675" t="s">
        <v>7175</v>
      </c>
      <c r="AD675" t="s">
        <v>94</v>
      </c>
      <c r="AE675" t="s">
        <v>7174</v>
      </c>
      <c r="AF675" t="s">
        <v>119</v>
      </c>
      <c r="AG675" t="s">
        <v>7175</v>
      </c>
      <c r="AI675" t="s">
        <v>7176</v>
      </c>
      <c r="AJ675" t="s">
        <v>94</v>
      </c>
      <c r="AK675" t="s">
        <v>99</v>
      </c>
      <c r="AL675" t="s">
        <v>7177</v>
      </c>
      <c r="AM675" t="s">
        <v>7166</v>
      </c>
      <c r="AN675" t="s">
        <v>2555</v>
      </c>
      <c r="AR675" t="s">
        <v>125</v>
      </c>
      <c r="AT675" t="s">
        <v>7178</v>
      </c>
      <c r="AV675" t="s">
        <v>128</v>
      </c>
      <c r="AZ675" t="s">
        <v>80</v>
      </c>
    </row>
    <row r="676" spans="1:52" hidden="1" x14ac:dyDescent="0.25">
      <c r="A676" t="s">
        <v>7179</v>
      </c>
      <c r="B676" t="s">
        <v>7180</v>
      </c>
      <c r="C676" t="s">
        <v>7160</v>
      </c>
      <c r="D676" t="s">
        <v>2544</v>
      </c>
      <c r="E676" t="s">
        <v>7181</v>
      </c>
      <c r="F676" t="s">
        <v>7182</v>
      </c>
      <c r="G676" t="s">
        <v>7182</v>
      </c>
      <c r="J676" t="s">
        <v>80</v>
      </c>
      <c r="K676" t="s">
        <v>110</v>
      </c>
      <c r="L676" t="s">
        <v>111</v>
      </c>
      <c r="M676" t="s">
        <v>7183</v>
      </c>
      <c r="P676" t="s">
        <v>7144</v>
      </c>
      <c r="Q676" t="s">
        <v>85</v>
      </c>
      <c r="R676" t="s">
        <v>86</v>
      </c>
      <c r="S676" t="s">
        <v>87</v>
      </c>
      <c r="T676" t="s">
        <v>113</v>
      </c>
      <c r="U676" t="s">
        <v>2586</v>
      </c>
      <c r="V676" t="s">
        <v>2587</v>
      </c>
      <c r="W676" t="s">
        <v>161</v>
      </c>
      <c r="X676" t="s">
        <v>7086</v>
      </c>
      <c r="Y676" t="s">
        <v>93</v>
      </c>
      <c r="Z676" t="s">
        <v>94</v>
      </c>
      <c r="AA676" t="s">
        <v>7184</v>
      </c>
      <c r="AB676" t="s">
        <v>119</v>
      </c>
      <c r="AC676" t="s">
        <v>7185</v>
      </c>
      <c r="AD676" t="s">
        <v>94</v>
      </c>
      <c r="AE676" t="s">
        <v>7184</v>
      </c>
      <c r="AF676" t="s">
        <v>119</v>
      </c>
      <c r="AG676" t="s">
        <v>7185</v>
      </c>
      <c r="AI676" t="s">
        <v>6240</v>
      </c>
      <c r="AJ676" t="s">
        <v>94</v>
      </c>
      <c r="AK676" t="s">
        <v>99</v>
      </c>
      <c r="AL676" t="s">
        <v>7186</v>
      </c>
      <c r="AM676" t="s">
        <v>7187</v>
      </c>
      <c r="AN676" t="s">
        <v>2555</v>
      </c>
      <c r="AR676" t="s">
        <v>125</v>
      </c>
      <c r="AT676" t="s">
        <v>7188</v>
      </c>
      <c r="AV676" t="s">
        <v>128</v>
      </c>
      <c r="AZ676" t="s">
        <v>80</v>
      </c>
    </row>
    <row r="677" spans="1:52" hidden="1" x14ac:dyDescent="0.25">
      <c r="A677" t="s">
        <v>7189</v>
      </c>
      <c r="B677" t="s">
        <v>7190</v>
      </c>
      <c r="C677" t="s">
        <v>7191</v>
      </c>
      <c r="D677" t="s">
        <v>2544</v>
      </c>
      <c r="E677" t="s">
        <v>7192</v>
      </c>
      <c r="F677" t="s">
        <v>7193</v>
      </c>
      <c r="G677" t="s">
        <v>7193</v>
      </c>
      <c r="J677" t="s">
        <v>80</v>
      </c>
      <c r="K677" t="s">
        <v>110</v>
      </c>
      <c r="L677" t="s">
        <v>111</v>
      </c>
      <c r="M677" t="s">
        <v>7194</v>
      </c>
      <c r="P677" t="s">
        <v>7144</v>
      </c>
      <c r="Q677" t="s">
        <v>85</v>
      </c>
      <c r="R677" t="s">
        <v>86</v>
      </c>
      <c r="S677" t="s">
        <v>87</v>
      </c>
      <c r="T677" t="s">
        <v>113</v>
      </c>
      <c r="U677" t="s">
        <v>2361</v>
      </c>
      <c r="V677" t="s">
        <v>115</v>
      </c>
      <c r="W677" t="s">
        <v>161</v>
      </c>
      <c r="X677" t="s">
        <v>7086</v>
      </c>
      <c r="Y677" t="s">
        <v>93</v>
      </c>
      <c r="Z677" t="s">
        <v>94</v>
      </c>
      <c r="AA677" t="s">
        <v>2415</v>
      </c>
      <c r="AB677" t="s">
        <v>119</v>
      </c>
      <c r="AC677" t="s">
        <v>7195</v>
      </c>
      <c r="AD677" t="s">
        <v>94</v>
      </c>
      <c r="AE677" t="s">
        <v>2415</v>
      </c>
      <c r="AF677" t="s">
        <v>119</v>
      </c>
      <c r="AG677" t="s">
        <v>7195</v>
      </c>
      <c r="AI677" t="s">
        <v>1750</v>
      </c>
      <c r="AJ677" t="s">
        <v>94</v>
      </c>
      <c r="AK677" t="s">
        <v>99</v>
      </c>
      <c r="AL677" t="s">
        <v>7196</v>
      </c>
      <c r="AM677" t="s">
        <v>7187</v>
      </c>
      <c r="AN677" t="s">
        <v>2555</v>
      </c>
      <c r="AR677" t="s">
        <v>125</v>
      </c>
      <c r="AT677" t="s">
        <v>7197</v>
      </c>
      <c r="AV677" t="s">
        <v>128</v>
      </c>
      <c r="AZ677" t="s">
        <v>80</v>
      </c>
    </row>
    <row r="678" spans="1:52" hidden="1" x14ac:dyDescent="0.25">
      <c r="A678" t="s">
        <v>7198</v>
      </c>
      <c r="B678" t="s">
        <v>7199</v>
      </c>
      <c r="C678" t="s">
        <v>7191</v>
      </c>
      <c r="D678" t="s">
        <v>2544</v>
      </c>
      <c r="E678" t="s">
        <v>7200</v>
      </c>
      <c r="F678" t="s">
        <v>7201</v>
      </c>
      <c r="G678" t="s">
        <v>7201</v>
      </c>
      <c r="J678" t="s">
        <v>80</v>
      </c>
      <c r="K678" t="s">
        <v>110</v>
      </c>
      <c r="L678" t="s">
        <v>111</v>
      </c>
      <c r="M678" t="s">
        <v>7202</v>
      </c>
      <c r="P678" t="s">
        <v>134</v>
      </c>
      <c r="Q678" t="s">
        <v>2687</v>
      </c>
      <c r="R678" t="s">
        <v>1441</v>
      </c>
      <c r="S678" t="s">
        <v>748</v>
      </c>
      <c r="T678" t="s">
        <v>113</v>
      </c>
      <c r="U678" t="s">
        <v>7203</v>
      </c>
      <c r="V678" t="s">
        <v>115</v>
      </c>
      <c r="W678" t="s">
        <v>797</v>
      </c>
      <c r="X678" t="s">
        <v>7095</v>
      </c>
      <c r="Y678" t="s">
        <v>93</v>
      </c>
      <c r="Z678" t="s">
        <v>94</v>
      </c>
      <c r="AA678" t="s">
        <v>2677</v>
      </c>
      <c r="AB678" t="s">
        <v>119</v>
      </c>
      <c r="AC678" t="s">
        <v>7204</v>
      </c>
      <c r="AD678" t="s">
        <v>94</v>
      </c>
      <c r="AE678" t="s">
        <v>2677</v>
      </c>
      <c r="AF678" t="s">
        <v>119</v>
      </c>
      <c r="AG678" t="s">
        <v>7204</v>
      </c>
      <c r="AI678" t="s">
        <v>813</v>
      </c>
      <c r="AJ678" t="s">
        <v>94</v>
      </c>
      <c r="AK678" t="s">
        <v>99</v>
      </c>
      <c r="AL678" t="s">
        <v>7205</v>
      </c>
      <c r="AM678" t="s">
        <v>7206</v>
      </c>
      <c r="AN678" t="s">
        <v>2555</v>
      </c>
      <c r="AR678" t="s">
        <v>125</v>
      </c>
      <c r="AT678" t="s">
        <v>7207</v>
      </c>
      <c r="AV678" t="s">
        <v>128</v>
      </c>
      <c r="AZ678" t="s">
        <v>80</v>
      </c>
    </row>
    <row r="679" spans="1:52" hidden="1" x14ac:dyDescent="0.25">
      <c r="A679" t="s">
        <v>7208</v>
      </c>
      <c r="B679" t="s">
        <v>7209</v>
      </c>
      <c r="C679" t="s">
        <v>7210</v>
      </c>
      <c r="D679" t="s">
        <v>2544</v>
      </c>
      <c r="E679" t="s">
        <v>7211</v>
      </c>
      <c r="F679" t="s">
        <v>7212</v>
      </c>
      <c r="G679" t="s">
        <v>7212</v>
      </c>
      <c r="J679" t="s">
        <v>80</v>
      </c>
      <c r="K679" t="s">
        <v>110</v>
      </c>
      <c r="L679" t="s">
        <v>111</v>
      </c>
      <c r="M679" t="s">
        <v>112</v>
      </c>
      <c r="P679" t="s">
        <v>134</v>
      </c>
      <c r="Q679" t="s">
        <v>2687</v>
      </c>
      <c r="R679" t="s">
        <v>1441</v>
      </c>
      <c r="S679" t="s">
        <v>748</v>
      </c>
      <c r="T679" t="s">
        <v>113</v>
      </c>
      <c r="U679" t="s">
        <v>114</v>
      </c>
      <c r="V679" t="s">
        <v>115</v>
      </c>
      <c r="W679" t="s">
        <v>232</v>
      </c>
      <c r="X679" t="s">
        <v>233</v>
      </c>
      <c r="Y679" t="s">
        <v>93</v>
      </c>
      <c r="Z679" t="s">
        <v>94</v>
      </c>
      <c r="AA679" t="s">
        <v>118</v>
      </c>
      <c r="AB679" t="s">
        <v>119</v>
      </c>
      <c r="AC679" t="s">
        <v>120</v>
      </c>
      <c r="AD679" t="s">
        <v>94</v>
      </c>
      <c r="AE679" t="s">
        <v>118</v>
      </c>
      <c r="AF679" t="s">
        <v>119</v>
      </c>
      <c r="AG679" t="s">
        <v>120</v>
      </c>
      <c r="AI679" t="s">
        <v>2989</v>
      </c>
      <c r="AJ679" t="s">
        <v>94</v>
      </c>
      <c r="AK679" t="s">
        <v>99</v>
      </c>
      <c r="AL679" t="s">
        <v>7213</v>
      </c>
      <c r="AM679" t="s">
        <v>7214</v>
      </c>
      <c r="AN679" t="s">
        <v>2555</v>
      </c>
      <c r="AR679" t="s">
        <v>125</v>
      </c>
      <c r="AT679" t="s">
        <v>7215</v>
      </c>
      <c r="AV679" t="s">
        <v>128</v>
      </c>
      <c r="AZ679" t="s">
        <v>80</v>
      </c>
    </row>
    <row r="680" spans="1:52" hidden="1" x14ac:dyDescent="0.25">
      <c r="A680" t="s">
        <v>7216</v>
      </c>
      <c r="B680" t="s">
        <v>7217</v>
      </c>
      <c r="C680" t="s">
        <v>7210</v>
      </c>
      <c r="D680" t="s">
        <v>2544</v>
      </c>
      <c r="E680" t="s">
        <v>7218</v>
      </c>
      <c r="F680" t="s">
        <v>7219</v>
      </c>
      <c r="G680" t="s">
        <v>7219</v>
      </c>
      <c r="J680" t="s">
        <v>80</v>
      </c>
      <c r="K680" t="s">
        <v>110</v>
      </c>
      <c r="L680" t="s">
        <v>111</v>
      </c>
      <c r="M680" t="s">
        <v>7220</v>
      </c>
      <c r="P680" t="s">
        <v>7144</v>
      </c>
      <c r="Q680" t="s">
        <v>85</v>
      </c>
      <c r="R680" t="s">
        <v>86</v>
      </c>
      <c r="S680" t="s">
        <v>87</v>
      </c>
      <c r="T680" t="s">
        <v>113</v>
      </c>
      <c r="U680" t="s">
        <v>2586</v>
      </c>
      <c r="V680" t="s">
        <v>2587</v>
      </c>
      <c r="W680" t="s">
        <v>797</v>
      </c>
      <c r="X680" t="s">
        <v>7095</v>
      </c>
      <c r="Y680" t="s">
        <v>93</v>
      </c>
      <c r="Z680" t="s">
        <v>94</v>
      </c>
      <c r="AA680" t="s">
        <v>1515</v>
      </c>
      <c r="AB680" t="s">
        <v>119</v>
      </c>
      <c r="AC680" t="s">
        <v>4123</v>
      </c>
      <c r="AD680" t="s">
        <v>94</v>
      </c>
      <c r="AE680" t="s">
        <v>1515</v>
      </c>
      <c r="AF680" t="s">
        <v>119</v>
      </c>
      <c r="AG680" t="s">
        <v>4123</v>
      </c>
      <c r="AI680" t="s">
        <v>7221</v>
      </c>
      <c r="AJ680" t="s">
        <v>94</v>
      </c>
      <c r="AK680" t="s">
        <v>99</v>
      </c>
      <c r="AL680" t="s">
        <v>7222</v>
      </c>
      <c r="AM680" t="s">
        <v>7214</v>
      </c>
      <c r="AN680" t="s">
        <v>2555</v>
      </c>
      <c r="AR680" t="s">
        <v>125</v>
      </c>
      <c r="AT680" t="s">
        <v>7223</v>
      </c>
      <c r="AV680" t="s">
        <v>128</v>
      </c>
      <c r="AZ680" t="s">
        <v>80</v>
      </c>
    </row>
    <row r="681" spans="1:52" hidden="1" x14ac:dyDescent="0.25">
      <c r="A681" t="s">
        <v>7224</v>
      </c>
      <c r="B681" t="s">
        <v>7225</v>
      </c>
      <c r="C681" t="s">
        <v>7226</v>
      </c>
      <c r="D681" t="s">
        <v>2544</v>
      </c>
      <c r="E681" t="s">
        <v>7227</v>
      </c>
      <c r="F681" t="s">
        <v>7228</v>
      </c>
      <c r="G681" t="s">
        <v>7228</v>
      </c>
      <c r="J681" t="s">
        <v>80</v>
      </c>
      <c r="K681" t="s">
        <v>110</v>
      </c>
      <c r="L681" t="s">
        <v>111</v>
      </c>
      <c r="M681" t="s">
        <v>7229</v>
      </c>
      <c r="P681" t="s">
        <v>1266</v>
      </c>
      <c r="Q681" t="s">
        <v>85</v>
      </c>
      <c r="R681" t="s">
        <v>86</v>
      </c>
      <c r="S681" t="s">
        <v>87</v>
      </c>
      <c r="T681" t="s">
        <v>1267</v>
      </c>
      <c r="U681" t="s">
        <v>2241</v>
      </c>
      <c r="V681" t="s">
        <v>2587</v>
      </c>
      <c r="W681" t="s">
        <v>161</v>
      </c>
      <c r="X681" t="s">
        <v>7230</v>
      </c>
      <c r="Y681" t="s">
        <v>93</v>
      </c>
      <c r="Z681" t="s">
        <v>119</v>
      </c>
      <c r="AA681" t="s">
        <v>7231</v>
      </c>
      <c r="AB681" t="s">
        <v>94</v>
      </c>
      <c r="AC681" t="s">
        <v>7232</v>
      </c>
      <c r="AD681" t="s">
        <v>119</v>
      </c>
      <c r="AE681" t="s">
        <v>7231</v>
      </c>
      <c r="AF681" t="s">
        <v>94</v>
      </c>
      <c r="AG681" t="s">
        <v>7232</v>
      </c>
      <c r="AI681" t="s">
        <v>7233</v>
      </c>
      <c r="AJ681" t="s">
        <v>119</v>
      </c>
      <c r="AK681" t="s">
        <v>99</v>
      </c>
      <c r="AL681" t="s">
        <v>7234</v>
      </c>
      <c r="AM681" t="s">
        <v>7235</v>
      </c>
      <c r="AN681" t="s">
        <v>2555</v>
      </c>
      <c r="AR681" t="s">
        <v>125</v>
      </c>
      <c r="AT681" t="s">
        <v>7236</v>
      </c>
      <c r="AV681" t="s">
        <v>128</v>
      </c>
      <c r="AZ681" t="s">
        <v>80</v>
      </c>
    </row>
    <row r="682" spans="1:52" hidden="1" x14ac:dyDescent="0.25">
      <c r="A682" t="s">
        <v>7237</v>
      </c>
      <c r="B682" t="s">
        <v>7238</v>
      </c>
      <c r="C682" t="s">
        <v>7226</v>
      </c>
      <c r="D682" t="s">
        <v>2544</v>
      </c>
      <c r="E682" t="s">
        <v>7239</v>
      </c>
      <c r="F682" t="s">
        <v>7240</v>
      </c>
      <c r="G682" t="s">
        <v>7240</v>
      </c>
      <c r="J682" t="s">
        <v>80</v>
      </c>
      <c r="K682" t="s">
        <v>110</v>
      </c>
      <c r="L682" t="s">
        <v>111</v>
      </c>
      <c r="M682" t="s">
        <v>7241</v>
      </c>
      <c r="P682" t="s">
        <v>1266</v>
      </c>
      <c r="Q682" t="s">
        <v>85</v>
      </c>
      <c r="R682" t="s">
        <v>86</v>
      </c>
      <c r="S682" t="s">
        <v>748</v>
      </c>
      <c r="T682" t="s">
        <v>1267</v>
      </c>
      <c r="U682" t="s">
        <v>345</v>
      </c>
      <c r="V682" t="s">
        <v>1484</v>
      </c>
      <c r="W682" t="s">
        <v>797</v>
      </c>
      <c r="X682" t="s">
        <v>5381</v>
      </c>
      <c r="Y682" t="s">
        <v>93</v>
      </c>
      <c r="Z682" t="s">
        <v>119</v>
      </c>
      <c r="AA682" t="s">
        <v>4499</v>
      </c>
      <c r="AB682" t="s">
        <v>94</v>
      </c>
      <c r="AC682" t="s">
        <v>6951</v>
      </c>
      <c r="AD682" t="s">
        <v>119</v>
      </c>
      <c r="AE682" t="s">
        <v>4499</v>
      </c>
      <c r="AF682" t="s">
        <v>94</v>
      </c>
      <c r="AG682" t="s">
        <v>6951</v>
      </c>
      <c r="AI682" t="s">
        <v>7242</v>
      </c>
      <c r="AJ682" t="s">
        <v>119</v>
      </c>
      <c r="AK682" t="s">
        <v>99</v>
      </c>
      <c r="AL682" t="s">
        <v>7243</v>
      </c>
      <c r="AM682" t="s">
        <v>7244</v>
      </c>
      <c r="AN682" t="s">
        <v>2555</v>
      </c>
      <c r="AR682" t="s">
        <v>125</v>
      </c>
      <c r="AT682" t="s">
        <v>7245</v>
      </c>
      <c r="AV682" t="s">
        <v>128</v>
      </c>
      <c r="AZ682" t="s">
        <v>80</v>
      </c>
    </row>
    <row r="683" spans="1:52" hidden="1" x14ac:dyDescent="0.25">
      <c r="A683" t="s">
        <v>7246</v>
      </c>
      <c r="B683" t="s">
        <v>7247</v>
      </c>
      <c r="C683" t="s">
        <v>7248</v>
      </c>
      <c r="D683" t="s">
        <v>2544</v>
      </c>
      <c r="E683" t="s">
        <v>7249</v>
      </c>
      <c r="F683" t="s">
        <v>7250</v>
      </c>
      <c r="G683" t="s">
        <v>7250</v>
      </c>
      <c r="J683" t="s">
        <v>80</v>
      </c>
      <c r="K683" t="s">
        <v>110</v>
      </c>
      <c r="L683" t="s">
        <v>111</v>
      </c>
      <c r="M683" t="s">
        <v>5490</v>
      </c>
      <c r="P683" t="s">
        <v>1266</v>
      </c>
      <c r="Q683" t="s">
        <v>85</v>
      </c>
      <c r="R683" t="s">
        <v>86</v>
      </c>
      <c r="S683" t="s">
        <v>748</v>
      </c>
      <c r="T683" t="s">
        <v>1267</v>
      </c>
      <c r="U683" t="s">
        <v>7251</v>
      </c>
      <c r="V683" t="s">
        <v>115</v>
      </c>
      <c r="W683" t="s">
        <v>797</v>
      </c>
      <c r="X683" t="s">
        <v>5381</v>
      </c>
      <c r="Y683" t="s">
        <v>93</v>
      </c>
      <c r="Z683" t="s">
        <v>119</v>
      </c>
      <c r="AA683" t="s">
        <v>3590</v>
      </c>
      <c r="AB683" t="s">
        <v>94</v>
      </c>
      <c r="AC683" t="s">
        <v>6647</v>
      </c>
      <c r="AD683" t="s">
        <v>119</v>
      </c>
      <c r="AE683" t="s">
        <v>3590</v>
      </c>
      <c r="AF683" t="s">
        <v>94</v>
      </c>
      <c r="AG683" t="s">
        <v>6647</v>
      </c>
      <c r="AI683" t="s">
        <v>7252</v>
      </c>
      <c r="AJ683" t="s">
        <v>119</v>
      </c>
      <c r="AK683" t="s">
        <v>99</v>
      </c>
      <c r="AL683" t="s">
        <v>7253</v>
      </c>
      <c r="AM683" t="s">
        <v>7254</v>
      </c>
      <c r="AN683" t="s">
        <v>2555</v>
      </c>
      <c r="AR683" t="s">
        <v>125</v>
      </c>
      <c r="AT683" t="s">
        <v>7255</v>
      </c>
      <c r="AV683" t="s">
        <v>128</v>
      </c>
      <c r="AZ683" t="s">
        <v>80</v>
      </c>
    </row>
    <row r="684" spans="1:52" hidden="1" x14ac:dyDescent="0.25">
      <c r="A684" t="s">
        <v>7256</v>
      </c>
      <c r="B684" t="s">
        <v>7257</v>
      </c>
      <c r="C684" t="s">
        <v>7258</v>
      </c>
      <c r="D684" t="s">
        <v>2544</v>
      </c>
      <c r="E684" t="s">
        <v>7259</v>
      </c>
      <c r="F684" t="s">
        <v>7260</v>
      </c>
      <c r="G684" t="s">
        <v>7260</v>
      </c>
      <c r="J684" t="s">
        <v>80</v>
      </c>
      <c r="K684" t="s">
        <v>110</v>
      </c>
      <c r="L684" t="s">
        <v>111</v>
      </c>
      <c r="M684" t="s">
        <v>7261</v>
      </c>
      <c r="P684" t="s">
        <v>134</v>
      </c>
      <c r="Q684" t="s">
        <v>2687</v>
      </c>
      <c r="R684" t="s">
        <v>1441</v>
      </c>
      <c r="S684" t="s">
        <v>748</v>
      </c>
      <c r="T684" t="s">
        <v>1267</v>
      </c>
      <c r="U684" t="s">
        <v>4049</v>
      </c>
      <c r="V684" t="s">
        <v>2587</v>
      </c>
      <c r="W684" t="s">
        <v>797</v>
      </c>
      <c r="X684" t="s">
        <v>5381</v>
      </c>
      <c r="Y684" t="s">
        <v>93</v>
      </c>
      <c r="Z684" t="s">
        <v>119</v>
      </c>
      <c r="AA684" t="s">
        <v>7262</v>
      </c>
      <c r="AB684" t="s">
        <v>94</v>
      </c>
      <c r="AC684" t="s">
        <v>1606</v>
      </c>
      <c r="AD684" t="s">
        <v>119</v>
      </c>
      <c r="AE684" t="s">
        <v>7262</v>
      </c>
      <c r="AF684" t="s">
        <v>94</v>
      </c>
      <c r="AG684" t="s">
        <v>1606</v>
      </c>
      <c r="AI684" t="s">
        <v>7263</v>
      </c>
      <c r="AJ684" t="s">
        <v>119</v>
      </c>
      <c r="AK684" t="s">
        <v>99</v>
      </c>
      <c r="AL684" t="s">
        <v>7264</v>
      </c>
      <c r="AM684" t="s">
        <v>7265</v>
      </c>
      <c r="AN684" t="s">
        <v>2555</v>
      </c>
      <c r="AR684" t="s">
        <v>125</v>
      </c>
      <c r="AT684" t="s">
        <v>7266</v>
      </c>
      <c r="AV684" t="s">
        <v>128</v>
      </c>
      <c r="AZ684" t="s">
        <v>80</v>
      </c>
    </row>
    <row r="685" spans="1:52" hidden="1" x14ac:dyDescent="0.25">
      <c r="A685" t="s">
        <v>7267</v>
      </c>
      <c r="B685" t="s">
        <v>7268</v>
      </c>
      <c r="C685" t="s">
        <v>7258</v>
      </c>
      <c r="D685" t="s">
        <v>2544</v>
      </c>
      <c r="E685" t="s">
        <v>7269</v>
      </c>
      <c r="F685" t="s">
        <v>7270</v>
      </c>
      <c r="G685" t="s">
        <v>7270</v>
      </c>
      <c r="J685" t="s">
        <v>80</v>
      </c>
      <c r="K685" t="s">
        <v>110</v>
      </c>
      <c r="L685" t="s">
        <v>111</v>
      </c>
      <c r="M685" t="s">
        <v>7271</v>
      </c>
      <c r="P685" t="s">
        <v>134</v>
      </c>
      <c r="Q685" t="s">
        <v>2687</v>
      </c>
      <c r="R685" t="s">
        <v>1441</v>
      </c>
      <c r="S685" t="s">
        <v>748</v>
      </c>
      <c r="T685" t="s">
        <v>1267</v>
      </c>
      <c r="U685" t="s">
        <v>2586</v>
      </c>
      <c r="V685" t="s">
        <v>2587</v>
      </c>
      <c r="W685" t="s">
        <v>161</v>
      </c>
      <c r="X685" t="s">
        <v>7230</v>
      </c>
      <c r="Y685" t="s">
        <v>93</v>
      </c>
      <c r="Z685" t="s">
        <v>119</v>
      </c>
      <c r="AA685" t="s">
        <v>4315</v>
      </c>
      <c r="AB685" t="s">
        <v>94</v>
      </c>
      <c r="AC685" t="s">
        <v>7272</v>
      </c>
      <c r="AD685" t="s">
        <v>119</v>
      </c>
      <c r="AE685" t="s">
        <v>4315</v>
      </c>
      <c r="AF685" t="s">
        <v>94</v>
      </c>
      <c r="AG685" t="s">
        <v>7272</v>
      </c>
      <c r="AI685" t="s">
        <v>7273</v>
      </c>
      <c r="AJ685" t="s">
        <v>119</v>
      </c>
      <c r="AK685" t="s">
        <v>99</v>
      </c>
      <c r="AL685" t="s">
        <v>7274</v>
      </c>
      <c r="AM685" t="s">
        <v>7265</v>
      </c>
      <c r="AN685" t="s">
        <v>2555</v>
      </c>
      <c r="AR685" t="s">
        <v>125</v>
      </c>
      <c r="AT685" t="s">
        <v>7275</v>
      </c>
      <c r="AV685" t="s">
        <v>128</v>
      </c>
      <c r="AZ685" t="s">
        <v>80</v>
      </c>
    </row>
    <row r="686" spans="1:52" hidden="1" x14ac:dyDescent="0.25">
      <c r="A686" t="s">
        <v>7276</v>
      </c>
      <c r="B686" t="s">
        <v>7277</v>
      </c>
      <c r="C686" t="s">
        <v>7258</v>
      </c>
      <c r="D686" t="s">
        <v>2544</v>
      </c>
      <c r="E686" t="s">
        <v>7278</v>
      </c>
      <c r="F686" t="s">
        <v>7279</v>
      </c>
      <c r="G686" t="s">
        <v>7279</v>
      </c>
      <c r="J686" t="s">
        <v>80</v>
      </c>
      <c r="K686" t="s">
        <v>110</v>
      </c>
      <c r="L686" t="s">
        <v>111</v>
      </c>
      <c r="M686" t="s">
        <v>7280</v>
      </c>
      <c r="P686" t="s">
        <v>134</v>
      </c>
      <c r="Q686" t="s">
        <v>2687</v>
      </c>
      <c r="R686" t="s">
        <v>1441</v>
      </c>
      <c r="S686" t="s">
        <v>748</v>
      </c>
      <c r="T686" t="s">
        <v>1267</v>
      </c>
      <c r="U686" t="s">
        <v>4049</v>
      </c>
      <c r="V686" t="s">
        <v>2587</v>
      </c>
      <c r="W686" t="s">
        <v>797</v>
      </c>
      <c r="X686" t="s">
        <v>5381</v>
      </c>
      <c r="Y686" t="s">
        <v>93</v>
      </c>
      <c r="Z686" t="s">
        <v>119</v>
      </c>
      <c r="AA686" t="s">
        <v>2664</v>
      </c>
      <c r="AB686" t="s">
        <v>94</v>
      </c>
      <c r="AC686" t="s">
        <v>7281</v>
      </c>
      <c r="AD686" t="s">
        <v>119</v>
      </c>
      <c r="AE686" t="s">
        <v>2664</v>
      </c>
      <c r="AF686" t="s">
        <v>94</v>
      </c>
      <c r="AG686" t="s">
        <v>7281</v>
      </c>
      <c r="AI686" t="s">
        <v>5098</v>
      </c>
      <c r="AJ686" t="s">
        <v>119</v>
      </c>
      <c r="AK686" t="s">
        <v>99</v>
      </c>
      <c r="AL686" t="s">
        <v>7282</v>
      </c>
      <c r="AM686" t="s">
        <v>7283</v>
      </c>
      <c r="AN686" t="s">
        <v>2555</v>
      </c>
      <c r="AR686" t="s">
        <v>125</v>
      </c>
      <c r="AT686" t="s">
        <v>7284</v>
      </c>
      <c r="AV686" t="s">
        <v>128</v>
      </c>
      <c r="AZ686" t="s">
        <v>80</v>
      </c>
    </row>
    <row r="687" spans="1:52" hidden="1" x14ac:dyDescent="0.25">
      <c r="A687" t="s">
        <v>7285</v>
      </c>
      <c r="B687" t="s">
        <v>2581</v>
      </c>
      <c r="C687" t="s">
        <v>7258</v>
      </c>
      <c r="D687" t="s">
        <v>2544</v>
      </c>
      <c r="E687" t="s">
        <v>7286</v>
      </c>
      <c r="F687" t="s">
        <v>2584</v>
      </c>
      <c r="G687" t="s">
        <v>2584</v>
      </c>
      <c r="J687" t="s">
        <v>80</v>
      </c>
      <c r="K687" t="s">
        <v>110</v>
      </c>
      <c r="L687" t="s">
        <v>111</v>
      </c>
      <c r="M687" t="s">
        <v>2585</v>
      </c>
      <c r="P687" t="s">
        <v>1266</v>
      </c>
      <c r="Q687" t="s">
        <v>85</v>
      </c>
      <c r="R687" t="s">
        <v>86</v>
      </c>
      <c r="S687" t="s">
        <v>87</v>
      </c>
      <c r="T687" t="s">
        <v>1267</v>
      </c>
      <c r="U687" t="s">
        <v>2586</v>
      </c>
      <c r="V687" t="s">
        <v>2587</v>
      </c>
      <c r="W687" t="s">
        <v>488</v>
      </c>
      <c r="X687" t="s">
        <v>7287</v>
      </c>
      <c r="Y687" t="s">
        <v>93</v>
      </c>
      <c r="Z687" t="s">
        <v>119</v>
      </c>
      <c r="AA687" t="s">
        <v>2588</v>
      </c>
      <c r="AB687" t="s">
        <v>94</v>
      </c>
      <c r="AC687" t="s">
        <v>2589</v>
      </c>
      <c r="AD687" t="s">
        <v>119</v>
      </c>
      <c r="AE687" t="s">
        <v>2588</v>
      </c>
      <c r="AF687" t="s">
        <v>94</v>
      </c>
      <c r="AG687" t="s">
        <v>2589</v>
      </c>
      <c r="AI687" t="s">
        <v>3693</v>
      </c>
      <c r="AJ687" t="s">
        <v>119</v>
      </c>
      <c r="AK687" t="s">
        <v>99</v>
      </c>
      <c r="AL687" t="s">
        <v>7288</v>
      </c>
      <c r="AM687" t="s">
        <v>2592</v>
      </c>
      <c r="AN687" t="s">
        <v>2555</v>
      </c>
      <c r="AR687" t="s">
        <v>125</v>
      </c>
      <c r="AT687" t="s">
        <v>7289</v>
      </c>
      <c r="AV687" t="s">
        <v>128</v>
      </c>
      <c r="AZ687" t="s">
        <v>80</v>
      </c>
    </row>
    <row r="688" spans="1:52" hidden="1" x14ac:dyDescent="0.25">
      <c r="A688" t="s">
        <v>7290</v>
      </c>
      <c r="B688" t="s">
        <v>2542</v>
      </c>
      <c r="C688" t="s">
        <v>7258</v>
      </c>
      <c r="D688" t="s">
        <v>2544</v>
      </c>
      <c r="E688" t="s">
        <v>7291</v>
      </c>
      <c r="F688" t="s">
        <v>2546</v>
      </c>
      <c r="G688" t="s">
        <v>2546</v>
      </c>
      <c r="J688" t="s">
        <v>80</v>
      </c>
      <c r="K688" t="s">
        <v>110</v>
      </c>
      <c r="L688" t="s">
        <v>111</v>
      </c>
      <c r="M688" t="s">
        <v>2547</v>
      </c>
      <c r="P688" t="s">
        <v>1266</v>
      </c>
      <c r="Q688" t="s">
        <v>85</v>
      </c>
      <c r="R688" t="s">
        <v>86</v>
      </c>
      <c r="S688" t="s">
        <v>748</v>
      </c>
      <c r="T688" t="s">
        <v>1267</v>
      </c>
      <c r="U688" t="s">
        <v>2548</v>
      </c>
      <c r="V688" t="s">
        <v>115</v>
      </c>
      <c r="W688" t="s">
        <v>7292</v>
      </c>
      <c r="X688" t="s">
        <v>7293</v>
      </c>
      <c r="Y688" t="s">
        <v>93</v>
      </c>
      <c r="Z688" t="s">
        <v>119</v>
      </c>
      <c r="AA688" t="s">
        <v>2551</v>
      </c>
      <c r="AB688" t="s">
        <v>94</v>
      </c>
      <c r="AC688" t="s">
        <v>1836</v>
      </c>
      <c r="AD688" t="s">
        <v>119</v>
      </c>
      <c r="AE688" t="s">
        <v>2551</v>
      </c>
      <c r="AF688" t="s">
        <v>94</v>
      </c>
      <c r="AG688" t="s">
        <v>1836</v>
      </c>
      <c r="AI688" t="s">
        <v>7294</v>
      </c>
      <c r="AJ688" t="s">
        <v>119</v>
      </c>
      <c r="AK688" t="s">
        <v>99</v>
      </c>
      <c r="AL688" t="s">
        <v>7295</v>
      </c>
      <c r="AM688" t="s">
        <v>2554</v>
      </c>
      <c r="AN688" t="s">
        <v>2555</v>
      </c>
      <c r="AR688" t="s">
        <v>125</v>
      </c>
      <c r="AT688" t="s">
        <v>7296</v>
      </c>
      <c r="AV688" t="s">
        <v>128</v>
      </c>
      <c r="AZ688" t="s">
        <v>80</v>
      </c>
    </row>
    <row r="689" spans="1:52" hidden="1" x14ac:dyDescent="0.25">
      <c r="A689" t="s">
        <v>7297</v>
      </c>
      <c r="B689" t="s">
        <v>7298</v>
      </c>
      <c r="C689" t="s">
        <v>7299</v>
      </c>
      <c r="D689" t="s">
        <v>2544</v>
      </c>
      <c r="E689" t="s">
        <v>7300</v>
      </c>
      <c r="F689" t="s">
        <v>7301</v>
      </c>
      <c r="G689" t="s">
        <v>7301</v>
      </c>
      <c r="J689" t="s">
        <v>80</v>
      </c>
      <c r="K689" t="s">
        <v>110</v>
      </c>
      <c r="L689" t="s">
        <v>111</v>
      </c>
      <c r="M689" t="s">
        <v>7302</v>
      </c>
      <c r="P689" t="s">
        <v>1266</v>
      </c>
      <c r="Q689" t="s">
        <v>85</v>
      </c>
      <c r="R689" t="s">
        <v>86</v>
      </c>
      <c r="S689" t="s">
        <v>87</v>
      </c>
      <c r="T689" t="s">
        <v>1267</v>
      </c>
      <c r="U689" t="s">
        <v>4570</v>
      </c>
      <c r="V689" t="s">
        <v>6852</v>
      </c>
      <c r="W689" t="s">
        <v>161</v>
      </c>
      <c r="X689" t="s">
        <v>7230</v>
      </c>
      <c r="Y689" t="s">
        <v>93</v>
      </c>
      <c r="Z689" t="s">
        <v>119</v>
      </c>
      <c r="AA689" t="s">
        <v>7303</v>
      </c>
      <c r="AB689" t="s">
        <v>94</v>
      </c>
      <c r="AC689" t="s">
        <v>2229</v>
      </c>
      <c r="AD689" t="s">
        <v>119</v>
      </c>
      <c r="AE689" t="s">
        <v>7303</v>
      </c>
      <c r="AF689" t="s">
        <v>94</v>
      </c>
      <c r="AG689" t="s">
        <v>2229</v>
      </c>
      <c r="AI689" t="s">
        <v>7304</v>
      </c>
      <c r="AJ689" t="s">
        <v>119</v>
      </c>
      <c r="AK689" t="s">
        <v>99</v>
      </c>
      <c r="AL689" t="s">
        <v>7305</v>
      </c>
      <c r="AM689" t="s">
        <v>7283</v>
      </c>
      <c r="AN689" t="s">
        <v>2555</v>
      </c>
      <c r="AR689" t="s">
        <v>125</v>
      </c>
      <c r="AT689" t="s">
        <v>7306</v>
      </c>
      <c r="AV689" t="s">
        <v>128</v>
      </c>
      <c r="AZ689" t="s">
        <v>80</v>
      </c>
    </row>
    <row r="690" spans="1:52" hidden="1" x14ac:dyDescent="0.25">
      <c r="A690" t="s">
        <v>7307</v>
      </c>
      <c r="B690" t="s">
        <v>7308</v>
      </c>
      <c r="C690" t="s">
        <v>7299</v>
      </c>
      <c r="D690" t="s">
        <v>2544</v>
      </c>
      <c r="E690" t="s">
        <v>7309</v>
      </c>
      <c r="F690" t="s">
        <v>7310</v>
      </c>
      <c r="G690" t="s">
        <v>7310</v>
      </c>
      <c r="J690" t="s">
        <v>80</v>
      </c>
      <c r="K690" t="s">
        <v>110</v>
      </c>
      <c r="L690" t="s">
        <v>111</v>
      </c>
      <c r="M690" t="s">
        <v>7311</v>
      </c>
      <c r="P690" t="s">
        <v>1266</v>
      </c>
      <c r="Q690" t="s">
        <v>85</v>
      </c>
      <c r="R690" t="s">
        <v>86</v>
      </c>
      <c r="S690" t="s">
        <v>87</v>
      </c>
      <c r="T690" t="s">
        <v>1267</v>
      </c>
      <c r="U690" t="s">
        <v>246</v>
      </c>
      <c r="V690" t="s">
        <v>5491</v>
      </c>
      <c r="W690" t="s">
        <v>161</v>
      </c>
      <c r="X690" t="s">
        <v>7230</v>
      </c>
      <c r="Y690" t="s">
        <v>93</v>
      </c>
      <c r="Z690" t="s">
        <v>119</v>
      </c>
      <c r="AA690" t="s">
        <v>5899</v>
      </c>
      <c r="AB690" t="s">
        <v>94</v>
      </c>
      <c r="AC690" t="s">
        <v>7312</v>
      </c>
      <c r="AD690" t="s">
        <v>119</v>
      </c>
      <c r="AE690" t="s">
        <v>5899</v>
      </c>
      <c r="AF690" t="s">
        <v>94</v>
      </c>
      <c r="AG690" t="s">
        <v>7312</v>
      </c>
      <c r="AI690" t="s">
        <v>7313</v>
      </c>
      <c r="AJ690" t="s">
        <v>119</v>
      </c>
      <c r="AK690" t="s">
        <v>99</v>
      </c>
      <c r="AL690" t="s">
        <v>7314</v>
      </c>
      <c r="AM690" t="s">
        <v>7283</v>
      </c>
      <c r="AN690" t="s">
        <v>2555</v>
      </c>
      <c r="AR690" t="s">
        <v>125</v>
      </c>
      <c r="AT690" t="s">
        <v>7315</v>
      </c>
      <c r="AV690" t="s">
        <v>128</v>
      </c>
      <c r="AZ690" t="s">
        <v>80</v>
      </c>
    </row>
    <row r="691" spans="1:52" hidden="1" x14ac:dyDescent="0.25">
      <c r="A691" t="s">
        <v>7316</v>
      </c>
      <c r="B691" t="s">
        <v>7317</v>
      </c>
      <c r="C691" t="s">
        <v>7299</v>
      </c>
      <c r="D691" t="s">
        <v>2544</v>
      </c>
      <c r="E691" t="s">
        <v>7318</v>
      </c>
      <c r="F691" t="s">
        <v>7319</v>
      </c>
      <c r="G691" t="s">
        <v>7319</v>
      </c>
      <c r="J691" t="s">
        <v>80</v>
      </c>
      <c r="K691" t="s">
        <v>110</v>
      </c>
      <c r="L691" t="s">
        <v>111</v>
      </c>
      <c r="M691" t="s">
        <v>7320</v>
      </c>
      <c r="P691" t="s">
        <v>134</v>
      </c>
      <c r="Q691" t="s">
        <v>2687</v>
      </c>
      <c r="R691" t="s">
        <v>1441</v>
      </c>
      <c r="S691" t="s">
        <v>748</v>
      </c>
      <c r="T691" t="s">
        <v>1267</v>
      </c>
      <c r="U691" t="s">
        <v>246</v>
      </c>
      <c r="V691" t="s">
        <v>115</v>
      </c>
      <c r="W691" t="s">
        <v>797</v>
      </c>
      <c r="X691" t="s">
        <v>5381</v>
      </c>
      <c r="Y691" t="s">
        <v>93</v>
      </c>
      <c r="Z691" t="s">
        <v>119</v>
      </c>
      <c r="AA691" t="s">
        <v>3888</v>
      </c>
      <c r="AB691" t="s">
        <v>94</v>
      </c>
      <c r="AC691" t="s">
        <v>4192</v>
      </c>
      <c r="AD691" t="s">
        <v>119</v>
      </c>
      <c r="AE691" t="s">
        <v>3888</v>
      </c>
      <c r="AF691" t="s">
        <v>94</v>
      </c>
      <c r="AG691" t="s">
        <v>4192</v>
      </c>
      <c r="AI691" t="s">
        <v>3889</v>
      </c>
      <c r="AJ691" t="s">
        <v>119</v>
      </c>
      <c r="AK691" t="s">
        <v>99</v>
      </c>
      <c r="AL691" t="s">
        <v>7321</v>
      </c>
      <c r="AM691" t="s">
        <v>7322</v>
      </c>
      <c r="AN691" t="s">
        <v>2555</v>
      </c>
      <c r="AR691" t="s">
        <v>125</v>
      </c>
      <c r="AT691" t="s">
        <v>7323</v>
      </c>
      <c r="AV691" t="s">
        <v>128</v>
      </c>
      <c r="AZ691" t="s">
        <v>80</v>
      </c>
    </row>
    <row r="692" spans="1:52" hidden="1" x14ac:dyDescent="0.25">
      <c r="A692" t="s">
        <v>7324</v>
      </c>
      <c r="B692" t="s">
        <v>7325</v>
      </c>
      <c r="C692" t="s">
        <v>7299</v>
      </c>
      <c r="D692" t="s">
        <v>2544</v>
      </c>
      <c r="E692" t="s">
        <v>7326</v>
      </c>
      <c r="F692" t="s">
        <v>7327</v>
      </c>
      <c r="G692" t="s">
        <v>7327</v>
      </c>
      <c r="J692" t="s">
        <v>80</v>
      </c>
      <c r="K692" t="s">
        <v>110</v>
      </c>
      <c r="L692" t="s">
        <v>111</v>
      </c>
      <c r="M692" t="s">
        <v>7328</v>
      </c>
      <c r="P692" t="s">
        <v>1266</v>
      </c>
      <c r="Q692" t="s">
        <v>85</v>
      </c>
      <c r="R692" t="s">
        <v>86</v>
      </c>
      <c r="S692" t="s">
        <v>87</v>
      </c>
      <c r="T692" t="s">
        <v>1267</v>
      </c>
      <c r="U692" t="s">
        <v>4570</v>
      </c>
      <c r="V692" t="s">
        <v>1484</v>
      </c>
      <c r="W692" t="s">
        <v>797</v>
      </c>
      <c r="X692" t="s">
        <v>5381</v>
      </c>
      <c r="Y692" t="s">
        <v>93</v>
      </c>
      <c r="Z692" t="s">
        <v>119</v>
      </c>
      <c r="AA692" t="s">
        <v>428</v>
      </c>
      <c r="AB692" t="s">
        <v>94</v>
      </c>
      <c r="AC692" t="s">
        <v>7329</v>
      </c>
      <c r="AD692" t="s">
        <v>119</v>
      </c>
      <c r="AE692" t="s">
        <v>428</v>
      </c>
      <c r="AF692" t="s">
        <v>94</v>
      </c>
      <c r="AG692" t="s">
        <v>7329</v>
      </c>
      <c r="AI692" t="s">
        <v>7330</v>
      </c>
      <c r="AJ692" t="s">
        <v>119</v>
      </c>
      <c r="AK692" t="s">
        <v>99</v>
      </c>
      <c r="AL692" t="s">
        <v>7331</v>
      </c>
      <c r="AM692" t="s">
        <v>7322</v>
      </c>
      <c r="AN692" t="s">
        <v>2555</v>
      </c>
      <c r="AR692" t="s">
        <v>125</v>
      </c>
      <c r="AT692" t="s">
        <v>7332</v>
      </c>
      <c r="AV692" t="s">
        <v>128</v>
      </c>
      <c r="AZ692" t="s">
        <v>80</v>
      </c>
    </row>
    <row r="693" spans="1:52" hidden="1" x14ac:dyDescent="0.25">
      <c r="A693" t="s">
        <v>7333</v>
      </c>
      <c r="B693" t="s">
        <v>7334</v>
      </c>
      <c r="C693" t="s">
        <v>7299</v>
      </c>
      <c r="D693" t="s">
        <v>2544</v>
      </c>
      <c r="E693" t="s">
        <v>7335</v>
      </c>
      <c r="F693" t="s">
        <v>7336</v>
      </c>
      <c r="G693" t="s">
        <v>7336</v>
      </c>
      <c r="J693" t="s">
        <v>80</v>
      </c>
      <c r="K693" t="s">
        <v>110</v>
      </c>
      <c r="L693" t="s">
        <v>111</v>
      </c>
      <c r="M693" t="s">
        <v>1265</v>
      </c>
      <c r="P693" t="s">
        <v>134</v>
      </c>
      <c r="Q693" t="s">
        <v>2687</v>
      </c>
      <c r="R693" t="s">
        <v>1441</v>
      </c>
      <c r="S693" t="s">
        <v>748</v>
      </c>
      <c r="T693" t="s">
        <v>1267</v>
      </c>
      <c r="U693" t="s">
        <v>2241</v>
      </c>
      <c r="V693" t="s">
        <v>7337</v>
      </c>
      <c r="W693" t="s">
        <v>232</v>
      </c>
      <c r="X693" t="s">
        <v>7338</v>
      </c>
      <c r="Y693" t="s">
        <v>93</v>
      </c>
      <c r="Z693" t="s">
        <v>119</v>
      </c>
      <c r="AA693" t="s">
        <v>1271</v>
      </c>
      <c r="AB693" t="s">
        <v>94</v>
      </c>
      <c r="AC693" t="s">
        <v>4050</v>
      </c>
      <c r="AD693" t="s">
        <v>119</v>
      </c>
      <c r="AE693" t="s">
        <v>1271</v>
      </c>
      <c r="AF693" t="s">
        <v>94</v>
      </c>
      <c r="AG693" t="s">
        <v>4050</v>
      </c>
      <c r="AI693" t="s">
        <v>7339</v>
      </c>
      <c r="AJ693" t="s">
        <v>119</v>
      </c>
      <c r="AK693" t="s">
        <v>99</v>
      </c>
      <c r="AL693" t="s">
        <v>7340</v>
      </c>
      <c r="AM693" t="s">
        <v>7322</v>
      </c>
      <c r="AN693" t="s">
        <v>2555</v>
      </c>
      <c r="AR693" t="s">
        <v>125</v>
      </c>
      <c r="AT693" t="s">
        <v>7341</v>
      </c>
      <c r="AV693" t="s">
        <v>128</v>
      </c>
      <c r="AZ693" t="s">
        <v>80</v>
      </c>
    </row>
    <row r="694" spans="1:52" hidden="1" x14ac:dyDescent="0.25">
      <c r="A694" t="s">
        <v>7342</v>
      </c>
      <c r="B694" t="s">
        <v>7343</v>
      </c>
      <c r="C694" t="s">
        <v>7299</v>
      </c>
      <c r="D694" t="s">
        <v>2544</v>
      </c>
      <c r="E694" t="s">
        <v>7344</v>
      </c>
      <c r="F694" t="s">
        <v>7345</v>
      </c>
      <c r="G694" t="s">
        <v>7345</v>
      </c>
      <c r="J694" t="s">
        <v>80</v>
      </c>
      <c r="K694" t="s">
        <v>110</v>
      </c>
      <c r="L694" t="s">
        <v>111</v>
      </c>
      <c r="M694" t="s">
        <v>1265</v>
      </c>
      <c r="P694" t="s">
        <v>134</v>
      </c>
      <c r="Q694" t="s">
        <v>2687</v>
      </c>
      <c r="R694" t="s">
        <v>1441</v>
      </c>
      <c r="S694" t="s">
        <v>748</v>
      </c>
      <c r="T694" t="s">
        <v>1267</v>
      </c>
      <c r="U694" t="s">
        <v>2241</v>
      </c>
      <c r="V694" t="s">
        <v>7337</v>
      </c>
      <c r="W694" t="s">
        <v>797</v>
      </c>
      <c r="X694" t="s">
        <v>5381</v>
      </c>
      <c r="Y694" t="s">
        <v>93</v>
      </c>
      <c r="Z694" t="s">
        <v>119</v>
      </c>
      <c r="AA694" t="s">
        <v>1271</v>
      </c>
      <c r="AB694" t="s">
        <v>94</v>
      </c>
      <c r="AC694" t="s">
        <v>4050</v>
      </c>
      <c r="AD694" t="s">
        <v>119</v>
      </c>
      <c r="AE694" t="s">
        <v>1271</v>
      </c>
      <c r="AF694" t="s">
        <v>94</v>
      </c>
      <c r="AG694" t="s">
        <v>4050</v>
      </c>
      <c r="AI694" t="s">
        <v>7339</v>
      </c>
      <c r="AJ694" t="s">
        <v>119</v>
      </c>
      <c r="AK694" t="s">
        <v>99</v>
      </c>
      <c r="AL694" t="s">
        <v>7346</v>
      </c>
      <c r="AM694" t="s">
        <v>7322</v>
      </c>
      <c r="AN694" t="s">
        <v>2555</v>
      </c>
      <c r="AR694" t="s">
        <v>125</v>
      </c>
      <c r="AT694" t="s">
        <v>7347</v>
      </c>
      <c r="AV694" t="s">
        <v>128</v>
      </c>
      <c r="AZ694" t="s">
        <v>80</v>
      </c>
    </row>
    <row r="695" spans="1:52" hidden="1" x14ac:dyDescent="0.25">
      <c r="A695" t="s">
        <v>7348</v>
      </c>
      <c r="B695" t="s">
        <v>7349</v>
      </c>
      <c r="C695" t="s">
        <v>7350</v>
      </c>
      <c r="D695" t="s">
        <v>2544</v>
      </c>
      <c r="E695" t="s">
        <v>7351</v>
      </c>
      <c r="F695" t="s">
        <v>7352</v>
      </c>
      <c r="G695" t="s">
        <v>7352</v>
      </c>
      <c r="J695" t="s">
        <v>80</v>
      </c>
      <c r="K695" t="s">
        <v>110</v>
      </c>
      <c r="L695" t="s">
        <v>111</v>
      </c>
      <c r="M695">
        <v>67001</v>
      </c>
      <c r="N695" t="s">
        <v>7353</v>
      </c>
      <c r="O695" t="s">
        <v>1780</v>
      </c>
      <c r="P695" t="s">
        <v>1781</v>
      </c>
      <c r="Q695" t="s">
        <v>1744</v>
      </c>
      <c r="R695" t="s">
        <v>1550</v>
      </c>
      <c r="S695" t="s">
        <v>774</v>
      </c>
      <c r="T695" t="s">
        <v>1782</v>
      </c>
      <c r="U695" t="s">
        <v>7354</v>
      </c>
      <c r="V695" t="s">
        <v>1985</v>
      </c>
      <c r="W695" t="s">
        <v>697</v>
      </c>
      <c r="X695" t="s">
        <v>1784</v>
      </c>
      <c r="Y695" t="s">
        <v>93</v>
      </c>
      <c r="Z695" t="s">
        <v>119</v>
      </c>
      <c r="AA695" t="s">
        <v>7355</v>
      </c>
      <c r="AB695" t="s">
        <v>1785</v>
      </c>
      <c r="AC695" t="s">
        <v>4711</v>
      </c>
      <c r="AD695" t="s">
        <v>119</v>
      </c>
      <c r="AE695" t="s">
        <v>7355</v>
      </c>
      <c r="AF695" t="s">
        <v>1785</v>
      </c>
      <c r="AG695" t="s">
        <v>4711</v>
      </c>
      <c r="AH695" t="s">
        <v>1914</v>
      </c>
      <c r="AI695" t="s">
        <v>7356</v>
      </c>
      <c r="AJ695" t="s">
        <v>119</v>
      </c>
      <c r="AK695" t="s">
        <v>99</v>
      </c>
      <c r="AL695" t="s">
        <v>7357</v>
      </c>
      <c r="AM695" t="s">
        <v>7358</v>
      </c>
      <c r="AN695" t="s">
        <v>2555</v>
      </c>
      <c r="AR695" t="s">
        <v>125</v>
      </c>
      <c r="AT695" t="s">
        <v>7359</v>
      </c>
      <c r="AV695" t="s">
        <v>190</v>
      </c>
      <c r="AZ695" t="s">
        <v>80</v>
      </c>
    </row>
    <row r="696" spans="1:52" hidden="1" x14ac:dyDescent="0.25">
      <c r="A696" t="s">
        <v>7360</v>
      </c>
      <c r="B696" t="s">
        <v>7361</v>
      </c>
      <c r="C696" t="s">
        <v>7362</v>
      </c>
      <c r="D696" t="s">
        <v>2544</v>
      </c>
      <c r="E696" t="s">
        <v>7363</v>
      </c>
      <c r="F696" t="s">
        <v>7364</v>
      </c>
      <c r="G696" t="s">
        <v>7364</v>
      </c>
      <c r="J696" t="s">
        <v>80</v>
      </c>
      <c r="K696" t="s">
        <v>110</v>
      </c>
      <c r="L696" t="s">
        <v>111</v>
      </c>
      <c r="M696">
        <v>69982</v>
      </c>
      <c r="N696" t="s">
        <v>7365</v>
      </c>
      <c r="P696" t="s">
        <v>2905</v>
      </c>
      <c r="Q696" t="s">
        <v>1205</v>
      </c>
      <c r="R696" t="s">
        <v>914</v>
      </c>
      <c r="S696" t="s">
        <v>444</v>
      </c>
      <c r="T696" t="s">
        <v>2906</v>
      </c>
      <c r="U696" t="s">
        <v>7366</v>
      </c>
      <c r="V696" t="s">
        <v>3047</v>
      </c>
      <c r="W696" t="s">
        <v>737</v>
      </c>
      <c r="X696" t="s">
        <v>7367</v>
      </c>
      <c r="Y696" t="s">
        <v>93</v>
      </c>
      <c r="Z696" t="s">
        <v>2911</v>
      </c>
      <c r="AA696" t="s">
        <v>7368</v>
      </c>
      <c r="AB696" t="s">
        <v>548</v>
      </c>
      <c r="AC696" t="s">
        <v>7369</v>
      </c>
      <c r="AD696" t="s">
        <v>2911</v>
      </c>
      <c r="AE696" t="s">
        <v>7368</v>
      </c>
      <c r="AF696" t="s">
        <v>548</v>
      </c>
      <c r="AG696" t="s">
        <v>7369</v>
      </c>
      <c r="AH696" t="s">
        <v>7370</v>
      </c>
      <c r="AI696" t="s">
        <v>7371</v>
      </c>
      <c r="AJ696" t="s">
        <v>2911</v>
      </c>
      <c r="AK696" t="s">
        <v>99</v>
      </c>
      <c r="AL696" t="s">
        <v>7372</v>
      </c>
      <c r="AM696" t="s">
        <v>7373</v>
      </c>
      <c r="AN696" t="s">
        <v>2555</v>
      </c>
      <c r="AR696" t="s">
        <v>125</v>
      </c>
      <c r="AT696" t="s">
        <v>7374</v>
      </c>
      <c r="AV696" t="s">
        <v>128</v>
      </c>
      <c r="AZ696" t="s">
        <v>80</v>
      </c>
    </row>
    <row r="697" spans="1:52" hidden="1" x14ac:dyDescent="0.25">
      <c r="A697" t="s">
        <v>7375</v>
      </c>
      <c r="B697" t="s">
        <v>7361</v>
      </c>
      <c r="C697" t="s">
        <v>7362</v>
      </c>
      <c r="D697" t="s">
        <v>2544</v>
      </c>
      <c r="E697" t="s">
        <v>7376</v>
      </c>
      <c r="F697" t="s">
        <v>7364</v>
      </c>
      <c r="G697" t="s">
        <v>7364</v>
      </c>
      <c r="J697" t="s">
        <v>80</v>
      </c>
      <c r="K697" t="s">
        <v>110</v>
      </c>
      <c r="L697" t="s">
        <v>111</v>
      </c>
      <c r="M697">
        <v>69982</v>
      </c>
      <c r="N697" t="s">
        <v>7365</v>
      </c>
      <c r="P697" t="s">
        <v>2905</v>
      </c>
      <c r="Q697" t="s">
        <v>1205</v>
      </c>
      <c r="R697" t="s">
        <v>914</v>
      </c>
      <c r="S697" t="s">
        <v>444</v>
      </c>
      <c r="T697" t="s">
        <v>2906</v>
      </c>
      <c r="U697" t="s">
        <v>7366</v>
      </c>
      <c r="V697" t="s">
        <v>3047</v>
      </c>
      <c r="W697" t="s">
        <v>752</v>
      </c>
      <c r="X697" t="s">
        <v>7377</v>
      </c>
      <c r="Y697" t="s">
        <v>93</v>
      </c>
      <c r="Z697" t="s">
        <v>2911</v>
      </c>
      <c r="AA697" t="s">
        <v>7368</v>
      </c>
      <c r="AB697" t="s">
        <v>548</v>
      </c>
      <c r="AC697" t="s">
        <v>7369</v>
      </c>
      <c r="AD697" t="s">
        <v>2911</v>
      </c>
      <c r="AE697" t="s">
        <v>7368</v>
      </c>
      <c r="AF697" t="s">
        <v>548</v>
      </c>
      <c r="AG697" t="s">
        <v>7369</v>
      </c>
      <c r="AH697" t="s">
        <v>7370</v>
      </c>
      <c r="AI697" t="s">
        <v>7378</v>
      </c>
      <c r="AJ697" t="s">
        <v>2911</v>
      </c>
      <c r="AK697" t="s">
        <v>99</v>
      </c>
      <c r="AL697" t="s">
        <v>7379</v>
      </c>
      <c r="AM697" t="s">
        <v>7373</v>
      </c>
      <c r="AN697" t="s">
        <v>2555</v>
      </c>
      <c r="AR697" t="s">
        <v>125</v>
      </c>
      <c r="AT697" t="s">
        <v>7380</v>
      </c>
      <c r="AV697" t="s">
        <v>128</v>
      </c>
      <c r="AZ697" t="s">
        <v>80</v>
      </c>
    </row>
    <row r="698" spans="1:52" hidden="1" x14ac:dyDescent="0.25">
      <c r="A698" t="s">
        <v>7381</v>
      </c>
      <c r="B698" t="s">
        <v>2900</v>
      </c>
      <c r="C698" t="s">
        <v>7382</v>
      </c>
      <c r="D698" t="s">
        <v>2544</v>
      </c>
      <c r="E698" t="s">
        <v>7383</v>
      </c>
      <c r="F698" t="s">
        <v>2903</v>
      </c>
      <c r="G698" t="s">
        <v>2903</v>
      </c>
      <c r="J698" t="s">
        <v>80</v>
      </c>
      <c r="K698" t="s">
        <v>110</v>
      </c>
      <c r="L698" t="s">
        <v>111</v>
      </c>
      <c r="M698">
        <v>69851</v>
      </c>
      <c r="N698" t="s">
        <v>2904</v>
      </c>
      <c r="P698" t="s">
        <v>2905</v>
      </c>
      <c r="Q698" t="s">
        <v>1205</v>
      </c>
      <c r="R698" t="s">
        <v>914</v>
      </c>
      <c r="S698" t="s">
        <v>444</v>
      </c>
      <c r="T698" t="s">
        <v>2906</v>
      </c>
      <c r="U698" t="s">
        <v>2907</v>
      </c>
      <c r="V698" t="s">
        <v>2908</v>
      </c>
      <c r="W698" t="s">
        <v>896</v>
      </c>
      <c r="X698" t="s">
        <v>7384</v>
      </c>
      <c r="Y698" t="s">
        <v>93</v>
      </c>
      <c r="Z698" t="s">
        <v>548</v>
      </c>
      <c r="AA698" t="s">
        <v>2910</v>
      </c>
      <c r="AB698" t="s">
        <v>2911</v>
      </c>
      <c r="AC698" t="s">
        <v>2912</v>
      </c>
      <c r="AD698" t="s">
        <v>548</v>
      </c>
      <c r="AE698" t="s">
        <v>2910</v>
      </c>
      <c r="AF698" t="s">
        <v>2911</v>
      </c>
      <c r="AG698" t="s">
        <v>2912</v>
      </c>
      <c r="AH698" t="s">
        <v>2913</v>
      </c>
      <c r="AI698" t="s">
        <v>6443</v>
      </c>
      <c r="AJ698" t="s">
        <v>548</v>
      </c>
      <c r="AK698" t="s">
        <v>99</v>
      </c>
      <c r="AL698" t="s">
        <v>7385</v>
      </c>
      <c r="AM698" t="s">
        <v>2916</v>
      </c>
      <c r="AN698" t="s">
        <v>2555</v>
      </c>
      <c r="AR698" t="s">
        <v>125</v>
      </c>
      <c r="AT698" t="s">
        <v>7386</v>
      </c>
      <c r="AV698" t="s">
        <v>128</v>
      </c>
      <c r="AZ698" t="s">
        <v>80</v>
      </c>
    </row>
    <row r="699" spans="1:52" hidden="1" x14ac:dyDescent="0.25">
      <c r="A699" t="s">
        <v>7387</v>
      </c>
      <c r="B699" t="s">
        <v>2900</v>
      </c>
      <c r="C699" t="s">
        <v>7382</v>
      </c>
      <c r="D699" t="s">
        <v>2544</v>
      </c>
      <c r="E699" t="s">
        <v>7388</v>
      </c>
      <c r="F699" t="s">
        <v>2903</v>
      </c>
      <c r="G699" t="s">
        <v>2903</v>
      </c>
      <c r="J699" t="s">
        <v>80</v>
      </c>
      <c r="K699" t="s">
        <v>110</v>
      </c>
      <c r="L699" t="s">
        <v>111</v>
      </c>
      <c r="M699">
        <v>69851</v>
      </c>
      <c r="N699" t="s">
        <v>2904</v>
      </c>
      <c r="P699" t="s">
        <v>2905</v>
      </c>
      <c r="Q699" t="s">
        <v>1205</v>
      </c>
      <c r="R699" t="s">
        <v>914</v>
      </c>
      <c r="S699" t="s">
        <v>444</v>
      </c>
      <c r="T699" t="s">
        <v>2906</v>
      </c>
      <c r="U699" t="s">
        <v>2907</v>
      </c>
      <c r="V699" t="s">
        <v>2908</v>
      </c>
      <c r="W699" t="s">
        <v>737</v>
      </c>
      <c r="X699" t="s">
        <v>7367</v>
      </c>
      <c r="Y699" t="s">
        <v>93</v>
      </c>
      <c r="Z699" t="s">
        <v>548</v>
      </c>
      <c r="AA699" t="s">
        <v>2910</v>
      </c>
      <c r="AB699" t="s">
        <v>2911</v>
      </c>
      <c r="AC699" t="s">
        <v>2912</v>
      </c>
      <c r="AD699" t="s">
        <v>548</v>
      </c>
      <c r="AE699" t="s">
        <v>2910</v>
      </c>
      <c r="AF699" t="s">
        <v>2911</v>
      </c>
      <c r="AG699" t="s">
        <v>2912</v>
      </c>
      <c r="AH699" t="s">
        <v>2913</v>
      </c>
      <c r="AI699" t="s">
        <v>6443</v>
      </c>
      <c r="AJ699" t="s">
        <v>548</v>
      </c>
      <c r="AK699" t="s">
        <v>99</v>
      </c>
      <c r="AL699" t="s">
        <v>7389</v>
      </c>
      <c r="AM699" t="s">
        <v>2554</v>
      </c>
      <c r="AN699" t="s">
        <v>2555</v>
      </c>
      <c r="AR699" t="s">
        <v>125</v>
      </c>
      <c r="AT699" t="s">
        <v>7390</v>
      </c>
      <c r="AV699" t="s">
        <v>128</v>
      </c>
      <c r="AZ699" t="s">
        <v>80</v>
      </c>
    </row>
    <row r="700" spans="1:52" hidden="1" x14ac:dyDescent="0.25">
      <c r="A700" t="s">
        <v>7391</v>
      </c>
      <c r="B700" t="s">
        <v>7392</v>
      </c>
      <c r="C700" t="s">
        <v>7393</v>
      </c>
      <c r="D700" t="s">
        <v>2544</v>
      </c>
      <c r="E700" t="s">
        <v>7394</v>
      </c>
      <c r="F700" t="s">
        <v>7395</v>
      </c>
      <c r="G700" t="s">
        <v>7395</v>
      </c>
      <c r="J700" t="s">
        <v>80</v>
      </c>
      <c r="K700" t="s">
        <v>110</v>
      </c>
      <c r="L700" t="s">
        <v>111</v>
      </c>
      <c r="M700">
        <v>69471</v>
      </c>
      <c r="N700" t="s">
        <v>7396</v>
      </c>
      <c r="P700" t="s">
        <v>2905</v>
      </c>
      <c r="Q700" t="s">
        <v>3044</v>
      </c>
      <c r="R700" t="s">
        <v>444</v>
      </c>
      <c r="S700" t="s">
        <v>313</v>
      </c>
      <c r="T700" t="s">
        <v>3045</v>
      </c>
      <c r="U700" t="s">
        <v>3046</v>
      </c>
      <c r="V700" t="s">
        <v>3047</v>
      </c>
      <c r="W700" t="s">
        <v>161</v>
      </c>
      <c r="X700" t="s">
        <v>4190</v>
      </c>
      <c r="Y700" t="s">
        <v>93</v>
      </c>
      <c r="Z700" t="s">
        <v>3052</v>
      </c>
      <c r="AA700" t="s">
        <v>7397</v>
      </c>
      <c r="AB700" t="s">
        <v>3050</v>
      </c>
      <c r="AC700" t="s">
        <v>7398</v>
      </c>
      <c r="AD700" t="s">
        <v>3052</v>
      </c>
      <c r="AE700" t="s">
        <v>7397</v>
      </c>
      <c r="AF700" t="s">
        <v>3050</v>
      </c>
      <c r="AG700" t="s">
        <v>7398</v>
      </c>
      <c r="AH700" t="s">
        <v>7399</v>
      </c>
      <c r="AI700" t="s">
        <v>5951</v>
      </c>
      <c r="AJ700" t="s">
        <v>3052</v>
      </c>
      <c r="AK700" t="s">
        <v>99</v>
      </c>
      <c r="AL700" t="s">
        <v>7400</v>
      </c>
      <c r="AM700" t="s">
        <v>7401</v>
      </c>
      <c r="AN700" t="s">
        <v>2555</v>
      </c>
      <c r="AR700" t="s">
        <v>125</v>
      </c>
      <c r="AT700" t="s">
        <v>7402</v>
      </c>
      <c r="AV700" t="s">
        <v>128</v>
      </c>
      <c r="AZ700" t="s">
        <v>80</v>
      </c>
    </row>
    <row r="701" spans="1:52" hidden="1" x14ac:dyDescent="0.25">
      <c r="A701" t="s">
        <v>7403</v>
      </c>
      <c r="B701" t="s">
        <v>7404</v>
      </c>
      <c r="C701" t="s">
        <v>7393</v>
      </c>
      <c r="D701" t="s">
        <v>2544</v>
      </c>
      <c r="E701" t="s">
        <v>7405</v>
      </c>
      <c r="F701" t="s">
        <v>7406</v>
      </c>
      <c r="G701" t="s">
        <v>7406</v>
      </c>
      <c r="J701" t="s">
        <v>80</v>
      </c>
      <c r="K701" t="s">
        <v>110</v>
      </c>
      <c r="L701" t="s">
        <v>111</v>
      </c>
      <c r="M701">
        <v>69467</v>
      </c>
      <c r="N701" t="s">
        <v>7407</v>
      </c>
      <c r="P701" t="s">
        <v>2905</v>
      </c>
      <c r="Q701" t="s">
        <v>3044</v>
      </c>
      <c r="R701" t="s">
        <v>444</v>
      </c>
      <c r="S701" t="s">
        <v>313</v>
      </c>
      <c r="T701" t="s">
        <v>3045</v>
      </c>
      <c r="U701" t="s">
        <v>2779</v>
      </c>
      <c r="V701" t="s">
        <v>3047</v>
      </c>
      <c r="W701" t="s">
        <v>161</v>
      </c>
      <c r="X701" t="s">
        <v>4190</v>
      </c>
      <c r="Y701" t="s">
        <v>93</v>
      </c>
      <c r="Z701" t="s">
        <v>3052</v>
      </c>
      <c r="AA701" t="s">
        <v>7408</v>
      </c>
      <c r="AB701" t="s">
        <v>3050</v>
      </c>
      <c r="AC701" t="s">
        <v>7164</v>
      </c>
      <c r="AD701" t="s">
        <v>3052</v>
      </c>
      <c r="AE701" t="s">
        <v>7408</v>
      </c>
      <c r="AF701" t="s">
        <v>3050</v>
      </c>
      <c r="AG701" t="s">
        <v>7164</v>
      </c>
      <c r="AH701" t="s">
        <v>7399</v>
      </c>
      <c r="AI701" t="s">
        <v>2552</v>
      </c>
      <c r="AJ701" t="s">
        <v>3052</v>
      </c>
      <c r="AK701" t="s">
        <v>99</v>
      </c>
      <c r="AL701" t="s">
        <v>7409</v>
      </c>
      <c r="AM701" t="s">
        <v>7401</v>
      </c>
      <c r="AN701" t="s">
        <v>2555</v>
      </c>
      <c r="AR701" t="s">
        <v>125</v>
      </c>
      <c r="AT701" t="s">
        <v>7410</v>
      </c>
      <c r="AV701" t="s">
        <v>128</v>
      </c>
      <c r="AZ701" t="s">
        <v>80</v>
      </c>
    </row>
    <row r="702" spans="1:52" hidden="1" x14ac:dyDescent="0.25">
      <c r="A702" t="s">
        <v>7411</v>
      </c>
      <c r="B702" t="s">
        <v>7412</v>
      </c>
      <c r="C702" t="s">
        <v>7393</v>
      </c>
      <c r="D702" t="s">
        <v>2544</v>
      </c>
      <c r="E702" t="s">
        <v>7413</v>
      </c>
      <c r="F702" t="s">
        <v>7414</v>
      </c>
      <c r="G702" t="s">
        <v>7414</v>
      </c>
      <c r="J702" t="s">
        <v>80</v>
      </c>
      <c r="K702" t="s">
        <v>110</v>
      </c>
      <c r="L702" t="s">
        <v>111</v>
      </c>
      <c r="M702">
        <v>69463</v>
      </c>
      <c r="N702" t="s">
        <v>7415</v>
      </c>
      <c r="P702" t="s">
        <v>2905</v>
      </c>
      <c r="Q702" t="s">
        <v>3044</v>
      </c>
      <c r="R702" t="s">
        <v>444</v>
      </c>
      <c r="S702" t="s">
        <v>313</v>
      </c>
      <c r="T702" t="s">
        <v>3045</v>
      </c>
      <c r="U702" t="s">
        <v>2779</v>
      </c>
      <c r="V702" t="s">
        <v>3047</v>
      </c>
      <c r="W702" t="s">
        <v>161</v>
      </c>
      <c r="X702" t="s">
        <v>4190</v>
      </c>
      <c r="Y702" t="s">
        <v>93</v>
      </c>
      <c r="Z702" t="s">
        <v>3052</v>
      </c>
      <c r="AA702" t="s">
        <v>1987</v>
      </c>
      <c r="AB702" t="s">
        <v>3050</v>
      </c>
      <c r="AC702" t="s">
        <v>7416</v>
      </c>
      <c r="AD702" t="s">
        <v>3052</v>
      </c>
      <c r="AE702" t="s">
        <v>1987</v>
      </c>
      <c r="AF702" t="s">
        <v>3050</v>
      </c>
      <c r="AG702" t="s">
        <v>7416</v>
      </c>
      <c r="AH702" t="s">
        <v>7399</v>
      </c>
      <c r="AI702" t="s">
        <v>7417</v>
      </c>
      <c r="AJ702" t="s">
        <v>3052</v>
      </c>
      <c r="AK702" t="s">
        <v>99</v>
      </c>
      <c r="AL702" t="s">
        <v>7418</v>
      </c>
      <c r="AM702" t="s">
        <v>7401</v>
      </c>
      <c r="AN702" t="s">
        <v>2555</v>
      </c>
      <c r="AR702" t="s">
        <v>125</v>
      </c>
      <c r="AT702" t="s">
        <v>7419</v>
      </c>
      <c r="AV702" t="s">
        <v>128</v>
      </c>
      <c r="AZ702" t="s">
        <v>80</v>
      </c>
    </row>
    <row r="703" spans="1:52" hidden="1" x14ac:dyDescent="0.25">
      <c r="A703" t="s">
        <v>7420</v>
      </c>
      <c r="B703" t="s">
        <v>7421</v>
      </c>
      <c r="C703" t="s">
        <v>7422</v>
      </c>
      <c r="D703" t="s">
        <v>2544</v>
      </c>
      <c r="E703" t="s">
        <v>7423</v>
      </c>
      <c r="F703" t="s">
        <v>7424</v>
      </c>
      <c r="G703" t="s">
        <v>7424</v>
      </c>
      <c r="J703" t="s">
        <v>80</v>
      </c>
      <c r="K703" t="s">
        <v>110</v>
      </c>
      <c r="L703" t="s">
        <v>111</v>
      </c>
      <c r="M703">
        <v>69469</v>
      </c>
      <c r="N703" t="s">
        <v>7425</v>
      </c>
      <c r="P703" t="s">
        <v>2905</v>
      </c>
      <c r="Q703" t="s">
        <v>3044</v>
      </c>
      <c r="R703" t="s">
        <v>444</v>
      </c>
      <c r="S703" t="s">
        <v>313</v>
      </c>
      <c r="T703" t="s">
        <v>3045</v>
      </c>
      <c r="U703" t="s">
        <v>2779</v>
      </c>
      <c r="V703" t="s">
        <v>3047</v>
      </c>
      <c r="W703" t="s">
        <v>161</v>
      </c>
      <c r="X703" t="s">
        <v>4190</v>
      </c>
      <c r="Y703" t="s">
        <v>93</v>
      </c>
      <c r="Z703" t="s">
        <v>3052</v>
      </c>
      <c r="AA703" t="s">
        <v>7426</v>
      </c>
      <c r="AB703" t="s">
        <v>3050</v>
      </c>
      <c r="AC703" t="s">
        <v>7427</v>
      </c>
      <c r="AD703" t="s">
        <v>3052</v>
      </c>
      <c r="AE703" t="s">
        <v>7426</v>
      </c>
      <c r="AF703" t="s">
        <v>3050</v>
      </c>
      <c r="AG703" t="s">
        <v>7427</v>
      </c>
      <c r="AH703" t="s">
        <v>7428</v>
      </c>
      <c r="AI703" t="s">
        <v>2693</v>
      </c>
      <c r="AJ703" t="s">
        <v>3052</v>
      </c>
      <c r="AK703" t="s">
        <v>99</v>
      </c>
      <c r="AL703" t="s">
        <v>7429</v>
      </c>
      <c r="AM703" t="s">
        <v>7401</v>
      </c>
      <c r="AN703" t="s">
        <v>2555</v>
      </c>
      <c r="AR703" t="s">
        <v>125</v>
      </c>
      <c r="AT703" t="s">
        <v>7430</v>
      </c>
      <c r="AV703" t="s">
        <v>128</v>
      </c>
      <c r="AZ703" t="s">
        <v>80</v>
      </c>
    </row>
    <row r="704" spans="1:52" hidden="1" x14ac:dyDescent="0.25">
      <c r="A704" t="s">
        <v>7431</v>
      </c>
      <c r="B704" t="s">
        <v>7432</v>
      </c>
      <c r="C704" t="s">
        <v>7433</v>
      </c>
      <c r="D704" t="s">
        <v>2544</v>
      </c>
      <c r="E704" t="s">
        <v>7434</v>
      </c>
      <c r="F704" t="s">
        <v>7435</v>
      </c>
      <c r="G704" t="s">
        <v>7435</v>
      </c>
      <c r="J704" t="s">
        <v>80</v>
      </c>
      <c r="K704" t="s">
        <v>110</v>
      </c>
      <c r="L704" t="s">
        <v>111</v>
      </c>
      <c r="M704">
        <v>69461</v>
      </c>
      <c r="N704" t="s">
        <v>7436</v>
      </c>
      <c r="P704" t="s">
        <v>2905</v>
      </c>
      <c r="Q704" t="s">
        <v>3044</v>
      </c>
      <c r="R704" t="s">
        <v>444</v>
      </c>
      <c r="S704" t="s">
        <v>313</v>
      </c>
      <c r="T704" t="s">
        <v>3045</v>
      </c>
      <c r="U704" t="s">
        <v>2779</v>
      </c>
      <c r="V704" t="s">
        <v>3047</v>
      </c>
      <c r="W704" t="s">
        <v>161</v>
      </c>
      <c r="X704" t="s">
        <v>4190</v>
      </c>
      <c r="Y704" t="s">
        <v>93</v>
      </c>
      <c r="Z704" t="s">
        <v>3052</v>
      </c>
      <c r="AA704" t="s">
        <v>7437</v>
      </c>
      <c r="AB704" t="s">
        <v>3050</v>
      </c>
      <c r="AC704" t="s">
        <v>7438</v>
      </c>
      <c r="AD704" t="s">
        <v>3052</v>
      </c>
      <c r="AE704" t="s">
        <v>7437</v>
      </c>
      <c r="AF704" t="s">
        <v>3050</v>
      </c>
      <c r="AG704" t="s">
        <v>7438</v>
      </c>
      <c r="AH704" t="s">
        <v>7399</v>
      </c>
      <c r="AI704" t="s">
        <v>7439</v>
      </c>
      <c r="AJ704" t="s">
        <v>3052</v>
      </c>
      <c r="AK704" t="s">
        <v>99</v>
      </c>
      <c r="AL704" t="s">
        <v>7440</v>
      </c>
      <c r="AM704" t="s">
        <v>7441</v>
      </c>
      <c r="AN704" t="s">
        <v>2555</v>
      </c>
      <c r="AR704" t="s">
        <v>125</v>
      </c>
      <c r="AT704" t="s">
        <v>7442</v>
      </c>
      <c r="AV704" t="s">
        <v>128</v>
      </c>
      <c r="AZ704" t="s">
        <v>80</v>
      </c>
    </row>
    <row r="705" spans="1:52" hidden="1" x14ac:dyDescent="0.25">
      <c r="A705" t="s">
        <v>7443</v>
      </c>
      <c r="B705" t="s">
        <v>7444</v>
      </c>
      <c r="C705" t="s">
        <v>7433</v>
      </c>
      <c r="D705" t="s">
        <v>2544</v>
      </c>
      <c r="E705" t="s">
        <v>7445</v>
      </c>
      <c r="F705" t="s">
        <v>7446</v>
      </c>
      <c r="G705" t="s">
        <v>7446</v>
      </c>
      <c r="J705" t="s">
        <v>80</v>
      </c>
      <c r="K705" t="s">
        <v>110</v>
      </c>
      <c r="L705" t="s">
        <v>111</v>
      </c>
      <c r="M705">
        <v>69465</v>
      </c>
      <c r="N705" t="s">
        <v>7447</v>
      </c>
      <c r="P705" t="s">
        <v>2905</v>
      </c>
      <c r="Q705" t="s">
        <v>3044</v>
      </c>
      <c r="R705" t="s">
        <v>444</v>
      </c>
      <c r="S705" t="s">
        <v>313</v>
      </c>
      <c r="T705" t="s">
        <v>3045</v>
      </c>
      <c r="U705" t="s">
        <v>2779</v>
      </c>
      <c r="V705" t="s">
        <v>3047</v>
      </c>
      <c r="W705" t="s">
        <v>161</v>
      </c>
      <c r="X705" t="s">
        <v>4190</v>
      </c>
      <c r="Y705" t="s">
        <v>93</v>
      </c>
      <c r="Z705" t="s">
        <v>3052</v>
      </c>
      <c r="AA705" t="s">
        <v>7448</v>
      </c>
      <c r="AB705" t="s">
        <v>3050</v>
      </c>
      <c r="AC705" t="s">
        <v>7449</v>
      </c>
      <c r="AD705" t="s">
        <v>3052</v>
      </c>
      <c r="AE705" t="s">
        <v>7448</v>
      </c>
      <c r="AF705" t="s">
        <v>3050</v>
      </c>
      <c r="AG705" t="s">
        <v>7449</v>
      </c>
      <c r="AH705" t="s">
        <v>7428</v>
      </c>
      <c r="AI705" t="s">
        <v>4041</v>
      </c>
      <c r="AJ705" t="s">
        <v>3052</v>
      </c>
      <c r="AK705" t="s">
        <v>99</v>
      </c>
      <c r="AL705" t="s">
        <v>7450</v>
      </c>
      <c r="AM705" t="s">
        <v>7441</v>
      </c>
      <c r="AN705" t="s">
        <v>2555</v>
      </c>
      <c r="AR705" t="s">
        <v>125</v>
      </c>
      <c r="AT705" t="s">
        <v>7451</v>
      </c>
      <c r="AV705" t="s">
        <v>128</v>
      </c>
      <c r="AZ705" t="s">
        <v>80</v>
      </c>
    </row>
    <row r="706" spans="1:52" hidden="1" x14ac:dyDescent="0.25">
      <c r="A706" t="s">
        <v>7452</v>
      </c>
      <c r="B706" t="s">
        <v>7453</v>
      </c>
      <c r="C706" t="s">
        <v>7433</v>
      </c>
      <c r="D706" t="s">
        <v>2544</v>
      </c>
      <c r="E706" t="s">
        <v>7454</v>
      </c>
      <c r="F706" t="s">
        <v>7455</v>
      </c>
      <c r="G706" t="s">
        <v>7455</v>
      </c>
      <c r="J706" t="s">
        <v>80</v>
      </c>
      <c r="K706" t="s">
        <v>110</v>
      </c>
      <c r="L706" t="s">
        <v>111</v>
      </c>
      <c r="M706">
        <v>69490</v>
      </c>
      <c r="N706" t="s">
        <v>7456</v>
      </c>
      <c r="P706" t="s">
        <v>2905</v>
      </c>
      <c r="Q706" t="s">
        <v>3044</v>
      </c>
      <c r="R706" t="s">
        <v>444</v>
      </c>
      <c r="S706" t="s">
        <v>313</v>
      </c>
      <c r="T706" t="s">
        <v>3045</v>
      </c>
      <c r="U706" t="s">
        <v>3046</v>
      </c>
      <c r="V706" t="s">
        <v>3047</v>
      </c>
      <c r="W706" t="s">
        <v>161</v>
      </c>
      <c r="X706" t="s">
        <v>4190</v>
      </c>
      <c r="Y706" t="s">
        <v>93</v>
      </c>
      <c r="Z706" t="s">
        <v>3050</v>
      </c>
      <c r="AA706" t="s">
        <v>6185</v>
      </c>
      <c r="AB706" t="s">
        <v>3052</v>
      </c>
      <c r="AC706" t="s">
        <v>1765</v>
      </c>
      <c r="AD706" t="s">
        <v>3050</v>
      </c>
      <c r="AE706" t="s">
        <v>6185</v>
      </c>
      <c r="AF706" t="s">
        <v>3052</v>
      </c>
      <c r="AG706" t="s">
        <v>1765</v>
      </c>
      <c r="AH706" t="s">
        <v>7457</v>
      </c>
      <c r="AI706" t="s">
        <v>7118</v>
      </c>
      <c r="AJ706" t="s">
        <v>3050</v>
      </c>
      <c r="AK706" t="s">
        <v>99</v>
      </c>
      <c r="AL706" t="s">
        <v>7458</v>
      </c>
      <c r="AM706" t="s">
        <v>7441</v>
      </c>
      <c r="AN706" t="s">
        <v>2555</v>
      </c>
      <c r="AR706" t="s">
        <v>125</v>
      </c>
      <c r="AT706" t="s">
        <v>7459</v>
      </c>
      <c r="AV706" t="s">
        <v>128</v>
      </c>
      <c r="AZ706" t="s">
        <v>80</v>
      </c>
    </row>
    <row r="707" spans="1:52" hidden="1" x14ac:dyDescent="0.25">
      <c r="A707" t="s">
        <v>7460</v>
      </c>
      <c r="B707" t="s">
        <v>7461</v>
      </c>
      <c r="C707" t="s">
        <v>7462</v>
      </c>
      <c r="D707" t="s">
        <v>2544</v>
      </c>
      <c r="E707" t="s">
        <v>7463</v>
      </c>
      <c r="F707" t="s">
        <v>7464</v>
      </c>
      <c r="G707" t="s">
        <v>7464</v>
      </c>
      <c r="J707" t="s">
        <v>80</v>
      </c>
      <c r="K707" t="s">
        <v>110</v>
      </c>
      <c r="L707" t="s">
        <v>111</v>
      </c>
      <c r="M707">
        <v>69488</v>
      </c>
      <c r="N707" t="s">
        <v>5568</v>
      </c>
      <c r="P707" t="s">
        <v>2905</v>
      </c>
      <c r="Q707" t="s">
        <v>3044</v>
      </c>
      <c r="R707" t="s">
        <v>444</v>
      </c>
      <c r="S707" t="s">
        <v>313</v>
      </c>
      <c r="T707" t="s">
        <v>3045</v>
      </c>
      <c r="U707" t="s">
        <v>3046</v>
      </c>
      <c r="V707" t="s">
        <v>3047</v>
      </c>
      <c r="W707" t="s">
        <v>7465</v>
      </c>
      <c r="X707" t="s">
        <v>4190</v>
      </c>
      <c r="Y707" t="s">
        <v>93</v>
      </c>
      <c r="Z707" t="s">
        <v>3050</v>
      </c>
      <c r="AA707" t="s">
        <v>5850</v>
      </c>
      <c r="AB707" t="s">
        <v>3052</v>
      </c>
      <c r="AC707" t="s">
        <v>1929</v>
      </c>
      <c r="AD707" t="s">
        <v>3050</v>
      </c>
      <c r="AE707" t="s">
        <v>5850</v>
      </c>
      <c r="AF707" t="s">
        <v>3052</v>
      </c>
      <c r="AG707" t="s">
        <v>1929</v>
      </c>
      <c r="AH707" t="s">
        <v>3054</v>
      </c>
      <c r="AI707" t="s">
        <v>4736</v>
      </c>
      <c r="AJ707" t="s">
        <v>3050</v>
      </c>
      <c r="AK707" t="s">
        <v>99</v>
      </c>
      <c r="AL707" t="s">
        <v>7466</v>
      </c>
      <c r="AM707" t="s">
        <v>7441</v>
      </c>
      <c r="AN707" t="s">
        <v>2555</v>
      </c>
      <c r="AR707" t="s">
        <v>125</v>
      </c>
      <c r="AT707" t="s">
        <v>7467</v>
      </c>
      <c r="AV707" t="s">
        <v>128</v>
      </c>
      <c r="AZ707" t="s">
        <v>80</v>
      </c>
    </row>
    <row r="708" spans="1:52" hidden="1" x14ac:dyDescent="0.25">
      <c r="A708" t="s">
        <v>7468</v>
      </c>
      <c r="B708" t="s">
        <v>7469</v>
      </c>
      <c r="C708" t="s">
        <v>7462</v>
      </c>
      <c r="D708" t="s">
        <v>2544</v>
      </c>
      <c r="E708" t="s">
        <v>7470</v>
      </c>
      <c r="F708" t="s">
        <v>7471</v>
      </c>
      <c r="G708" t="s">
        <v>7471</v>
      </c>
      <c r="J708" t="s">
        <v>80</v>
      </c>
      <c r="K708" t="s">
        <v>110</v>
      </c>
      <c r="L708" t="s">
        <v>111</v>
      </c>
      <c r="M708">
        <v>69486</v>
      </c>
      <c r="N708" t="s">
        <v>7472</v>
      </c>
      <c r="P708" t="s">
        <v>2905</v>
      </c>
      <c r="Q708" t="s">
        <v>3044</v>
      </c>
      <c r="R708" t="s">
        <v>444</v>
      </c>
      <c r="S708" t="s">
        <v>313</v>
      </c>
      <c r="T708" t="s">
        <v>3045</v>
      </c>
      <c r="U708" t="s">
        <v>3046</v>
      </c>
      <c r="V708" t="s">
        <v>3047</v>
      </c>
      <c r="W708" t="s">
        <v>161</v>
      </c>
      <c r="X708" t="s">
        <v>4190</v>
      </c>
      <c r="Y708" t="s">
        <v>93</v>
      </c>
      <c r="Z708" t="s">
        <v>3050</v>
      </c>
      <c r="AA708" t="s">
        <v>6548</v>
      </c>
      <c r="AB708" t="s">
        <v>3052</v>
      </c>
      <c r="AC708" t="s">
        <v>3501</v>
      </c>
      <c r="AD708" t="s">
        <v>3050</v>
      </c>
      <c r="AE708" t="s">
        <v>6548</v>
      </c>
      <c r="AF708" t="s">
        <v>3052</v>
      </c>
      <c r="AG708" t="s">
        <v>3501</v>
      </c>
      <c r="AH708" t="s">
        <v>3054</v>
      </c>
      <c r="AI708" t="s">
        <v>7473</v>
      </c>
      <c r="AJ708" t="s">
        <v>3050</v>
      </c>
      <c r="AK708" t="s">
        <v>99</v>
      </c>
      <c r="AL708" t="s">
        <v>7474</v>
      </c>
      <c r="AM708" t="s">
        <v>7475</v>
      </c>
      <c r="AN708" t="s">
        <v>2555</v>
      </c>
      <c r="AR708" t="s">
        <v>125</v>
      </c>
      <c r="AT708" t="s">
        <v>7476</v>
      </c>
      <c r="AV708" t="s">
        <v>128</v>
      </c>
      <c r="AZ708" t="s">
        <v>80</v>
      </c>
    </row>
    <row r="709" spans="1:52" hidden="1" x14ac:dyDescent="0.25">
      <c r="A709" t="s">
        <v>7477</v>
      </c>
      <c r="B709" t="s">
        <v>3039</v>
      </c>
      <c r="C709" t="s">
        <v>7462</v>
      </c>
      <c r="D709" t="s">
        <v>2544</v>
      </c>
      <c r="E709" t="s">
        <v>7478</v>
      </c>
      <c r="F709" t="s">
        <v>3042</v>
      </c>
      <c r="G709" t="s">
        <v>3042</v>
      </c>
      <c r="J709" t="s">
        <v>80</v>
      </c>
      <c r="K709" t="s">
        <v>110</v>
      </c>
      <c r="L709" t="s">
        <v>111</v>
      </c>
      <c r="M709">
        <v>69484</v>
      </c>
      <c r="N709" t="s">
        <v>3043</v>
      </c>
      <c r="P709" t="s">
        <v>2905</v>
      </c>
      <c r="Q709" t="s">
        <v>3044</v>
      </c>
      <c r="R709" t="s">
        <v>444</v>
      </c>
      <c r="S709" t="s">
        <v>313</v>
      </c>
      <c r="T709" t="s">
        <v>3045</v>
      </c>
      <c r="U709" t="s">
        <v>3046</v>
      </c>
      <c r="V709" t="s">
        <v>3047</v>
      </c>
      <c r="W709" t="s">
        <v>7479</v>
      </c>
      <c r="X709" t="s">
        <v>7480</v>
      </c>
      <c r="Y709" t="s">
        <v>93</v>
      </c>
      <c r="Z709" t="s">
        <v>3050</v>
      </c>
      <c r="AA709" t="s">
        <v>3051</v>
      </c>
      <c r="AB709" t="s">
        <v>3052</v>
      </c>
      <c r="AC709" t="s">
        <v>3053</v>
      </c>
      <c r="AD709" t="s">
        <v>3050</v>
      </c>
      <c r="AE709" t="s">
        <v>3051</v>
      </c>
      <c r="AF709" t="s">
        <v>3052</v>
      </c>
      <c r="AG709" t="s">
        <v>3053</v>
      </c>
      <c r="AH709" t="s">
        <v>3054</v>
      </c>
      <c r="AI709" t="s">
        <v>7481</v>
      </c>
      <c r="AJ709" t="s">
        <v>3050</v>
      </c>
      <c r="AK709" t="s">
        <v>99</v>
      </c>
      <c r="AL709" t="s">
        <v>7482</v>
      </c>
      <c r="AM709" t="s">
        <v>2916</v>
      </c>
      <c r="AN709" t="s">
        <v>2555</v>
      </c>
      <c r="AR709" t="s">
        <v>125</v>
      </c>
      <c r="AT709" t="s">
        <v>7483</v>
      </c>
      <c r="AV709" t="s">
        <v>128</v>
      </c>
      <c r="AZ709" t="s">
        <v>80</v>
      </c>
    </row>
    <row r="710" spans="1:52" hidden="1" x14ac:dyDescent="0.25">
      <c r="A710" t="s">
        <v>7484</v>
      </c>
      <c r="B710" t="s">
        <v>3143</v>
      </c>
      <c r="C710" t="s">
        <v>7485</v>
      </c>
      <c r="D710" t="s">
        <v>2544</v>
      </c>
      <c r="E710" t="s">
        <v>7486</v>
      </c>
      <c r="F710" t="s">
        <v>3146</v>
      </c>
      <c r="G710" t="s">
        <v>3146</v>
      </c>
      <c r="J710" t="s">
        <v>80</v>
      </c>
      <c r="K710" t="s">
        <v>110</v>
      </c>
      <c r="L710" t="s">
        <v>111</v>
      </c>
      <c r="M710">
        <v>69482</v>
      </c>
      <c r="N710" t="s">
        <v>3147</v>
      </c>
      <c r="P710" t="s">
        <v>2905</v>
      </c>
      <c r="Q710" t="s">
        <v>3044</v>
      </c>
      <c r="R710" t="s">
        <v>444</v>
      </c>
      <c r="S710" t="s">
        <v>313</v>
      </c>
      <c r="T710" t="s">
        <v>3045</v>
      </c>
      <c r="U710" t="s">
        <v>3046</v>
      </c>
      <c r="V710" t="s">
        <v>3047</v>
      </c>
      <c r="W710" t="s">
        <v>737</v>
      </c>
      <c r="X710" t="s">
        <v>7480</v>
      </c>
      <c r="Y710" t="s">
        <v>93</v>
      </c>
      <c r="Z710" t="s">
        <v>3050</v>
      </c>
      <c r="AA710" t="s">
        <v>3148</v>
      </c>
      <c r="AB710" t="s">
        <v>3052</v>
      </c>
      <c r="AC710" t="s">
        <v>3149</v>
      </c>
      <c r="AD710" t="s">
        <v>3050</v>
      </c>
      <c r="AE710" t="s">
        <v>3148</v>
      </c>
      <c r="AF710" t="s">
        <v>3052</v>
      </c>
      <c r="AG710" t="s">
        <v>3149</v>
      </c>
      <c r="AH710" t="s">
        <v>3054</v>
      </c>
      <c r="AI710" t="s">
        <v>7487</v>
      </c>
      <c r="AJ710" t="s">
        <v>3050</v>
      </c>
      <c r="AK710" t="s">
        <v>99</v>
      </c>
      <c r="AL710" t="s">
        <v>7488</v>
      </c>
      <c r="AM710" t="s">
        <v>3057</v>
      </c>
      <c r="AN710" t="s">
        <v>2555</v>
      </c>
      <c r="AR710" t="s">
        <v>125</v>
      </c>
      <c r="AT710" t="s">
        <v>7489</v>
      </c>
      <c r="AV710" t="s">
        <v>128</v>
      </c>
      <c r="AZ710" t="s">
        <v>80</v>
      </c>
    </row>
    <row r="711" spans="1:52" hidden="1" x14ac:dyDescent="0.25">
      <c r="A711" t="s">
        <v>7490</v>
      </c>
      <c r="B711" t="s">
        <v>7491</v>
      </c>
      <c r="C711" t="s">
        <v>7492</v>
      </c>
      <c r="D711" t="s">
        <v>7493</v>
      </c>
      <c r="E711" t="s">
        <v>7494</v>
      </c>
      <c r="F711" t="s">
        <v>7494</v>
      </c>
      <c r="G711" t="s">
        <v>7495</v>
      </c>
      <c r="J711" t="s">
        <v>80</v>
      </c>
      <c r="K711" t="s">
        <v>597</v>
      </c>
      <c r="L711" t="s">
        <v>111</v>
      </c>
      <c r="M711" t="s">
        <v>7496</v>
      </c>
      <c r="O711" t="s">
        <v>7497</v>
      </c>
      <c r="P711" t="s">
        <v>134</v>
      </c>
      <c r="Q711" t="s">
        <v>1744</v>
      </c>
      <c r="R711" t="s">
        <v>1550</v>
      </c>
      <c r="S711" t="s">
        <v>774</v>
      </c>
      <c r="T711" t="s">
        <v>7498</v>
      </c>
      <c r="U711" t="s">
        <v>5367</v>
      </c>
      <c r="V711" t="s">
        <v>7499</v>
      </c>
      <c r="W711" t="s">
        <v>697</v>
      </c>
      <c r="X711" t="s">
        <v>7500</v>
      </c>
      <c r="Y711" t="s">
        <v>93</v>
      </c>
      <c r="Z711" t="s">
        <v>119</v>
      </c>
      <c r="AA711" t="s">
        <v>6239</v>
      </c>
      <c r="AB711" t="s">
        <v>1748</v>
      </c>
      <c r="AC711" t="s">
        <v>767</v>
      </c>
      <c r="AD711" t="s">
        <v>119</v>
      </c>
      <c r="AE711" t="s">
        <v>6239</v>
      </c>
      <c r="AF711" t="s">
        <v>1748</v>
      </c>
      <c r="AG711" t="s">
        <v>767</v>
      </c>
      <c r="AI711" t="s">
        <v>7501</v>
      </c>
      <c r="AJ711" t="s">
        <v>119</v>
      </c>
      <c r="AK711" t="s">
        <v>99</v>
      </c>
      <c r="AL711" t="s">
        <v>7502</v>
      </c>
      <c r="AM711" t="s">
        <v>7503</v>
      </c>
      <c r="AR711" t="s">
        <v>125</v>
      </c>
      <c r="AT711" t="s">
        <v>7504</v>
      </c>
      <c r="AV711" t="s">
        <v>190</v>
      </c>
      <c r="AZ711" t="s">
        <v>80</v>
      </c>
    </row>
    <row r="712" spans="1:52" hidden="1" x14ac:dyDescent="0.25">
      <c r="A712" t="s">
        <v>7505</v>
      </c>
      <c r="B712" t="s">
        <v>7506</v>
      </c>
      <c r="C712" t="s">
        <v>7507</v>
      </c>
      <c r="D712" t="s">
        <v>7493</v>
      </c>
      <c r="E712" t="s">
        <v>7508</v>
      </c>
      <c r="F712" t="s">
        <v>7508</v>
      </c>
      <c r="G712" t="s">
        <v>7509</v>
      </c>
      <c r="J712" t="s">
        <v>80</v>
      </c>
      <c r="K712" t="s">
        <v>597</v>
      </c>
      <c r="L712" t="s">
        <v>111</v>
      </c>
      <c r="M712">
        <v>60213</v>
      </c>
      <c r="P712" t="s">
        <v>134</v>
      </c>
      <c r="Q712" t="s">
        <v>85</v>
      </c>
      <c r="R712" t="s">
        <v>86</v>
      </c>
      <c r="S712" t="s">
        <v>87</v>
      </c>
      <c r="T712" t="s">
        <v>7510</v>
      </c>
      <c r="U712" t="s">
        <v>826</v>
      </c>
      <c r="V712" t="s">
        <v>7511</v>
      </c>
      <c r="W712" t="s">
        <v>697</v>
      </c>
      <c r="X712" t="s">
        <v>7512</v>
      </c>
      <c r="Y712" t="s">
        <v>93</v>
      </c>
      <c r="Z712" t="s">
        <v>119</v>
      </c>
      <c r="AA712" t="s">
        <v>2846</v>
      </c>
      <c r="AB712" t="s">
        <v>96</v>
      </c>
      <c r="AC712" t="s">
        <v>2837</v>
      </c>
      <c r="AD712" t="s">
        <v>119</v>
      </c>
      <c r="AE712" t="s">
        <v>2846</v>
      </c>
      <c r="AF712" t="s">
        <v>96</v>
      </c>
      <c r="AG712" t="s">
        <v>2837</v>
      </c>
      <c r="AI712" t="s">
        <v>7513</v>
      </c>
      <c r="AJ712" t="s">
        <v>119</v>
      </c>
      <c r="AK712" t="s">
        <v>99</v>
      </c>
      <c r="AL712" t="s">
        <v>7514</v>
      </c>
      <c r="AM712" t="s">
        <v>7515</v>
      </c>
      <c r="AR712" t="s">
        <v>125</v>
      </c>
      <c r="AT712" t="s">
        <v>7516</v>
      </c>
      <c r="AV712" t="s">
        <v>128</v>
      </c>
      <c r="AZ712" t="s">
        <v>80</v>
      </c>
    </row>
    <row r="713" spans="1:52" hidden="1" x14ac:dyDescent="0.25">
      <c r="A713" t="s">
        <v>7517</v>
      </c>
      <c r="B713" t="s">
        <v>7518</v>
      </c>
      <c r="C713" t="s">
        <v>7519</v>
      </c>
      <c r="D713" t="s">
        <v>7493</v>
      </c>
      <c r="E713" t="s">
        <v>7520</v>
      </c>
      <c r="F713" t="s">
        <v>7520</v>
      </c>
      <c r="G713" t="s">
        <v>7521</v>
      </c>
      <c r="J713" t="s">
        <v>80</v>
      </c>
      <c r="K713" t="s">
        <v>538</v>
      </c>
      <c r="L713" t="s">
        <v>111</v>
      </c>
      <c r="M713">
        <v>69643</v>
      </c>
      <c r="P713" t="s">
        <v>154</v>
      </c>
      <c r="Q713" t="s">
        <v>731</v>
      </c>
      <c r="R713" t="s">
        <v>732</v>
      </c>
      <c r="S713" t="s">
        <v>733</v>
      </c>
      <c r="T713" t="s">
        <v>7522</v>
      </c>
      <c r="U713" t="s">
        <v>7523</v>
      </c>
      <c r="V713" t="s">
        <v>4336</v>
      </c>
      <c r="W713" t="s">
        <v>797</v>
      </c>
      <c r="X713" t="s">
        <v>7524</v>
      </c>
      <c r="Y713" t="s">
        <v>93</v>
      </c>
      <c r="Z713" t="s">
        <v>119</v>
      </c>
      <c r="AA713" t="s">
        <v>2791</v>
      </c>
      <c r="AB713" t="s">
        <v>2048</v>
      </c>
      <c r="AC713" t="s">
        <v>1533</v>
      </c>
      <c r="AD713" t="s">
        <v>119</v>
      </c>
      <c r="AE713" t="s">
        <v>2791</v>
      </c>
      <c r="AF713" t="s">
        <v>2048</v>
      </c>
      <c r="AG713" t="s">
        <v>1533</v>
      </c>
      <c r="AI713" t="s">
        <v>7525</v>
      </c>
      <c r="AJ713" t="s">
        <v>119</v>
      </c>
      <c r="AK713" t="s">
        <v>99</v>
      </c>
      <c r="AL713" t="s">
        <v>7526</v>
      </c>
      <c r="AM713" t="s">
        <v>7527</v>
      </c>
      <c r="AR713" t="s">
        <v>125</v>
      </c>
      <c r="AT713" t="s">
        <v>7528</v>
      </c>
      <c r="AV713" t="s">
        <v>128</v>
      </c>
      <c r="AZ713" t="s">
        <v>80</v>
      </c>
    </row>
    <row r="714" spans="1:52" hidden="1" x14ac:dyDescent="0.25">
      <c r="A714" t="s">
        <v>7529</v>
      </c>
      <c r="B714" t="s">
        <v>7530</v>
      </c>
      <c r="C714" t="s">
        <v>7531</v>
      </c>
      <c r="D714" t="s">
        <v>7493</v>
      </c>
      <c r="E714" t="s">
        <v>7532</v>
      </c>
      <c r="F714" t="s">
        <v>7532</v>
      </c>
      <c r="G714" t="s">
        <v>7533</v>
      </c>
      <c r="J714" t="s">
        <v>80</v>
      </c>
      <c r="K714" t="s">
        <v>538</v>
      </c>
      <c r="L714" t="s">
        <v>111</v>
      </c>
      <c r="M714">
        <v>60221</v>
      </c>
      <c r="O714" t="s">
        <v>7534</v>
      </c>
      <c r="P714" t="s">
        <v>134</v>
      </c>
      <c r="Q714" t="s">
        <v>85</v>
      </c>
      <c r="R714" t="s">
        <v>86</v>
      </c>
      <c r="S714" t="s">
        <v>87</v>
      </c>
      <c r="T714" t="s">
        <v>7535</v>
      </c>
      <c r="U714" t="s">
        <v>1955</v>
      </c>
      <c r="V714" t="s">
        <v>4960</v>
      </c>
      <c r="W714" t="s">
        <v>6254</v>
      </c>
      <c r="X714" t="s">
        <v>7536</v>
      </c>
      <c r="Y714" t="s">
        <v>93</v>
      </c>
      <c r="Z714" t="s">
        <v>119</v>
      </c>
      <c r="AA714" t="s">
        <v>7537</v>
      </c>
      <c r="AB714" t="s">
        <v>7538</v>
      </c>
      <c r="AC714" t="s">
        <v>7539</v>
      </c>
      <c r="AD714" t="s">
        <v>119</v>
      </c>
      <c r="AE714" t="s">
        <v>7537</v>
      </c>
      <c r="AF714" t="s">
        <v>7538</v>
      </c>
      <c r="AG714" t="s">
        <v>7539</v>
      </c>
      <c r="AI714" t="s">
        <v>7540</v>
      </c>
      <c r="AJ714" t="s">
        <v>119</v>
      </c>
      <c r="AK714" t="s">
        <v>99</v>
      </c>
      <c r="AL714" t="s">
        <v>7541</v>
      </c>
      <c r="AM714" t="s">
        <v>7542</v>
      </c>
      <c r="AR714" t="s">
        <v>125</v>
      </c>
      <c r="AT714" t="s">
        <v>7543</v>
      </c>
      <c r="AV714" t="s">
        <v>190</v>
      </c>
      <c r="AZ714" t="s">
        <v>80</v>
      </c>
    </row>
    <row r="715" spans="1:52" hidden="1" x14ac:dyDescent="0.25">
      <c r="A715" t="s">
        <v>7544</v>
      </c>
      <c r="B715" t="s">
        <v>7545</v>
      </c>
      <c r="C715" t="s">
        <v>7531</v>
      </c>
      <c r="D715" t="s">
        <v>7493</v>
      </c>
      <c r="E715" t="s">
        <v>7546</v>
      </c>
      <c r="F715" t="s">
        <v>7546</v>
      </c>
      <c r="G715" t="s">
        <v>7547</v>
      </c>
      <c r="J715" t="s">
        <v>80</v>
      </c>
      <c r="K715" t="s">
        <v>538</v>
      </c>
      <c r="L715" t="s">
        <v>111</v>
      </c>
      <c r="M715">
        <v>60219</v>
      </c>
      <c r="P715" t="s">
        <v>134</v>
      </c>
      <c r="Q715" t="s">
        <v>85</v>
      </c>
      <c r="R715" t="s">
        <v>86</v>
      </c>
      <c r="S715" t="s">
        <v>87</v>
      </c>
      <c r="T715" t="s">
        <v>7510</v>
      </c>
      <c r="U715" t="s">
        <v>4336</v>
      </c>
      <c r="V715" t="s">
        <v>7548</v>
      </c>
      <c r="W715" t="s">
        <v>161</v>
      </c>
      <c r="X715" t="s">
        <v>7549</v>
      </c>
      <c r="Y715" t="s">
        <v>93</v>
      </c>
      <c r="Z715" t="s">
        <v>119</v>
      </c>
      <c r="AA715" t="s">
        <v>3602</v>
      </c>
      <c r="AB715" t="s">
        <v>96</v>
      </c>
      <c r="AC715" t="s">
        <v>7550</v>
      </c>
      <c r="AD715" t="s">
        <v>119</v>
      </c>
      <c r="AE715" t="s">
        <v>3602</v>
      </c>
      <c r="AF715" t="s">
        <v>96</v>
      </c>
      <c r="AG715" t="s">
        <v>7550</v>
      </c>
      <c r="AI715" t="s">
        <v>2460</v>
      </c>
      <c r="AJ715" t="s">
        <v>119</v>
      </c>
      <c r="AK715" t="s">
        <v>99</v>
      </c>
      <c r="AL715" t="s">
        <v>7551</v>
      </c>
      <c r="AM715" t="s">
        <v>7542</v>
      </c>
      <c r="AR715" t="s">
        <v>125</v>
      </c>
      <c r="AT715" t="s">
        <v>7552</v>
      </c>
      <c r="AV715" t="s">
        <v>128</v>
      </c>
      <c r="AZ715" t="s">
        <v>80</v>
      </c>
    </row>
    <row r="716" spans="1:52" hidden="1" x14ac:dyDescent="0.25">
      <c r="A716" t="s">
        <v>7553</v>
      </c>
      <c r="B716" t="s">
        <v>7554</v>
      </c>
      <c r="C716" t="s">
        <v>7531</v>
      </c>
      <c r="D716" t="s">
        <v>7493</v>
      </c>
      <c r="E716" t="s">
        <v>7555</v>
      </c>
      <c r="F716" t="s">
        <v>7555</v>
      </c>
      <c r="G716" t="s">
        <v>7556</v>
      </c>
      <c r="J716" t="s">
        <v>80</v>
      </c>
      <c r="K716" t="s">
        <v>538</v>
      </c>
      <c r="L716" t="s">
        <v>111</v>
      </c>
      <c r="M716">
        <v>60217</v>
      </c>
      <c r="P716" t="s">
        <v>134</v>
      </c>
      <c r="Q716" t="s">
        <v>85</v>
      </c>
      <c r="R716" t="s">
        <v>86</v>
      </c>
      <c r="S716" t="s">
        <v>87</v>
      </c>
      <c r="T716" t="s">
        <v>7557</v>
      </c>
      <c r="U716" t="s">
        <v>7558</v>
      </c>
      <c r="V716" t="s">
        <v>2907</v>
      </c>
      <c r="W716" t="s">
        <v>161</v>
      </c>
      <c r="X716" t="s">
        <v>7559</v>
      </c>
      <c r="Y716" t="s">
        <v>93</v>
      </c>
      <c r="Z716" t="s">
        <v>119</v>
      </c>
      <c r="AA716" t="s">
        <v>4306</v>
      </c>
      <c r="AB716" t="s">
        <v>2003</v>
      </c>
      <c r="AC716" t="s">
        <v>6536</v>
      </c>
      <c r="AD716" t="s">
        <v>119</v>
      </c>
      <c r="AE716" t="s">
        <v>4306</v>
      </c>
      <c r="AF716" t="s">
        <v>2003</v>
      </c>
      <c r="AG716" t="s">
        <v>6536</v>
      </c>
      <c r="AI716" t="s">
        <v>4004</v>
      </c>
      <c r="AJ716" t="s">
        <v>119</v>
      </c>
      <c r="AK716" t="s">
        <v>99</v>
      </c>
      <c r="AL716" t="s">
        <v>7560</v>
      </c>
      <c r="AM716" t="s">
        <v>7542</v>
      </c>
      <c r="AR716" t="s">
        <v>125</v>
      </c>
      <c r="AT716" t="s">
        <v>7561</v>
      </c>
      <c r="AV716" t="s">
        <v>128</v>
      </c>
      <c r="AZ716" t="s">
        <v>80</v>
      </c>
    </row>
    <row r="717" spans="1:52" hidden="1" x14ac:dyDescent="0.25">
      <c r="A717" t="s">
        <v>7562</v>
      </c>
      <c r="B717" t="s">
        <v>7563</v>
      </c>
      <c r="C717" t="s">
        <v>7564</v>
      </c>
      <c r="D717" t="s">
        <v>7493</v>
      </c>
      <c r="E717" t="s">
        <v>7565</v>
      </c>
      <c r="F717" t="s">
        <v>7565</v>
      </c>
      <c r="G717" t="s">
        <v>7566</v>
      </c>
      <c r="J717" t="s">
        <v>80</v>
      </c>
      <c r="K717" t="s">
        <v>538</v>
      </c>
      <c r="L717" t="s">
        <v>111</v>
      </c>
      <c r="M717">
        <v>60215</v>
      </c>
      <c r="P717" t="s">
        <v>134</v>
      </c>
      <c r="Q717" t="s">
        <v>85</v>
      </c>
      <c r="R717" t="s">
        <v>86</v>
      </c>
      <c r="S717" t="s">
        <v>87</v>
      </c>
      <c r="T717" t="s">
        <v>7510</v>
      </c>
      <c r="U717" t="s">
        <v>7567</v>
      </c>
      <c r="V717" t="s">
        <v>7548</v>
      </c>
      <c r="W717" t="s">
        <v>161</v>
      </c>
      <c r="X717" t="s">
        <v>7549</v>
      </c>
      <c r="Y717" t="s">
        <v>93</v>
      </c>
      <c r="Z717" t="s">
        <v>119</v>
      </c>
      <c r="AA717" t="s">
        <v>4327</v>
      </c>
      <c r="AB717" t="s">
        <v>96</v>
      </c>
      <c r="AC717" t="s">
        <v>7136</v>
      </c>
      <c r="AD717" t="s">
        <v>119</v>
      </c>
      <c r="AE717" t="s">
        <v>4327</v>
      </c>
      <c r="AF717" t="s">
        <v>96</v>
      </c>
      <c r="AG717" t="s">
        <v>7136</v>
      </c>
      <c r="AI717" t="s">
        <v>7568</v>
      </c>
      <c r="AJ717" t="s">
        <v>119</v>
      </c>
      <c r="AK717" t="s">
        <v>99</v>
      </c>
      <c r="AL717" t="s">
        <v>7569</v>
      </c>
      <c r="AM717" t="s">
        <v>7570</v>
      </c>
      <c r="AR717" t="s">
        <v>125</v>
      </c>
      <c r="AT717" t="s">
        <v>7571</v>
      </c>
      <c r="AV717" t="s">
        <v>128</v>
      </c>
      <c r="AZ717" t="s">
        <v>80</v>
      </c>
    </row>
    <row r="718" spans="1:52" hidden="1" x14ac:dyDescent="0.25">
      <c r="A718" t="s">
        <v>7572</v>
      </c>
      <c r="B718" t="s">
        <v>7573</v>
      </c>
      <c r="C718" t="s">
        <v>7564</v>
      </c>
      <c r="D718" t="s">
        <v>7493</v>
      </c>
      <c r="E718" t="s">
        <v>7574</v>
      </c>
      <c r="F718" t="s">
        <v>7574</v>
      </c>
      <c r="G718" t="s">
        <v>7575</v>
      </c>
      <c r="J718" t="s">
        <v>80</v>
      </c>
      <c r="K718" t="s">
        <v>538</v>
      </c>
      <c r="L718" t="s">
        <v>111</v>
      </c>
      <c r="M718">
        <v>60213</v>
      </c>
      <c r="P718" t="s">
        <v>134</v>
      </c>
      <c r="Q718" t="s">
        <v>85</v>
      </c>
      <c r="R718" t="s">
        <v>86</v>
      </c>
      <c r="S718" t="s">
        <v>87</v>
      </c>
      <c r="T718" t="s">
        <v>7510</v>
      </c>
      <c r="U718" t="s">
        <v>826</v>
      </c>
      <c r="V718" t="s">
        <v>7511</v>
      </c>
      <c r="W718" t="s">
        <v>797</v>
      </c>
      <c r="X718" t="s">
        <v>7576</v>
      </c>
      <c r="Y718" t="s">
        <v>93</v>
      </c>
      <c r="Z718" t="s">
        <v>119</v>
      </c>
      <c r="AA718" t="s">
        <v>2846</v>
      </c>
      <c r="AB718" t="s">
        <v>96</v>
      </c>
      <c r="AC718" t="s">
        <v>2837</v>
      </c>
      <c r="AD718" t="s">
        <v>119</v>
      </c>
      <c r="AE718" t="s">
        <v>2846</v>
      </c>
      <c r="AF718" t="s">
        <v>96</v>
      </c>
      <c r="AG718" t="s">
        <v>2837</v>
      </c>
      <c r="AI718" t="s">
        <v>7513</v>
      </c>
      <c r="AJ718" t="s">
        <v>119</v>
      </c>
      <c r="AK718" t="s">
        <v>99</v>
      </c>
      <c r="AL718" t="s">
        <v>7577</v>
      </c>
      <c r="AM718" t="s">
        <v>7570</v>
      </c>
      <c r="AR718" t="s">
        <v>125</v>
      </c>
      <c r="AT718" t="s">
        <v>7578</v>
      </c>
      <c r="AV718" t="s">
        <v>128</v>
      </c>
      <c r="AZ718" t="s">
        <v>80</v>
      </c>
    </row>
    <row r="719" spans="1:52" hidden="1" x14ac:dyDescent="0.25">
      <c r="A719" t="s">
        <v>7579</v>
      </c>
      <c r="B719" t="s">
        <v>7580</v>
      </c>
      <c r="C719" t="s">
        <v>7564</v>
      </c>
      <c r="D719" t="s">
        <v>7493</v>
      </c>
      <c r="E719" t="s">
        <v>7581</v>
      </c>
      <c r="F719" t="s">
        <v>7581</v>
      </c>
      <c r="G719" t="s">
        <v>7582</v>
      </c>
      <c r="J719" t="s">
        <v>80</v>
      </c>
      <c r="K719" t="s">
        <v>538</v>
      </c>
      <c r="L719" t="s">
        <v>111</v>
      </c>
      <c r="M719">
        <v>60258</v>
      </c>
      <c r="P719" t="s">
        <v>134</v>
      </c>
      <c r="Q719" t="s">
        <v>85</v>
      </c>
      <c r="R719" t="s">
        <v>86</v>
      </c>
      <c r="S719" t="s">
        <v>87</v>
      </c>
      <c r="T719" t="s">
        <v>7510</v>
      </c>
      <c r="U719" t="s">
        <v>582</v>
      </c>
      <c r="V719" t="s">
        <v>4811</v>
      </c>
      <c r="W719" t="s">
        <v>161</v>
      </c>
      <c r="X719" t="s">
        <v>7549</v>
      </c>
      <c r="Y719" t="s">
        <v>93</v>
      </c>
      <c r="Z719" t="s">
        <v>96</v>
      </c>
      <c r="AA719" t="s">
        <v>7583</v>
      </c>
      <c r="AB719" t="s">
        <v>119</v>
      </c>
      <c r="AC719" t="s">
        <v>7584</v>
      </c>
      <c r="AD719" t="s">
        <v>96</v>
      </c>
      <c r="AE719" t="s">
        <v>7583</v>
      </c>
      <c r="AF719" t="s">
        <v>119</v>
      </c>
      <c r="AG719" t="s">
        <v>7584</v>
      </c>
      <c r="AI719" t="s">
        <v>4317</v>
      </c>
      <c r="AJ719" t="s">
        <v>96</v>
      </c>
      <c r="AK719" t="s">
        <v>99</v>
      </c>
      <c r="AL719" t="s">
        <v>7585</v>
      </c>
      <c r="AM719" t="s">
        <v>7586</v>
      </c>
      <c r="AR719" t="s">
        <v>125</v>
      </c>
      <c r="AT719" t="s">
        <v>7587</v>
      </c>
      <c r="AV719" t="s">
        <v>128</v>
      </c>
      <c r="AZ719" t="s">
        <v>80</v>
      </c>
    </row>
    <row r="720" spans="1:52" hidden="1" x14ac:dyDescent="0.25">
      <c r="A720" t="s">
        <v>7588</v>
      </c>
      <c r="B720" t="s">
        <v>7589</v>
      </c>
      <c r="C720" t="s">
        <v>7590</v>
      </c>
      <c r="D720" t="s">
        <v>7493</v>
      </c>
      <c r="E720" t="s">
        <v>7591</v>
      </c>
      <c r="F720" t="s">
        <v>7591</v>
      </c>
      <c r="G720" t="s">
        <v>7592</v>
      </c>
      <c r="J720" t="s">
        <v>80</v>
      </c>
      <c r="K720" t="s">
        <v>538</v>
      </c>
      <c r="L720" t="s">
        <v>111</v>
      </c>
      <c r="M720">
        <v>60207</v>
      </c>
      <c r="P720" t="s">
        <v>134</v>
      </c>
      <c r="Q720" t="s">
        <v>85</v>
      </c>
      <c r="R720" t="s">
        <v>86</v>
      </c>
      <c r="S720" t="s">
        <v>87</v>
      </c>
      <c r="T720" t="s">
        <v>7510</v>
      </c>
      <c r="U720" t="s">
        <v>2808</v>
      </c>
      <c r="V720" t="s">
        <v>7511</v>
      </c>
      <c r="W720" t="s">
        <v>161</v>
      </c>
      <c r="X720" t="s">
        <v>7549</v>
      </c>
      <c r="Y720" t="s">
        <v>93</v>
      </c>
      <c r="Z720" t="s">
        <v>119</v>
      </c>
      <c r="AA720" t="s">
        <v>2872</v>
      </c>
      <c r="AB720" t="s">
        <v>96</v>
      </c>
      <c r="AC720" t="s">
        <v>7593</v>
      </c>
      <c r="AD720" t="s">
        <v>119</v>
      </c>
      <c r="AE720" t="s">
        <v>2872</v>
      </c>
      <c r="AF720" t="s">
        <v>96</v>
      </c>
      <c r="AG720" t="s">
        <v>7593</v>
      </c>
      <c r="AI720" t="s">
        <v>3813</v>
      </c>
      <c r="AJ720" t="s">
        <v>119</v>
      </c>
      <c r="AK720" t="s">
        <v>99</v>
      </c>
      <c r="AL720" t="s">
        <v>7594</v>
      </c>
      <c r="AM720" t="s">
        <v>7586</v>
      </c>
      <c r="AR720" t="s">
        <v>125</v>
      </c>
      <c r="AT720" t="s">
        <v>7595</v>
      </c>
      <c r="AV720" t="s">
        <v>128</v>
      </c>
      <c r="AZ720" t="s">
        <v>80</v>
      </c>
    </row>
    <row r="721" spans="1:52" hidden="1" x14ac:dyDescent="0.25">
      <c r="A721" t="s">
        <v>7596</v>
      </c>
      <c r="B721" t="s">
        <v>7597</v>
      </c>
      <c r="C721" t="s">
        <v>7590</v>
      </c>
      <c r="D721" t="s">
        <v>7493</v>
      </c>
      <c r="E721" t="s">
        <v>7598</v>
      </c>
      <c r="F721" t="s">
        <v>7598</v>
      </c>
      <c r="G721" t="s">
        <v>7599</v>
      </c>
      <c r="J721" t="s">
        <v>80</v>
      </c>
      <c r="K721" t="s">
        <v>538</v>
      </c>
      <c r="L721" t="s">
        <v>111</v>
      </c>
      <c r="M721">
        <v>60256</v>
      </c>
      <c r="O721" t="s">
        <v>7600</v>
      </c>
      <c r="P721" t="s">
        <v>134</v>
      </c>
      <c r="Q721" t="s">
        <v>2687</v>
      </c>
      <c r="R721" t="s">
        <v>1441</v>
      </c>
      <c r="S721" t="s">
        <v>748</v>
      </c>
      <c r="T721" t="s">
        <v>7510</v>
      </c>
      <c r="U721" t="s">
        <v>7601</v>
      </c>
      <c r="V721" t="s">
        <v>2689</v>
      </c>
      <c r="W721" t="s">
        <v>7602</v>
      </c>
      <c r="X721" t="s">
        <v>7512</v>
      </c>
      <c r="Y721" t="s">
        <v>93</v>
      </c>
      <c r="Z721" t="s">
        <v>96</v>
      </c>
      <c r="AA721" t="s">
        <v>4305</v>
      </c>
      <c r="AB721" t="s">
        <v>119</v>
      </c>
      <c r="AC721" t="s">
        <v>7603</v>
      </c>
      <c r="AD721" t="s">
        <v>96</v>
      </c>
      <c r="AE721" t="s">
        <v>4305</v>
      </c>
      <c r="AF721" t="s">
        <v>119</v>
      </c>
      <c r="AG721" t="s">
        <v>7603</v>
      </c>
      <c r="AI721" t="s">
        <v>7604</v>
      </c>
      <c r="AJ721" t="s">
        <v>96</v>
      </c>
      <c r="AK721" t="s">
        <v>99</v>
      </c>
      <c r="AL721" t="s">
        <v>7605</v>
      </c>
      <c r="AM721" t="s">
        <v>7606</v>
      </c>
      <c r="AR721" t="s">
        <v>125</v>
      </c>
      <c r="AT721" t="s">
        <v>7607</v>
      </c>
      <c r="AV721" t="s">
        <v>190</v>
      </c>
      <c r="AZ721" t="s">
        <v>80</v>
      </c>
    </row>
    <row r="722" spans="1:52" hidden="1" x14ac:dyDescent="0.25">
      <c r="A722" t="s">
        <v>7608</v>
      </c>
      <c r="B722" t="s">
        <v>7609</v>
      </c>
      <c r="C722" t="s">
        <v>7590</v>
      </c>
      <c r="D722" t="s">
        <v>7493</v>
      </c>
      <c r="E722" t="s">
        <v>7610</v>
      </c>
      <c r="F722" t="s">
        <v>7610</v>
      </c>
      <c r="G722" t="s">
        <v>7611</v>
      </c>
      <c r="J722" t="s">
        <v>80</v>
      </c>
      <c r="K722" t="s">
        <v>538</v>
      </c>
      <c r="L722" t="s">
        <v>111</v>
      </c>
      <c r="M722">
        <v>60254</v>
      </c>
      <c r="P722" t="s">
        <v>134</v>
      </c>
      <c r="Q722" t="s">
        <v>85</v>
      </c>
      <c r="R722" t="s">
        <v>86</v>
      </c>
      <c r="S722" t="s">
        <v>87</v>
      </c>
      <c r="T722" t="s">
        <v>7510</v>
      </c>
      <c r="U722" t="s">
        <v>582</v>
      </c>
      <c r="V722" t="s">
        <v>4811</v>
      </c>
      <c r="W722" t="s">
        <v>797</v>
      </c>
      <c r="X722" t="s">
        <v>7576</v>
      </c>
      <c r="Y722" t="s">
        <v>93</v>
      </c>
      <c r="Z722" t="s">
        <v>96</v>
      </c>
      <c r="AA722" t="s">
        <v>7612</v>
      </c>
      <c r="AB722" t="s">
        <v>119</v>
      </c>
      <c r="AC722" t="s">
        <v>5838</v>
      </c>
      <c r="AD722" t="s">
        <v>96</v>
      </c>
      <c r="AE722" t="s">
        <v>7612</v>
      </c>
      <c r="AF722" t="s">
        <v>119</v>
      </c>
      <c r="AG722" t="s">
        <v>5838</v>
      </c>
      <c r="AI722" t="s">
        <v>7613</v>
      </c>
      <c r="AJ722" t="s">
        <v>96</v>
      </c>
      <c r="AK722" t="s">
        <v>99</v>
      </c>
      <c r="AL722" t="s">
        <v>7614</v>
      </c>
      <c r="AM722" t="s">
        <v>7606</v>
      </c>
      <c r="AR722" t="s">
        <v>125</v>
      </c>
      <c r="AT722" t="s">
        <v>7615</v>
      </c>
      <c r="AV722" t="s">
        <v>128</v>
      </c>
      <c r="AZ722" t="s">
        <v>80</v>
      </c>
    </row>
    <row r="723" spans="1:52" hidden="1" x14ac:dyDescent="0.25">
      <c r="A723" t="s">
        <v>7616</v>
      </c>
      <c r="B723" t="s">
        <v>7617</v>
      </c>
      <c r="C723" t="s">
        <v>7590</v>
      </c>
      <c r="D723" t="s">
        <v>7493</v>
      </c>
      <c r="E723" t="s">
        <v>7618</v>
      </c>
      <c r="F723" t="s">
        <v>7618</v>
      </c>
      <c r="G723" t="s">
        <v>7619</v>
      </c>
      <c r="J723" t="s">
        <v>80</v>
      </c>
      <c r="K723" t="s">
        <v>538</v>
      </c>
      <c r="L723" t="s">
        <v>111</v>
      </c>
      <c r="M723">
        <v>60203</v>
      </c>
      <c r="O723" t="s">
        <v>83</v>
      </c>
      <c r="P723" t="s">
        <v>134</v>
      </c>
      <c r="Q723" t="s">
        <v>85</v>
      </c>
      <c r="R723" t="s">
        <v>86</v>
      </c>
      <c r="S723" t="s">
        <v>87</v>
      </c>
      <c r="T723" t="s">
        <v>7510</v>
      </c>
      <c r="U723" t="s">
        <v>1448</v>
      </c>
      <c r="V723" t="s">
        <v>5117</v>
      </c>
      <c r="W723" t="s">
        <v>7620</v>
      </c>
      <c r="X723" t="s">
        <v>7621</v>
      </c>
      <c r="Y723" t="s">
        <v>93</v>
      </c>
      <c r="Z723" t="s">
        <v>119</v>
      </c>
      <c r="AA723" t="s">
        <v>1723</v>
      </c>
      <c r="AB723" t="s">
        <v>96</v>
      </c>
      <c r="AC723" t="s">
        <v>97</v>
      </c>
      <c r="AD723" t="s">
        <v>119</v>
      </c>
      <c r="AE723" t="s">
        <v>1723</v>
      </c>
      <c r="AF723" t="s">
        <v>96</v>
      </c>
      <c r="AG723" t="s">
        <v>97</v>
      </c>
      <c r="AI723" t="s">
        <v>7622</v>
      </c>
      <c r="AJ723" t="s">
        <v>119</v>
      </c>
      <c r="AK723" t="s">
        <v>99</v>
      </c>
      <c r="AL723" t="s">
        <v>7623</v>
      </c>
      <c r="AM723" t="s">
        <v>7624</v>
      </c>
      <c r="AR723" t="s">
        <v>125</v>
      </c>
      <c r="AT723" t="s">
        <v>7625</v>
      </c>
      <c r="AV723" t="s">
        <v>190</v>
      </c>
      <c r="AZ723" t="s">
        <v>80</v>
      </c>
    </row>
    <row r="724" spans="1:52" hidden="1" x14ac:dyDescent="0.25">
      <c r="A724" t="s">
        <v>7626</v>
      </c>
      <c r="B724" t="s">
        <v>7627</v>
      </c>
      <c r="C724" t="s">
        <v>7628</v>
      </c>
      <c r="D724" t="s">
        <v>7493</v>
      </c>
      <c r="E724" t="s">
        <v>7629</v>
      </c>
      <c r="F724" t="s">
        <v>7629</v>
      </c>
      <c r="G724" t="s">
        <v>7630</v>
      </c>
      <c r="J724" t="s">
        <v>80</v>
      </c>
      <c r="K724" t="s">
        <v>538</v>
      </c>
      <c r="L724" t="s">
        <v>111</v>
      </c>
      <c r="M724">
        <v>60250</v>
      </c>
      <c r="P724" t="s">
        <v>134</v>
      </c>
      <c r="Q724" t="s">
        <v>85</v>
      </c>
      <c r="R724" t="s">
        <v>86</v>
      </c>
      <c r="S724" t="s">
        <v>87</v>
      </c>
      <c r="T724" t="s">
        <v>7510</v>
      </c>
      <c r="U724" t="s">
        <v>7631</v>
      </c>
      <c r="V724" t="s">
        <v>245</v>
      </c>
      <c r="W724" t="s">
        <v>161</v>
      </c>
      <c r="X724" t="s">
        <v>7549</v>
      </c>
      <c r="Y724" t="s">
        <v>93</v>
      </c>
      <c r="Z724" t="s">
        <v>96</v>
      </c>
      <c r="AA724" t="s">
        <v>3445</v>
      </c>
      <c r="AB724" t="s">
        <v>119</v>
      </c>
      <c r="AC724" t="s">
        <v>7632</v>
      </c>
      <c r="AD724" t="s">
        <v>96</v>
      </c>
      <c r="AE724" t="s">
        <v>3445</v>
      </c>
      <c r="AF724" t="s">
        <v>119</v>
      </c>
      <c r="AG724" t="s">
        <v>7632</v>
      </c>
      <c r="AI724" t="s">
        <v>7304</v>
      </c>
      <c r="AJ724" t="s">
        <v>96</v>
      </c>
      <c r="AK724" t="s">
        <v>99</v>
      </c>
      <c r="AL724" t="s">
        <v>7633</v>
      </c>
      <c r="AM724" t="s">
        <v>7624</v>
      </c>
      <c r="AR724" t="s">
        <v>125</v>
      </c>
      <c r="AT724" t="s">
        <v>7634</v>
      </c>
      <c r="AV724" t="s">
        <v>128</v>
      </c>
      <c r="AZ724" t="s">
        <v>80</v>
      </c>
    </row>
    <row r="725" spans="1:52" hidden="1" x14ac:dyDescent="0.25">
      <c r="A725" t="s">
        <v>7635</v>
      </c>
      <c r="B725" t="s">
        <v>7636</v>
      </c>
      <c r="C725" t="s">
        <v>7628</v>
      </c>
      <c r="D725" t="s">
        <v>7493</v>
      </c>
      <c r="E725" t="s">
        <v>7637</v>
      </c>
      <c r="F725" t="s">
        <v>7637</v>
      </c>
      <c r="G725" t="s">
        <v>7638</v>
      </c>
      <c r="J725" t="s">
        <v>80</v>
      </c>
      <c r="K725" t="s">
        <v>538</v>
      </c>
      <c r="L725" t="s">
        <v>111</v>
      </c>
      <c r="M725">
        <v>60246</v>
      </c>
      <c r="P725" t="s">
        <v>134</v>
      </c>
      <c r="Q725" t="s">
        <v>85</v>
      </c>
      <c r="R725" t="s">
        <v>86</v>
      </c>
      <c r="S725" t="s">
        <v>87</v>
      </c>
      <c r="T725" t="s">
        <v>7510</v>
      </c>
      <c r="U725" t="s">
        <v>582</v>
      </c>
      <c r="V725" t="s">
        <v>4811</v>
      </c>
      <c r="W725" t="s">
        <v>161</v>
      </c>
      <c r="X725" t="s">
        <v>7549</v>
      </c>
      <c r="Y725" t="s">
        <v>93</v>
      </c>
      <c r="Z725" t="s">
        <v>96</v>
      </c>
      <c r="AA725" t="s">
        <v>3430</v>
      </c>
      <c r="AB725" t="s">
        <v>119</v>
      </c>
      <c r="AC725" t="s">
        <v>7639</v>
      </c>
      <c r="AD725" t="s">
        <v>96</v>
      </c>
      <c r="AE725" t="s">
        <v>3430</v>
      </c>
      <c r="AF725" t="s">
        <v>119</v>
      </c>
      <c r="AG725" t="s">
        <v>7639</v>
      </c>
      <c r="AI725" t="s">
        <v>3431</v>
      </c>
      <c r="AJ725" t="s">
        <v>96</v>
      </c>
      <c r="AK725" t="s">
        <v>99</v>
      </c>
      <c r="AL725" t="s">
        <v>7640</v>
      </c>
      <c r="AM725" t="s">
        <v>7641</v>
      </c>
      <c r="AR725" t="s">
        <v>125</v>
      </c>
      <c r="AT725" t="s">
        <v>7642</v>
      </c>
      <c r="AV725" t="s">
        <v>128</v>
      </c>
      <c r="AZ725" t="s">
        <v>80</v>
      </c>
    </row>
    <row r="726" spans="1:52" hidden="1" x14ac:dyDescent="0.25">
      <c r="A726" t="s">
        <v>7643</v>
      </c>
      <c r="B726" t="s">
        <v>7644</v>
      </c>
      <c r="C726" t="s">
        <v>7628</v>
      </c>
      <c r="D726" t="s">
        <v>7493</v>
      </c>
      <c r="E726" t="s">
        <v>7645</v>
      </c>
      <c r="F726" t="s">
        <v>7645</v>
      </c>
      <c r="G726" t="s">
        <v>7646</v>
      </c>
      <c r="J726" t="s">
        <v>80</v>
      </c>
      <c r="K726" t="s">
        <v>538</v>
      </c>
      <c r="L726" t="s">
        <v>111</v>
      </c>
      <c r="M726">
        <v>60244</v>
      </c>
      <c r="O726" t="s">
        <v>7534</v>
      </c>
      <c r="P726" t="s">
        <v>134</v>
      </c>
      <c r="Q726" t="s">
        <v>85</v>
      </c>
      <c r="R726" t="s">
        <v>86</v>
      </c>
      <c r="S726" t="s">
        <v>87</v>
      </c>
      <c r="T726" t="s">
        <v>7510</v>
      </c>
      <c r="U726" t="s">
        <v>7647</v>
      </c>
      <c r="V726" t="s">
        <v>321</v>
      </c>
      <c r="W726" t="s">
        <v>161</v>
      </c>
      <c r="X726" t="s">
        <v>7549</v>
      </c>
      <c r="Y726" t="s">
        <v>93</v>
      </c>
      <c r="Z726" t="s">
        <v>96</v>
      </c>
      <c r="AA726" t="s">
        <v>3226</v>
      </c>
      <c r="AB726" t="s">
        <v>119</v>
      </c>
      <c r="AC726" t="s">
        <v>3413</v>
      </c>
      <c r="AD726" t="s">
        <v>96</v>
      </c>
      <c r="AE726" t="s">
        <v>3226</v>
      </c>
      <c r="AF726" t="s">
        <v>119</v>
      </c>
      <c r="AG726" t="s">
        <v>3413</v>
      </c>
      <c r="AI726" t="s">
        <v>3355</v>
      </c>
      <c r="AJ726" t="s">
        <v>96</v>
      </c>
      <c r="AK726" t="s">
        <v>99</v>
      </c>
      <c r="AL726" t="s">
        <v>7648</v>
      </c>
      <c r="AM726" t="s">
        <v>7649</v>
      </c>
      <c r="AR726" t="s">
        <v>125</v>
      </c>
      <c r="AT726" t="s">
        <v>7650</v>
      </c>
      <c r="AV726" t="s">
        <v>190</v>
      </c>
      <c r="AZ726" t="s">
        <v>80</v>
      </c>
    </row>
    <row r="727" spans="1:52" hidden="1" x14ac:dyDescent="0.25">
      <c r="A727" t="s">
        <v>7651</v>
      </c>
      <c r="B727" t="s">
        <v>7652</v>
      </c>
      <c r="C727" t="s">
        <v>7653</v>
      </c>
      <c r="D727" t="s">
        <v>7493</v>
      </c>
      <c r="E727" t="s">
        <v>7654</v>
      </c>
      <c r="F727" t="s">
        <v>7654</v>
      </c>
      <c r="G727" t="s">
        <v>7655</v>
      </c>
      <c r="J727" t="s">
        <v>80</v>
      </c>
      <c r="K727" t="s">
        <v>538</v>
      </c>
      <c r="L727" t="s">
        <v>111</v>
      </c>
      <c r="M727">
        <v>60242</v>
      </c>
      <c r="P727" t="s">
        <v>134</v>
      </c>
      <c r="Q727" t="s">
        <v>85</v>
      </c>
      <c r="R727" t="s">
        <v>86</v>
      </c>
      <c r="S727" t="s">
        <v>87</v>
      </c>
      <c r="T727" t="s">
        <v>7557</v>
      </c>
      <c r="U727" t="s">
        <v>796</v>
      </c>
      <c r="V727" t="s">
        <v>7656</v>
      </c>
      <c r="W727" t="s">
        <v>161</v>
      </c>
      <c r="X727" t="s">
        <v>7559</v>
      </c>
      <c r="Y727" t="s">
        <v>93</v>
      </c>
      <c r="Z727" t="s">
        <v>2003</v>
      </c>
      <c r="AA727" t="s">
        <v>4123</v>
      </c>
      <c r="AB727" t="s">
        <v>119</v>
      </c>
      <c r="AC727" t="s">
        <v>7657</v>
      </c>
      <c r="AD727" t="s">
        <v>2003</v>
      </c>
      <c r="AE727" t="s">
        <v>4123</v>
      </c>
      <c r="AF727" t="s">
        <v>119</v>
      </c>
      <c r="AG727" t="s">
        <v>7657</v>
      </c>
      <c r="AI727" t="s">
        <v>5663</v>
      </c>
      <c r="AJ727" t="s">
        <v>2003</v>
      </c>
      <c r="AK727" t="s">
        <v>99</v>
      </c>
      <c r="AL727" t="s">
        <v>7658</v>
      </c>
      <c r="AM727" t="s">
        <v>7659</v>
      </c>
      <c r="AR727" t="s">
        <v>125</v>
      </c>
      <c r="AT727" t="s">
        <v>7660</v>
      </c>
      <c r="AV727" t="s">
        <v>128</v>
      </c>
      <c r="AZ727" t="s">
        <v>80</v>
      </c>
    </row>
    <row r="728" spans="1:52" hidden="1" x14ac:dyDescent="0.25">
      <c r="A728" t="s">
        <v>7661</v>
      </c>
      <c r="B728" t="s">
        <v>7662</v>
      </c>
      <c r="C728" t="s">
        <v>7653</v>
      </c>
      <c r="D728" t="s">
        <v>7493</v>
      </c>
      <c r="E728" t="s">
        <v>7663</v>
      </c>
      <c r="F728" t="s">
        <v>7663</v>
      </c>
      <c r="G728" t="s">
        <v>7664</v>
      </c>
      <c r="J728" t="s">
        <v>80</v>
      </c>
      <c r="K728" t="s">
        <v>538</v>
      </c>
      <c r="L728" t="s">
        <v>111</v>
      </c>
      <c r="M728">
        <v>60201</v>
      </c>
      <c r="P728" t="s">
        <v>134</v>
      </c>
      <c r="Q728" t="s">
        <v>85</v>
      </c>
      <c r="R728" t="s">
        <v>86</v>
      </c>
      <c r="S728" t="s">
        <v>87</v>
      </c>
      <c r="T728" t="s">
        <v>7510</v>
      </c>
      <c r="U728" t="s">
        <v>4336</v>
      </c>
      <c r="V728" t="s">
        <v>7203</v>
      </c>
      <c r="W728" t="s">
        <v>161</v>
      </c>
      <c r="X728" t="s">
        <v>7549</v>
      </c>
      <c r="Y728" t="s">
        <v>93</v>
      </c>
      <c r="Z728" t="s">
        <v>119</v>
      </c>
      <c r="AA728" t="s">
        <v>1272</v>
      </c>
      <c r="AB728" t="s">
        <v>96</v>
      </c>
      <c r="AC728" t="s">
        <v>2677</v>
      </c>
      <c r="AD728" t="s">
        <v>119</v>
      </c>
      <c r="AE728" t="s">
        <v>1272</v>
      </c>
      <c r="AF728" t="s">
        <v>96</v>
      </c>
      <c r="AG728" t="s">
        <v>2677</v>
      </c>
      <c r="AI728" t="s">
        <v>7665</v>
      </c>
      <c r="AJ728" t="s">
        <v>119</v>
      </c>
      <c r="AK728" t="s">
        <v>99</v>
      </c>
      <c r="AL728" t="s">
        <v>7666</v>
      </c>
      <c r="AM728" t="s">
        <v>7667</v>
      </c>
      <c r="AR728" t="s">
        <v>125</v>
      </c>
      <c r="AT728" t="s">
        <v>7668</v>
      </c>
      <c r="AV728" t="s">
        <v>128</v>
      </c>
      <c r="AZ728" t="s">
        <v>80</v>
      </c>
    </row>
    <row r="729" spans="1:52" hidden="1" x14ac:dyDescent="0.25">
      <c r="A729" t="s">
        <v>7669</v>
      </c>
      <c r="B729" t="s">
        <v>7670</v>
      </c>
      <c r="C729" t="s">
        <v>7653</v>
      </c>
      <c r="D729" t="s">
        <v>7493</v>
      </c>
      <c r="E729" t="s">
        <v>7671</v>
      </c>
      <c r="F729" t="s">
        <v>7671</v>
      </c>
      <c r="G729" t="s">
        <v>7672</v>
      </c>
      <c r="J729" t="s">
        <v>80</v>
      </c>
      <c r="K729" t="s">
        <v>538</v>
      </c>
      <c r="L729" t="s">
        <v>111</v>
      </c>
      <c r="M729">
        <v>60240</v>
      </c>
      <c r="P729" t="s">
        <v>134</v>
      </c>
      <c r="Q729" t="s">
        <v>85</v>
      </c>
      <c r="R729" t="s">
        <v>86</v>
      </c>
      <c r="S729" t="s">
        <v>87</v>
      </c>
      <c r="T729" t="s">
        <v>7535</v>
      </c>
      <c r="U729" t="s">
        <v>372</v>
      </c>
      <c r="V729" t="s">
        <v>2907</v>
      </c>
      <c r="W729" t="s">
        <v>3528</v>
      </c>
      <c r="X729" t="s">
        <v>7536</v>
      </c>
      <c r="Y729" t="s">
        <v>93</v>
      </c>
      <c r="Z729" t="s">
        <v>7538</v>
      </c>
      <c r="AA729" t="s">
        <v>1698</v>
      </c>
      <c r="AB729" t="s">
        <v>119</v>
      </c>
      <c r="AC729" t="s">
        <v>6034</v>
      </c>
      <c r="AD729" t="s">
        <v>7538</v>
      </c>
      <c r="AE729" t="s">
        <v>1698</v>
      </c>
      <c r="AF729" t="s">
        <v>119</v>
      </c>
      <c r="AG729" t="s">
        <v>6034</v>
      </c>
      <c r="AI729" t="s">
        <v>7673</v>
      </c>
      <c r="AJ729" t="s">
        <v>7538</v>
      </c>
      <c r="AK729" t="s">
        <v>99</v>
      </c>
      <c r="AL729" t="s">
        <v>7674</v>
      </c>
      <c r="AM729" t="s">
        <v>7667</v>
      </c>
      <c r="AR729" t="s">
        <v>125</v>
      </c>
      <c r="AT729" t="s">
        <v>7675</v>
      </c>
      <c r="AV729" t="s">
        <v>128</v>
      </c>
      <c r="AZ729" t="s">
        <v>80</v>
      </c>
    </row>
    <row r="730" spans="1:52" hidden="1" x14ac:dyDescent="0.25">
      <c r="A730" t="s">
        <v>7676</v>
      </c>
      <c r="B730" t="s">
        <v>7677</v>
      </c>
      <c r="C730" t="s">
        <v>7678</v>
      </c>
      <c r="D730" t="s">
        <v>7493</v>
      </c>
      <c r="E730" t="s">
        <v>7679</v>
      </c>
      <c r="F730" t="s">
        <v>7679</v>
      </c>
      <c r="G730" t="s">
        <v>7680</v>
      </c>
      <c r="J730" t="s">
        <v>80</v>
      </c>
      <c r="K730" t="s">
        <v>538</v>
      </c>
      <c r="L730" t="s">
        <v>111</v>
      </c>
      <c r="M730">
        <v>69647</v>
      </c>
      <c r="P730" t="s">
        <v>154</v>
      </c>
      <c r="Q730" t="s">
        <v>731</v>
      </c>
      <c r="R730" t="s">
        <v>732</v>
      </c>
      <c r="S730" t="s">
        <v>733</v>
      </c>
      <c r="T730" t="s">
        <v>4176</v>
      </c>
      <c r="U730" t="s">
        <v>452</v>
      </c>
      <c r="V730" t="s">
        <v>5367</v>
      </c>
      <c r="W730" t="s">
        <v>161</v>
      </c>
      <c r="X730" t="s">
        <v>7681</v>
      </c>
      <c r="Y730" t="s">
        <v>93</v>
      </c>
      <c r="Z730" t="s">
        <v>119</v>
      </c>
      <c r="AA730" t="s">
        <v>7682</v>
      </c>
      <c r="AB730" t="s">
        <v>699</v>
      </c>
      <c r="AC730" t="s">
        <v>7683</v>
      </c>
      <c r="AD730" t="s">
        <v>119</v>
      </c>
      <c r="AE730" t="s">
        <v>7682</v>
      </c>
      <c r="AF730" t="s">
        <v>699</v>
      </c>
      <c r="AG730" t="s">
        <v>7683</v>
      </c>
      <c r="AI730" t="s">
        <v>7684</v>
      </c>
      <c r="AJ730" t="s">
        <v>119</v>
      </c>
      <c r="AK730" t="s">
        <v>99</v>
      </c>
      <c r="AL730" t="s">
        <v>7685</v>
      </c>
      <c r="AM730" t="s">
        <v>7686</v>
      </c>
      <c r="AR730" t="s">
        <v>125</v>
      </c>
      <c r="AT730" t="s">
        <v>7687</v>
      </c>
      <c r="AV730" t="s">
        <v>128</v>
      </c>
      <c r="AZ730" t="s">
        <v>80</v>
      </c>
    </row>
    <row r="731" spans="1:52" hidden="1" x14ac:dyDescent="0.25">
      <c r="A731" t="s">
        <v>7688</v>
      </c>
      <c r="B731" t="s">
        <v>7689</v>
      </c>
      <c r="C731" t="s">
        <v>7678</v>
      </c>
      <c r="D731" t="s">
        <v>7493</v>
      </c>
      <c r="E731" t="s">
        <v>7690</v>
      </c>
      <c r="F731" t="s">
        <v>7690</v>
      </c>
      <c r="G731" t="s">
        <v>7691</v>
      </c>
      <c r="J731" t="s">
        <v>80</v>
      </c>
      <c r="K731" t="s">
        <v>538</v>
      </c>
      <c r="L731" t="s">
        <v>111</v>
      </c>
      <c r="M731">
        <v>69645</v>
      </c>
      <c r="P731" t="s">
        <v>154</v>
      </c>
      <c r="Q731" t="s">
        <v>539</v>
      </c>
      <c r="R731" t="s">
        <v>540</v>
      </c>
      <c r="S731" t="s">
        <v>541</v>
      </c>
      <c r="T731" t="s">
        <v>1286</v>
      </c>
      <c r="U731" t="s">
        <v>7692</v>
      </c>
      <c r="V731" t="s">
        <v>676</v>
      </c>
      <c r="W731" t="s">
        <v>161</v>
      </c>
      <c r="X731" t="s">
        <v>3471</v>
      </c>
      <c r="Y731" t="s">
        <v>93</v>
      </c>
      <c r="Z731" t="s">
        <v>119</v>
      </c>
      <c r="AA731" t="s">
        <v>4139</v>
      </c>
      <c r="AB731" t="s">
        <v>678</v>
      </c>
      <c r="AC731" t="s">
        <v>547</v>
      </c>
      <c r="AD731" t="s">
        <v>119</v>
      </c>
      <c r="AE731" t="s">
        <v>4139</v>
      </c>
      <c r="AF731" t="s">
        <v>678</v>
      </c>
      <c r="AG731" t="s">
        <v>547</v>
      </c>
      <c r="AI731" t="s">
        <v>7378</v>
      </c>
      <c r="AJ731" t="s">
        <v>119</v>
      </c>
      <c r="AK731" t="s">
        <v>99</v>
      </c>
      <c r="AL731" t="s">
        <v>7693</v>
      </c>
      <c r="AM731" t="s">
        <v>7694</v>
      </c>
      <c r="AR731" t="s">
        <v>125</v>
      </c>
      <c r="AT731" t="s">
        <v>7695</v>
      </c>
      <c r="AV731" t="s">
        <v>128</v>
      </c>
      <c r="AZ731" t="s">
        <v>80</v>
      </c>
    </row>
    <row r="732" spans="1:52" hidden="1" x14ac:dyDescent="0.25">
      <c r="A732" t="s">
        <v>7696</v>
      </c>
      <c r="B732" t="s">
        <v>7697</v>
      </c>
      <c r="C732" t="s">
        <v>7698</v>
      </c>
      <c r="D732" t="s">
        <v>7493</v>
      </c>
      <c r="E732" t="s">
        <v>7699</v>
      </c>
      <c r="F732" t="s">
        <v>7699</v>
      </c>
      <c r="G732" t="s">
        <v>7700</v>
      </c>
      <c r="J732" t="s">
        <v>80</v>
      </c>
      <c r="K732" t="s">
        <v>538</v>
      </c>
      <c r="L732" t="s">
        <v>111</v>
      </c>
      <c r="M732">
        <v>69643</v>
      </c>
      <c r="P732" t="s">
        <v>154</v>
      </c>
      <c r="Q732" t="s">
        <v>731</v>
      </c>
      <c r="R732" t="s">
        <v>732</v>
      </c>
      <c r="S732" t="s">
        <v>733</v>
      </c>
      <c r="T732" t="s">
        <v>7522</v>
      </c>
      <c r="U732" t="s">
        <v>7523</v>
      </c>
      <c r="V732" t="s">
        <v>4336</v>
      </c>
      <c r="W732" t="s">
        <v>697</v>
      </c>
      <c r="X732" t="s">
        <v>7701</v>
      </c>
      <c r="Y732" t="s">
        <v>93</v>
      </c>
      <c r="Z732" t="s">
        <v>119</v>
      </c>
      <c r="AA732" t="s">
        <v>2791</v>
      </c>
      <c r="AB732" t="s">
        <v>2048</v>
      </c>
      <c r="AC732" t="s">
        <v>1533</v>
      </c>
      <c r="AD732" t="s">
        <v>119</v>
      </c>
      <c r="AE732" t="s">
        <v>2791</v>
      </c>
      <c r="AF732" t="s">
        <v>2048</v>
      </c>
      <c r="AG732" t="s">
        <v>1533</v>
      </c>
      <c r="AI732" t="s">
        <v>7525</v>
      </c>
      <c r="AJ732" t="s">
        <v>119</v>
      </c>
      <c r="AK732" t="s">
        <v>99</v>
      </c>
      <c r="AL732" t="s">
        <v>7702</v>
      </c>
      <c r="AM732" t="s">
        <v>7694</v>
      </c>
      <c r="AR732" t="s">
        <v>125</v>
      </c>
      <c r="AT732" t="s">
        <v>7703</v>
      </c>
      <c r="AV732" t="s">
        <v>128</v>
      </c>
      <c r="AZ732" t="s">
        <v>80</v>
      </c>
    </row>
    <row r="733" spans="1:52" hidden="1" x14ac:dyDescent="0.25">
      <c r="A733" t="s">
        <v>7704</v>
      </c>
      <c r="B733" t="s">
        <v>7705</v>
      </c>
      <c r="C733" t="s">
        <v>7698</v>
      </c>
      <c r="D733" t="s">
        <v>7493</v>
      </c>
      <c r="E733" t="s">
        <v>7706</v>
      </c>
      <c r="F733" t="s">
        <v>7706</v>
      </c>
      <c r="G733" t="s">
        <v>7707</v>
      </c>
      <c r="J733" t="s">
        <v>80</v>
      </c>
      <c r="K733" t="s">
        <v>538</v>
      </c>
      <c r="L733" t="s">
        <v>111</v>
      </c>
      <c r="M733">
        <v>69641</v>
      </c>
      <c r="P733" t="s">
        <v>154</v>
      </c>
      <c r="Q733" t="s">
        <v>3469</v>
      </c>
      <c r="R733" t="s">
        <v>2488</v>
      </c>
      <c r="S733" t="s">
        <v>1016</v>
      </c>
      <c r="T733" t="s">
        <v>1286</v>
      </c>
      <c r="U733" t="s">
        <v>1985</v>
      </c>
      <c r="V733" t="s">
        <v>7708</v>
      </c>
      <c r="W733" t="s">
        <v>697</v>
      </c>
      <c r="X733" t="s">
        <v>1289</v>
      </c>
      <c r="Y733" t="s">
        <v>93</v>
      </c>
      <c r="Z733" t="s">
        <v>119</v>
      </c>
      <c r="AA733" t="s">
        <v>7709</v>
      </c>
      <c r="AB733" t="s">
        <v>678</v>
      </c>
      <c r="AC733" t="s">
        <v>4418</v>
      </c>
      <c r="AD733" t="s">
        <v>119</v>
      </c>
      <c r="AE733" t="s">
        <v>7709</v>
      </c>
      <c r="AF733" t="s">
        <v>678</v>
      </c>
      <c r="AG733" t="s">
        <v>4418</v>
      </c>
      <c r="AI733" t="s">
        <v>7710</v>
      </c>
      <c r="AJ733" t="s">
        <v>119</v>
      </c>
      <c r="AK733" t="s">
        <v>99</v>
      </c>
      <c r="AL733" t="s">
        <v>7711</v>
      </c>
      <c r="AM733" t="s">
        <v>7712</v>
      </c>
      <c r="AR733" t="s">
        <v>125</v>
      </c>
      <c r="AT733" t="s">
        <v>7713</v>
      </c>
      <c r="AV733" t="s">
        <v>128</v>
      </c>
      <c r="AZ733" t="s">
        <v>80</v>
      </c>
    </row>
    <row r="734" spans="1:52" hidden="1" x14ac:dyDescent="0.25">
      <c r="A734" t="s">
        <v>7714</v>
      </c>
      <c r="B734" t="s">
        <v>7715</v>
      </c>
      <c r="C734" t="s">
        <v>7716</v>
      </c>
      <c r="D734" t="s">
        <v>7493</v>
      </c>
      <c r="E734" t="s">
        <v>7717</v>
      </c>
      <c r="F734" t="s">
        <v>7717</v>
      </c>
      <c r="G734" t="s">
        <v>7718</v>
      </c>
      <c r="J734" t="s">
        <v>80</v>
      </c>
      <c r="K734" t="s">
        <v>538</v>
      </c>
      <c r="L734" t="s">
        <v>111</v>
      </c>
      <c r="M734">
        <v>69629</v>
      </c>
      <c r="P734" t="s">
        <v>154</v>
      </c>
      <c r="Q734" t="s">
        <v>3525</v>
      </c>
      <c r="R734" t="s">
        <v>2038</v>
      </c>
      <c r="S734" t="s">
        <v>1006</v>
      </c>
      <c r="T734" t="s">
        <v>7522</v>
      </c>
      <c r="U734" t="s">
        <v>4844</v>
      </c>
      <c r="V734" t="s">
        <v>5235</v>
      </c>
      <c r="W734" t="s">
        <v>6254</v>
      </c>
      <c r="X734" t="s">
        <v>7719</v>
      </c>
      <c r="Y734" t="s">
        <v>93</v>
      </c>
      <c r="Z734" t="s">
        <v>119</v>
      </c>
      <c r="AA734" t="s">
        <v>2262</v>
      </c>
      <c r="AB734" t="s">
        <v>2048</v>
      </c>
      <c r="AC734" t="s">
        <v>654</v>
      </c>
      <c r="AD734" t="s">
        <v>119</v>
      </c>
      <c r="AE734" t="s">
        <v>2262</v>
      </c>
      <c r="AF734" t="s">
        <v>2048</v>
      </c>
      <c r="AG734" t="s">
        <v>654</v>
      </c>
      <c r="AI734" t="s">
        <v>7154</v>
      </c>
      <c r="AJ734" t="s">
        <v>119</v>
      </c>
      <c r="AK734" t="s">
        <v>99</v>
      </c>
      <c r="AL734" t="s">
        <v>7720</v>
      </c>
      <c r="AM734" t="s">
        <v>7721</v>
      </c>
      <c r="AR734" t="s">
        <v>125</v>
      </c>
      <c r="AT734" t="s">
        <v>7722</v>
      </c>
      <c r="AV734" t="s">
        <v>128</v>
      </c>
      <c r="AZ734" t="s">
        <v>80</v>
      </c>
    </row>
    <row r="735" spans="1:52" hidden="1" x14ac:dyDescent="0.25">
      <c r="A735" t="s">
        <v>7723</v>
      </c>
      <c r="B735" t="s">
        <v>7724</v>
      </c>
      <c r="C735" t="s">
        <v>7725</v>
      </c>
      <c r="D735" t="s">
        <v>7493</v>
      </c>
      <c r="E735" t="s">
        <v>7726</v>
      </c>
      <c r="F735" t="s">
        <v>7726</v>
      </c>
      <c r="G735" t="s">
        <v>7727</v>
      </c>
      <c r="J735" t="s">
        <v>80</v>
      </c>
      <c r="K735" t="s">
        <v>538</v>
      </c>
      <c r="L735" t="s">
        <v>111</v>
      </c>
      <c r="M735">
        <v>69627</v>
      </c>
      <c r="P735" t="s">
        <v>154</v>
      </c>
      <c r="Q735" t="s">
        <v>3469</v>
      </c>
      <c r="R735" t="s">
        <v>2488</v>
      </c>
      <c r="S735" t="s">
        <v>1016</v>
      </c>
      <c r="T735" t="s">
        <v>7728</v>
      </c>
      <c r="U735" t="s">
        <v>2611</v>
      </c>
      <c r="V735" t="s">
        <v>2725</v>
      </c>
      <c r="W735" t="s">
        <v>797</v>
      </c>
      <c r="X735" t="s">
        <v>7729</v>
      </c>
      <c r="Y735" t="s">
        <v>93</v>
      </c>
      <c r="Z735" t="s">
        <v>119</v>
      </c>
      <c r="AA735" t="s">
        <v>7730</v>
      </c>
      <c r="AB735" t="s">
        <v>6281</v>
      </c>
      <c r="AC735" t="s">
        <v>907</v>
      </c>
      <c r="AD735" t="s">
        <v>119</v>
      </c>
      <c r="AE735" t="s">
        <v>7730</v>
      </c>
      <c r="AF735" t="s">
        <v>6281</v>
      </c>
      <c r="AG735" t="s">
        <v>907</v>
      </c>
      <c r="AI735" t="s">
        <v>7731</v>
      </c>
      <c r="AJ735" t="s">
        <v>119</v>
      </c>
      <c r="AK735" t="s">
        <v>99</v>
      </c>
      <c r="AL735" t="s">
        <v>7732</v>
      </c>
      <c r="AM735" t="s">
        <v>7721</v>
      </c>
      <c r="AR735" t="s">
        <v>125</v>
      </c>
      <c r="AT735" t="s">
        <v>7733</v>
      </c>
      <c r="AV735" t="s">
        <v>128</v>
      </c>
      <c r="AZ735" t="s">
        <v>80</v>
      </c>
    </row>
    <row r="736" spans="1:52" hidden="1" x14ac:dyDescent="0.25">
      <c r="A736" t="s">
        <v>7734</v>
      </c>
      <c r="B736" t="s">
        <v>7735</v>
      </c>
      <c r="C736" t="s">
        <v>7736</v>
      </c>
      <c r="D736" t="s">
        <v>7493</v>
      </c>
      <c r="E736" t="s">
        <v>7737</v>
      </c>
      <c r="F736" t="s">
        <v>7737</v>
      </c>
      <c r="G736" t="s">
        <v>7738</v>
      </c>
      <c r="J736" t="s">
        <v>80</v>
      </c>
      <c r="K736" t="s">
        <v>538</v>
      </c>
      <c r="L736" t="s">
        <v>111</v>
      </c>
      <c r="M736">
        <v>69619</v>
      </c>
      <c r="P736" t="s">
        <v>154</v>
      </c>
      <c r="Q736" t="s">
        <v>3469</v>
      </c>
      <c r="R736" t="s">
        <v>2488</v>
      </c>
      <c r="S736" t="s">
        <v>1016</v>
      </c>
      <c r="T736" t="s">
        <v>3029</v>
      </c>
      <c r="U736" t="s">
        <v>3030</v>
      </c>
      <c r="V736" t="s">
        <v>675</v>
      </c>
      <c r="W736" t="s">
        <v>161</v>
      </c>
      <c r="X736" t="s">
        <v>7739</v>
      </c>
      <c r="Y736" t="s">
        <v>93</v>
      </c>
      <c r="Z736" t="s">
        <v>119</v>
      </c>
      <c r="AA736" t="s">
        <v>3119</v>
      </c>
      <c r="AB736" t="s">
        <v>3032</v>
      </c>
      <c r="AC736" t="s">
        <v>7740</v>
      </c>
      <c r="AD736" t="s">
        <v>119</v>
      </c>
      <c r="AE736" t="s">
        <v>3119</v>
      </c>
      <c r="AF736" t="s">
        <v>3032</v>
      </c>
      <c r="AG736" t="s">
        <v>7740</v>
      </c>
      <c r="AI736" t="s">
        <v>3801</v>
      </c>
      <c r="AJ736" t="s">
        <v>119</v>
      </c>
      <c r="AK736" t="s">
        <v>99</v>
      </c>
      <c r="AL736" t="s">
        <v>7741</v>
      </c>
      <c r="AM736" t="s">
        <v>7742</v>
      </c>
      <c r="AR736" t="s">
        <v>125</v>
      </c>
      <c r="AT736" t="s">
        <v>7743</v>
      </c>
      <c r="AV736" t="s">
        <v>128</v>
      </c>
      <c r="AZ736" t="s">
        <v>80</v>
      </c>
    </row>
    <row r="737" spans="1:52" hidden="1" x14ac:dyDescent="0.25">
      <c r="A737" t="s">
        <v>7744</v>
      </c>
      <c r="B737" t="s">
        <v>3360</v>
      </c>
      <c r="C737" t="s">
        <v>7745</v>
      </c>
      <c r="D737" t="s">
        <v>7493</v>
      </c>
      <c r="E737" t="s">
        <v>3363</v>
      </c>
      <c r="F737" t="s">
        <v>3363</v>
      </c>
      <c r="G737" t="s">
        <v>3364</v>
      </c>
      <c r="J737" t="s">
        <v>80</v>
      </c>
      <c r="K737" t="s">
        <v>538</v>
      </c>
      <c r="L737" t="s">
        <v>111</v>
      </c>
      <c r="M737">
        <v>69623</v>
      </c>
      <c r="P737" t="s">
        <v>154</v>
      </c>
      <c r="Q737" t="s">
        <v>539</v>
      </c>
      <c r="R737" t="s">
        <v>540</v>
      </c>
      <c r="S737" t="s">
        <v>541</v>
      </c>
      <c r="T737" t="s">
        <v>3365</v>
      </c>
      <c r="U737" t="s">
        <v>3366</v>
      </c>
      <c r="V737" t="s">
        <v>2062</v>
      </c>
      <c r="W737" t="s">
        <v>7746</v>
      </c>
      <c r="X737" t="s">
        <v>7747</v>
      </c>
      <c r="Y737" t="s">
        <v>93</v>
      </c>
      <c r="Z737" t="s">
        <v>119</v>
      </c>
      <c r="AA737" t="s">
        <v>3369</v>
      </c>
      <c r="AB737" t="s">
        <v>3032</v>
      </c>
      <c r="AC737" t="s">
        <v>3370</v>
      </c>
      <c r="AD737" t="s">
        <v>119</v>
      </c>
      <c r="AE737" t="s">
        <v>3369</v>
      </c>
      <c r="AF737" t="s">
        <v>3032</v>
      </c>
      <c r="AG737" t="s">
        <v>3370</v>
      </c>
      <c r="AI737" t="s">
        <v>7748</v>
      </c>
      <c r="AJ737" t="s">
        <v>119</v>
      </c>
      <c r="AK737" t="s">
        <v>99</v>
      </c>
      <c r="AL737" t="s">
        <v>7749</v>
      </c>
      <c r="AM737" t="s">
        <v>3357</v>
      </c>
      <c r="AR737" t="s">
        <v>125</v>
      </c>
      <c r="AT737" t="s">
        <v>7750</v>
      </c>
      <c r="AV737" t="s">
        <v>128</v>
      </c>
      <c r="AZ737" t="s">
        <v>80</v>
      </c>
    </row>
    <row r="738" spans="1:52" hidden="1" x14ac:dyDescent="0.25">
      <c r="A738" t="s">
        <v>7751</v>
      </c>
      <c r="B738" t="s">
        <v>7752</v>
      </c>
      <c r="C738" t="s">
        <v>7753</v>
      </c>
      <c r="D738" t="s">
        <v>7493</v>
      </c>
      <c r="E738" t="s">
        <v>7754</v>
      </c>
      <c r="F738" t="s">
        <v>7754</v>
      </c>
      <c r="G738" t="s">
        <v>7755</v>
      </c>
      <c r="J738" t="s">
        <v>80</v>
      </c>
      <c r="K738" t="s">
        <v>538</v>
      </c>
      <c r="L738" t="s">
        <v>111</v>
      </c>
      <c r="M738">
        <v>69613</v>
      </c>
      <c r="N738" t="s">
        <v>1345</v>
      </c>
      <c r="P738" t="s">
        <v>1306</v>
      </c>
      <c r="Q738" t="s">
        <v>731</v>
      </c>
      <c r="R738" t="s">
        <v>732</v>
      </c>
      <c r="S738" t="s">
        <v>733</v>
      </c>
      <c r="T738" t="s">
        <v>1620</v>
      </c>
      <c r="U738" t="s">
        <v>3512</v>
      </c>
      <c r="V738" t="s">
        <v>1654</v>
      </c>
      <c r="W738" t="s">
        <v>697</v>
      </c>
      <c r="X738" t="s">
        <v>7756</v>
      </c>
      <c r="Y738" t="s">
        <v>93</v>
      </c>
      <c r="Z738" t="s">
        <v>119</v>
      </c>
      <c r="AA738" t="s">
        <v>2050</v>
      </c>
      <c r="AB738" t="s">
        <v>1312</v>
      </c>
      <c r="AC738" t="s">
        <v>782</v>
      </c>
      <c r="AD738" t="s">
        <v>119</v>
      </c>
      <c r="AE738" t="s">
        <v>2050</v>
      </c>
      <c r="AF738" t="s">
        <v>1312</v>
      </c>
      <c r="AG738" t="s">
        <v>782</v>
      </c>
      <c r="AH738" t="s">
        <v>7757</v>
      </c>
      <c r="AI738" t="s">
        <v>7758</v>
      </c>
      <c r="AJ738" t="s">
        <v>119</v>
      </c>
      <c r="AK738" t="s">
        <v>99</v>
      </c>
      <c r="AL738" t="s">
        <v>7759</v>
      </c>
      <c r="AM738" t="s">
        <v>7742</v>
      </c>
      <c r="AR738" t="s">
        <v>125</v>
      </c>
      <c r="AT738" t="s">
        <v>7760</v>
      </c>
      <c r="AV738" t="s">
        <v>128</v>
      </c>
      <c r="AZ738" t="s">
        <v>80</v>
      </c>
    </row>
    <row r="739" spans="1:52" hidden="1" x14ac:dyDescent="0.25">
      <c r="A739" t="s">
        <v>7761</v>
      </c>
      <c r="B739" t="s">
        <v>7762</v>
      </c>
      <c r="C739" t="s">
        <v>7763</v>
      </c>
      <c r="D739" t="s">
        <v>7493</v>
      </c>
      <c r="E739" t="s">
        <v>7764</v>
      </c>
      <c r="F739" t="s">
        <v>7764</v>
      </c>
      <c r="G739" t="s">
        <v>7765</v>
      </c>
      <c r="J739" t="s">
        <v>80</v>
      </c>
      <c r="K739" t="s">
        <v>538</v>
      </c>
      <c r="L739" t="s">
        <v>111</v>
      </c>
      <c r="M739">
        <v>69609</v>
      </c>
      <c r="N739" t="s">
        <v>7766</v>
      </c>
      <c r="O739" t="s">
        <v>1305</v>
      </c>
      <c r="P739" t="s">
        <v>1306</v>
      </c>
      <c r="Q739" t="s">
        <v>539</v>
      </c>
      <c r="R739" t="s">
        <v>540</v>
      </c>
      <c r="S739" t="s">
        <v>541</v>
      </c>
      <c r="T739" t="s">
        <v>1307</v>
      </c>
      <c r="U739" t="s">
        <v>7767</v>
      </c>
      <c r="V739" t="s">
        <v>5367</v>
      </c>
      <c r="W739" t="s">
        <v>161</v>
      </c>
      <c r="X739" t="s">
        <v>1640</v>
      </c>
      <c r="Y739" t="s">
        <v>93</v>
      </c>
      <c r="Z739" t="s">
        <v>119</v>
      </c>
      <c r="AA739" t="s">
        <v>516</v>
      </c>
      <c r="AB739" t="s">
        <v>1312</v>
      </c>
      <c r="AC739" t="s">
        <v>7768</v>
      </c>
      <c r="AD739" t="s">
        <v>119</v>
      </c>
      <c r="AE739" t="s">
        <v>516</v>
      </c>
      <c r="AF739" t="s">
        <v>1312</v>
      </c>
      <c r="AG739" t="s">
        <v>7768</v>
      </c>
      <c r="AH739" t="s">
        <v>7757</v>
      </c>
      <c r="AI739" t="s">
        <v>6758</v>
      </c>
      <c r="AJ739" t="s">
        <v>119</v>
      </c>
      <c r="AK739" t="s">
        <v>99</v>
      </c>
      <c r="AL739" t="s">
        <v>7769</v>
      </c>
      <c r="AM739" t="s">
        <v>7770</v>
      </c>
      <c r="AR739" t="s">
        <v>125</v>
      </c>
      <c r="AT739" t="s">
        <v>7771</v>
      </c>
      <c r="AV739" t="s">
        <v>190</v>
      </c>
      <c r="AZ739" t="s">
        <v>80</v>
      </c>
    </row>
    <row r="740" spans="1:52" hidden="1" x14ac:dyDescent="0.25">
      <c r="A740" t="s">
        <v>7772</v>
      </c>
      <c r="B740" t="s">
        <v>7773</v>
      </c>
      <c r="C740" t="s">
        <v>7774</v>
      </c>
      <c r="D740" t="s">
        <v>7493</v>
      </c>
      <c r="E740" t="s">
        <v>7775</v>
      </c>
      <c r="F740" t="s">
        <v>7775</v>
      </c>
      <c r="G740" t="s">
        <v>7776</v>
      </c>
      <c r="J740" t="s">
        <v>80</v>
      </c>
      <c r="K740" t="s">
        <v>538</v>
      </c>
      <c r="L740" t="s">
        <v>111</v>
      </c>
      <c r="M740">
        <v>60123</v>
      </c>
      <c r="O740" t="s">
        <v>7777</v>
      </c>
      <c r="P740" t="s">
        <v>1819</v>
      </c>
      <c r="Q740" t="s">
        <v>2687</v>
      </c>
      <c r="R740" t="s">
        <v>1441</v>
      </c>
      <c r="S740" t="s">
        <v>748</v>
      </c>
      <c r="T740" t="s">
        <v>7778</v>
      </c>
      <c r="U740" t="s">
        <v>1654</v>
      </c>
      <c r="V740" t="s">
        <v>3527</v>
      </c>
      <c r="W740" t="s">
        <v>161</v>
      </c>
      <c r="X740" t="s">
        <v>7779</v>
      </c>
      <c r="Y740" t="s">
        <v>93</v>
      </c>
      <c r="Z740" t="s">
        <v>119</v>
      </c>
      <c r="AA740" t="s">
        <v>5962</v>
      </c>
      <c r="AB740" t="s">
        <v>2986</v>
      </c>
      <c r="AC740" t="s">
        <v>7780</v>
      </c>
      <c r="AD740" t="s">
        <v>119</v>
      </c>
      <c r="AE740" t="s">
        <v>5962</v>
      </c>
      <c r="AF740" t="s">
        <v>2986</v>
      </c>
      <c r="AG740" t="s">
        <v>7780</v>
      </c>
      <c r="AI740" t="s">
        <v>5204</v>
      </c>
      <c r="AJ740" t="s">
        <v>119</v>
      </c>
      <c r="AK740" t="s">
        <v>99</v>
      </c>
      <c r="AL740" t="s">
        <v>7781</v>
      </c>
      <c r="AM740" t="s">
        <v>7782</v>
      </c>
      <c r="AR740" t="s">
        <v>125</v>
      </c>
      <c r="AT740" t="s">
        <v>7783</v>
      </c>
      <c r="AV740" t="s">
        <v>190</v>
      </c>
      <c r="AZ740" t="s">
        <v>80</v>
      </c>
    </row>
    <row r="741" spans="1:52" hidden="1" x14ac:dyDescent="0.25">
      <c r="A741" t="s">
        <v>7784</v>
      </c>
      <c r="B741" t="s">
        <v>7785</v>
      </c>
      <c r="C741" t="s">
        <v>7774</v>
      </c>
      <c r="D741" t="s">
        <v>7493</v>
      </c>
      <c r="E741" t="s">
        <v>7786</v>
      </c>
      <c r="F741" t="s">
        <v>7786</v>
      </c>
      <c r="G741" t="s">
        <v>7787</v>
      </c>
      <c r="J741" t="s">
        <v>80</v>
      </c>
      <c r="K741" t="s">
        <v>538</v>
      </c>
      <c r="L741" t="s">
        <v>111</v>
      </c>
      <c r="M741">
        <v>60121</v>
      </c>
      <c r="O741" t="s">
        <v>7788</v>
      </c>
      <c r="P741" t="s">
        <v>1819</v>
      </c>
      <c r="Q741" t="s">
        <v>2687</v>
      </c>
      <c r="R741" t="s">
        <v>1441</v>
      </c>
      <c r="S741" t="s">
        <v>748</v>
      </c>
      <c r="T741" t="s">
        <v>7778</v>
      </c>
      <c r="U741" t="s">
        <v>7567</v>
      </c>
      <c r="V741" t="s">
        <v>2907</v>
      </c>
      <c r="W741" t="s">
        <v>697</v>
      </c>
      <c r="X741" t="s">
        <v>7789</v>
      </c>
      <c r="Y741" t="s">
        <v>93</v>
      </c>
      <c r="Z741" t="s">
        <v>119</v>
      </c>
      <c r="AA741" t="s">
        <v>7790</v>
      </c>
      <c r="AB741" t="s">
        <v>2986</v>
      </c>
      <c r="AC741" t="s">
        <v>7791</v>
      </c>
      <c r="AD741" t="s">
        <v>119</v>
      </c>
      <c r="AE741" t="s">
        <v>7790</v>
      </c>
      <c r="AF741" t="s">
        <v>2986</v>
      </c>
      <c r="AG741" t="s">
        <v>7791</v>
      </c>
      <c r="AI741" t="s">
        <v>6345</v>
      </c>
      <c r="AJ741" t="s">
        <v>119</v>
      </c>
      <c r="AK741" t="s">
        <v>99</v>
      </c>
      <c r="AL741" t="s">
        <v>7792</v>
      </c>
      <c r="AM741" t="s">
        <v>7782</v>
      </c>
      <c r="AR741" t="s">
        <v>125</v>
      </c>
      <c r="AT741" t="s">
        <v>7793</v>
      </c>
      <c r="AV741" t="s">
        <v>190</v>
      </c>
      <c r="AZ741" t="s">
        <v>80</v>
      </c>
    </row>
    <row r="742" spans="1:52" hidden="1" x14ac:dyDescent="0.25">
      <c r="A742" t="s">
        <v>7794</v>
      </c>
      <c r="B742" t="s">
        <v>4477</v>
      </c>
      <c r="C742" t="s">
        <v>7795</v>
      </c>
      <c r="D742" t="s">
        <v>7493</v>
      </c>
      <c r="E742" t="s">
        <v>4480</v>
      </c>
      <c r="F742" t="s">
        <v>4480</v>
      </c>
      <c r="G742" t="s">
        <v>4481</v>
      </c>
      <c r="J742" t="s">
        <v>80</v>
      </c>
      <c r="K742" t="s">
        <v>538</v>
      </c>
      <c r="L742" t="s">
        <v>111</v>
      </c>
      <c r="M742" t="s">
        <v>4482</v>
      </c>
      <c r="P742" t="s">
        <v>134</v>
      </c>
      <c r="Q742" t="s">
        <v>1205</v>
      </c>
      <c r="R742" t="s">
        <v>914</v>
      </c>
      <c r="S742" t="s">
        <v>444</v>
      </c>
      <c r="T742" t="s">
        <v>3388</v>
      </c>
      <c r="U742" t="s">
        <v>346</v>
      </c>
      <c r="V742" t="s">
        <v>4483</v>
      </c>
      <c r="W742" t="s">
        <v>3972</v>
      </c>
      <c r="X742" t="s">
        <v>7796</v>
      </c>
      <c r="Y742" t="s">
        <v>93</v>
      </c>
      <c r="Z742" t="s">
        <v>2986</v>
      </c>
      <c r="AA742" t="s">
        <v>4486</v>
      </c>
      <c r="AB742" t="s">
        <v>182</v>
      </c>
      <c r="AC742" t="s">
        <v>4487</v>
      </c>
      <c r="AD742" t="s">
        <v>2986</v>
      </c>
      <c r="AE742" t="s">
        <v>4486</v>
      </c>
      <c r="AF742" t="s">
        <v>182</v>
      </c>
      <c r="AG742" t="s">
        <v>4487</v>
      </c>
      <c r="AI742" t="s">
        <v>7797</v>
      </c>
      <c r="AJ742" t="s">
        <v>2986</v>
      </c>
      <c r="AK742" t="s">
        <v>99</v>
      </c>
      <c r="AL742" t="s">
        <v>7798</v>
      </c>
      <c r="AM742" t="s">
        <v>4490</v>
      </c>
      <c r="AR742" t="s">
        <v>125</v>
      </c>
      <c r="AT742" t="s">
        <v>7799</v>
      </c>
      <c r="AV742" t="s">
        <v>128</v>
      </c>
      <c r="AZ742" t="s">
        <v>80</v>
      </c>
    </row>
    <row r="743" spans="1:52" hidden="1" x14ac:dyDescent="0.25">
      <c r="A743" t="s">
        <v>7800</v>
      </c>
      <c r="B743" t="s">
        <v>4493</v>
      </c>
      <c r="C743" t="s">
        <v>7801</v>
      </c>
      <c r="D743" t="s">
        <v>7493</v>
      </c>
      <c r="E743" t="s">
        <v>4495</v>
      </c>
      <c r="F743" t="s">
        <v>4495</v>
      </c>
      <c r="G743" t="s">
        <v>4496</v>
      </c>
      <c r="J743" t="s">
        <v>80</v>
      </c>
      <c r="K743" t="s">
        <v>538</v>
      </c>
      <c r="L743" t="s">
        <v>111</v>
      </c>
      <c r="M743">
        <v>69821</v>
      </c>
      <c r="P743" t="s">
        <v>134</v>
      </c>
      <c r="Q743" t="s">
        <v>1205</v>
      </c>
      <c r="R743" t="s">
        <v>914</v>
      </c>
      <c r="S743" t="s">
        <v>444</v>
      </c>
      <c r="T743" t="s">
        <v>4497</v>
      </c>
      <c r="U743" t="s">
        <v>3500</v>
      </c>
      <c r="V743" t="s">
        <v>3047</v>
      </c>
      <c r="W743" t="s">
        <v>3972</v>
      </c>
      <c r="X743" t="s">
        <v>7802</v>
      </c>
      <c r="Y743" t="s">
        <v>93</v>
      </c>
      <c r="Z743" t="s">
        <v>2613</v>
      </c>
      <c r="AA743" t="s">
        <v>3488</v>
      </c>
      <c r="AB743" t="s">
        <v>182</v>
      </c>
      <c r="AC743" t="s">
        <v>4499</v>
      </c>
      <c r="AD743" t="s">
        <v>2613</v>
      </c>
      <c r="AE743" t="s">
        <v>3488</v>
      </c>
      <c r="AF743" t="s">
        <v>182</v>
      </c>
      <c r="AG743" t="s">
        <v>4499</v>
      </c>
      <c r="AI743" t="s">
        <v>6854</v>
      </c>
      <c r="AJ743" t="s">
        <v>2613</v>
      </c>
      <c r="AK743" t="s">
        <v>99</v>
      </c>
      <c r="AL743" t="s">
        <v>7803</v>
      </c>
      <c r="AM743" t="s">
        <v>7804</v>
      </c>
      <c r="AR743" t="s">
        <v>125</v>
      </c>
      <c r="AT743" t="s">
        <v>7805</v>
      </c>
      <c r="AV743" t="s">
        <v>128</v>
      </c>
      <c r="AZ743" t="s">
        <v>80</v>
      </c>
    </row>
    <row r="744" spans="1:52" hidden="1" x14ac:dyDescent="0.25">
      <c r="A744" t="s">
        <v>7806</v>
      </c>
      <c r="B744" t="s">
        <v>4505</v>
      </c>
      <c r="C744" t="s">
        <v>7801</v>
      </c>
      <c r="D744" t="s">
        <v>7493</v>
      </c>
      <c r="E744" t="s">
        <v>4507</v>
      </c>
      <c r="F744" t="s">
        <v>4507</v>
      </c>
      <c r="G744" t="s">
        <v>4508</v>
      </c>
      <c r="J744" t="s">
        <v>80</v>
      </c>
      <c r="K744" t="s">
        <v>538</v>
      </c>
      <c r="L744" t="s">
        <v>111</v>
      </c>
      <c r="M744" t="s">
        <v>4509</v>
      </c>
      <c r="P744" t="s">
        <v>134</v>
      </c>
      <c r="Q744" t="s">
        <v>1205</v>
      </c>
      <c r="R744" t="s">
        <v>914</v>
      </c>
      <c r="S744" t="s">
        <v>444</v>
      </c>
      <c r="T744" t="s">
        <v>4510</v>
      </c>
      <c r="U744" t="s">
        <v>4511</v>
      </c>
      <c r="V744" t="s">
        <v>4512</v>
      </c>
      <c r="W744" t="s">
        <v>3972</v>
      </c>
      <c r="X744" t="s">
        <v>7807</v>
      </c>
      <c r="Y744" t="s">
        <v>93</v>
      </c>
      <c r="Z744" t="s">
        <v>678</v>
      </c>
      <c r="AA744" t="s">
        <v>2347</v>
      </c>
      <c r="AB744" t="s">
        <v>182</v>
      </c>
      <c r="AC744" t="s">
        <v>4514</v>
      </c>
      <c r="AD744" t="s">
        <v>678</v>
      </c>
      <c r="AE744" t="s">
        <v>2347</v>
      </c>
      <c r="AF744" t="s">
        <v>182</v>
      </c>
      <c r="AG744" t="s">
        <v>4514</v>
      </c>
      <c r="AI744" t="s">
        <v>2349</v>
      </c>
      <c r="AJ744" t="s">
        <v>678</v>
      </c>
      <c r="AK744" t="s">
        <v>99</v>
      </c>
      <c r="AL744" t="s">
        <v>7808</v>
      </c>
      <c r="AM744" t="s">
        <v>7809</v>
      </c>
      <c r="AR744" t="s">
        <v>125</v>
      </c>
      <c r="AT744" t="s">
        <v>7810</v>
      </c>
      <c r="AV744" t="s">
        <v>128</v>
      </c>
      <c r="AZ744" t="s">
        <v>80</v>
      </c>
    </row>
    <row r="745" spans="1:52" hidden="1" x14ac:dyDescent="0.25">
      <c r="A745" t="s">
        <v>7811</v>
      </c>
      <c r="B745" t="s">
        <v>3382</v>
      </c>
      <c r="C745" t="s">
        <v>7801</v>
      </c>
      <c r="D745" t="s">
        <v>7493</v>
      </c>
      <c r="E745" t="s">
        <v>3385</v>
      </c>
      <c r="F745" t="s">
        <v>3385</v>
      </c>
      <c r="G745" t="s">
        <v>3386</v>
      </c>
      <c r="J745" t="s">
        <v>80</v>
      </c>
      <c r="K745" t="s">
        <v>538</v>
      </c>
      <c r="L745" t="s">
        <v>111</v>
      </c>
      <c r="M745" t="s">
        <v>3387</v>
      </c>
      <c r="P745" t="s">
        <v>134</v>
      </c>
      <c r="Q745" t="s">
        <v>1205</v>
      </c>
      <c r="R745" t="s">
        <v>914</v>
      </c>
      <c r="S745" t="s">
        <v>444</v>
      </c>
      <c r="T745" t="s">
        <v>3388</v>
      </c>
      <c r="U745" t="s">
        <v>346</v>
      </c>
      <c r="V745" t="s">
        <v>3389</v>
      </c>
      <c r="W745" t="s">
        <v>5874</v>
      </c>
      <c r="X745" t="s">
        <v>7812</v>
      </c>
      <c r="Y745" t="s">
        <v>93</v>
      </c>
      <c r="Z745" t="s">
        <v>2986</v>
      </c>
      <c r="AA745" t="s">
        <v>3391</v>
      </c>
      <c r="AB745" t="s">
        <v>182</v>
      </c>
      <c r="AC745" t="s">
        <v>3392</v>
      </c>
      <c r="AD745" t="s">
        <v>2986</v>
      </c>
      <c r="AE745" t="s">
        <v>3391</v>
      </c>
      <c r="AF745" t="s">
        <v>182</v>
      </c>
      <c r="AG745" t="s">
        <v>3392</v>
      </c>
      <c r="AI745" t="s">
        <v>7813</v>
      </c>
      <c r="AJ745" t="s">
        <v>2986</v>
      </c>
      <c r="AK745" t="s">
        <v>99</v>
      </c>
      <c r="AL745" t="s">
        <v>7814</v>
      </c>
      <c r="AM745" t="s">
        <v>3402</v>
      </c>
      <c r="AR745" t="s">
        <v>125</v>
      </c>
      <c r="AT745" t="s">
        <v>7815</v>
      </c>
      <c r="AV745" t="s">
        <v>128</v>
      </c>
      <c r="AZ745" t="s">
        <v>80</v>
      </c>
    </row>
    <row r="746" spans="1:52" hidden="1" x14ac:dyDescent="0.25">
      <c r="A746" t="s">
        <v>7816</v>
      </c>
      <c r="B746" t="s">
        <v>4525</v>
      </c>
      <c r="C746" t="s">
        <v>7801</v>
      </c>
      <c r="D746" t="s">
        <v>7493</v>
      </c>
      <c r="E746" t="s">
        <v>4527</v>
      </c>
      <c r="F746" t="s">
        <v>4527</v>
      </c>
      <c r="G746" t="s">
        <v>4528</v>
      </c>
      <c r="J746" t="s">
        <v>80</v>
      </c>
      <c r="K746" t="s">
        <v>538</v>
      </c>
      <c r="L746" t="s">
        <v>111</v>
      </c>
      <c r="M746" t="s">
        <v>4529</v>
      </c>
      <c r="P746" t="s">
        <v>134</v>
      </c>
      <c r="Q746" t="s">
        <v>1205</v>
      </c>
      <c r="R746" t="s">
        <v>914</v>
      </c>
      <c r="S746" t="s">
        <v>444</v>
      </c>
      <c r="T746" t="s">
        <v>4510</v>
      </c>
      <c r="U746" t="s">
        <v>2907</v>
      </c>
      <c r="V746" t="s">
        <v>2519</v>
      </c>
      <c r="W746" t="s">
        <v>7817</v>
      </c>
      <c r="X746" t="s">
        <v>7818</v>
      </c>
      <c r="Y746" t="s">
        <v>93</v>
      </c>
      <c r="Z746" t="s">
        <v>678</v>
      </c>
      <c r="AA746" t="s">
        <v>4531</v>
      </c>
      <c r="AB746" t="s">
        <v>182</v>
      </c>
      <c r="AC746" t="s">
        <v>4532</v>
      </c>
      <c r="AD746" t="s">
        <v>678</v>
      </c>
      <c r="AE746" t="s">
        <v>4531</v>
      </c>
      <c r="AF746" t="s">
        <v>182</v>
      </c>
      <c r="AG746" t="s">
        <v>4532</v>
      </c>
      <c r="AI746" t="s">
        <v>7819</v>
      </c>
      <c r="AJ746" t="s">
        <v>678</v>
      </c>
      <c r="AK746" t="s">
        <v>99</v>
      </c>
      <c r="AL746" t="s">
        <v>7820</v>
      </c>
      <c r="AM746" t="s">
        <v>7821</v>
      </c>
      <c r="AR746" t="s">
        <v>125</v>
      </c>
      <c r="AT746" t="s">
        <v>7822</v>
      </c>
      <c r="AV746" t="s">
        <v>128</v>
      </c>
      <c r="AZ746" t="s">
        <v>80</v>
      </c>
    </row>
    <row r="747" spans="1:52" hidden="1" x14ac:dyDescent="0.25">
      <c r="A747" t="s">
        <v>7823</v>
      </c>
      <c r="B747" t="s">
        <v>4538</v>
      </c>
      <c r="C747" t="s">
        <v>7801</v>
      </c>
      <c r="D747" t="s">
        <v>7493</v>
      </c>
      <c r="E747" t="s">
        <v>4540</v>
      </c>
      <c r="F747" t="s">
        <v>4540</v>
      </c>
      <c r="G747" t="s">
        <v>4541</v>
      </c>
      <c r="J747" t="s">
        <v>80</v>
      </c>
      <c r="K747" t="s">
        <v>538</v>
      </c>
      <c r="L747" t="s">
        <v>111</v>
      </c>
      <c r="M747">
        <v>69813</v>
      </c>
      <c r="P747" t="s">
        <v>134</v>
      </c>
      <c r="Q747" t="s">
        <v>1205</v>
      </c>
      <c r="R747" t="s">
        <v>914</v>
      </c>
      <c r="S747" t="s">
        <v>444</v>
      </c>
      <c r="T747" t="s">
        <v>4497</v>
      </c>
      <c r="U747" t="s">
        <v>401</v>
      </c>
      <c r="V747" t="s">
        <v>514</v>
      </c>
      <c r="W747" t="s">
        <v>2001</v>
      </c>
      <c r="X747" t="s">
        <v>7824</v>
      </c>
      <c r="Y747" t="s">
        <v>93</v>
      </c>
      <c r="Z747" t="s">
        <v>2613</v>
      </c>
      <c r="AA747" t="s">
        <v>4542</v>
      </c>
      <c r="AB747" t="s">
        <v>182</v>
      </c>
      <c r="AC747" t="s">
        <v>4532</v>
      </c>
      <c r="AD747" t="s">
        <v>2613</v>
      </c>
      <c r="AE747" t="s">
        <v>4542</v>
      </c>
      <c r="AF747" t="s">
        <v>182</v>
      </c>
      <c r="AG747" t="s">
        <v>4532</v>
      </c>
      <c r="AI747" t="s">
        <v>7825</v>
      </c>
      <c r="AJ747" t="s">
        <v>2613</v>
      </c>
      <c r="AK747" t="s">
        <v>99</v>
      </c>
      <c r="AL747" t="s">
        <v>7826</v>
      </c>
      <c r="AM747" t="s">
        <v>7827</v>
      </c>
      <c r="AR747" t="s">
        <v>125</v>
      </c>
      <c r="AT747" t="s">
        <v>7828</v>
      </c>
      <c r="AV747" t="s">
        <v>128</v>
      </c>
      <c r="AZ747" t="s">
        <v>80</v>
      </c>
    </row>
    <row r="748" spans="1:52" hidden="1" x14ac:dyDescent="0.25">
      <c r="A748" t="s">
        <v>7829</v>
      </c>
      <c r="B748" t="s">
        <v>4547</v>
      </c>
      <c r="C748" t="s">
        <v>7830</v>
      </c>
      <c r="D748" t="s">
        <v>7493</v>
      </c>
      <c r="E748" t="s">
        <v>4549</v>
      </c>
      <c r="F748" t="s">
        <v>4549</v>
      </c>
      <c r="G748" t="s">
        <v>4550</v>
      </c>
      <c r="J748" t="s">
        <v>80</v>
      </c>
      <c r="K748" t="s">
        <v>538</v>
      </c>
      <c r="L748" t="s">
        <v>111</v>
      </c>
      <c r="M748">
        <v>69809</v>
      </c>
      <c r="P748" t="s">
        <v>134</v>
      </c>
      <c r="Q748" t="s">
        <v>1205</v>
      </c>
      <c r="R748" t="s">
        <v>914</v>
      </c>
      <c r="S748" t="s">
        <v>444</v>
      </c>
      <c r="T748" t="s">
        <v>4497</v>
      </c>
      <c r="U748" t="s">
        <v>2361</v>
      </c>
      <c r="V748" t="s">
        <v>2779</v>
      </c>
      <c r="W748" t="s">
        <v>2001</v>
      </c>
      <c r="X748" t="s">
        <v>7824</v>
      </c>
      <c r="Y748" t="s">
        <v>93</v>
      </c>
      <c r="Z748" t="s">
        <v>2613</v>
      </c>
      <c r="AA748" t="s">
        <v>4551</v>
      </c>
      <c r="AB748" t="s">
        <v>182</v>
      </c>
      <c r="AC748" t="s">
        <v>2706</v>
      </c>
      <c r="AD748" t="s">
        <v>2613</v>
      </c>
      <c r="AE748" t="s">
        <v>4551</v>
      </c>
      <c r="AF748" t="s">
        <v>182</v>
      </c>
      <c r="AG748" t="s">
        <v>2706</v>
      </c>
      <c r="AI748" t="s">
        <v>6886</v>
      </c>
      <c r="AJ748" t="s">
        <v>2613</v>
      </c>
      <c r="AK748" t="s">
        <v>99</v>
      </c>
      <c r="AL748" t="s">
        <v>7831</v>
      </c>
      <c r="AM748" t="s">
        <v>4544</v>
      </c>
      <c r="AR748" t="s">
        <v>125</v>
      </c>
      <c r="AT748" t="s">
        <v>7832</v>
      </c>
      <c r="AV748" t="s">
        <v>128</v>
      </c>
      <c r="AZ748" t="s">
        <v>80</v>
      </c>
    </row>
    <row r="749" spans="1:52" hidden="1" x14ac:dyDescent="0.25">
      <c r="A749" t="s">
        <v>7833</v>
      </c>
      <c r="B749" t="s">
        <v>4556</v>
      </c>
      <c r="C749" t="s">
        <v>7830</v>
      </c>
      <c r="D749" t="s">
        <v>7493</v>
      </c>
      <c r="E749" t="s">
        <v>4558</v>
      </c>
      <c r="F749" t="s">
        <v>4558</v>
      </c>
      <c r="G749" t="s">
        <v>4559</v>
      </c>
      <c r="J749" t="s">
        <v>80</v>
      </c>
      <c r="K749" t="s">
        <v>538</v>
      </c>
      <c r="L749" t="s">
        <v>111</v>
      </c>
      <c r="M749">
        <v>69809</v>
      </c>
      <c r="P749" t="s">
        <v>134</v>
      </c>
      <c r="Q749" t="s">
        <v>1205</v>
      </c>
      <c r="R749" t="s">
        <v>914</v>
      </c>
      <c r="S749" t="s">
        <v>444</v>
      </c>
      <c r="T749" t="s">
        <v>4497</v>
      </c>
      <c r="U749" t="s">
        <v>2361</v>
      </c>
      <c r="V749" t="s">
        <v>2779</v>
      </c>
      <c r="W749" t="s">
        <v>7817</v>
      </c>
      <c r="X749" t="s">
        <v>7834</v>
      </c>
      <c r="Y749" t="s">
        <v>93</v>
      </c>
      <c r="Z749" t="s">
        <v>2613</v>
      </c>
      <c r="AA749" t="s">
        <v>4551</v>
      </c>
      <c r="AB749" t="s">
        <v>182</v>
      </c>
      <c r="AC749" t="s">
        <v>2706</v>
      </c>
      <c r="AD749" t="s">
        <v>2613</v>
      </c>
      <c r="AE749" t="s">
        <v>4551</v>
      </c>
      <c r="AF749" t="s">
        <v>182</v>
      </c>
      <c r="AG749" t="s">
        <v>2706</v>
      </c>
      <c r="AI749" t="s">
        <v>6886</v>
      </c>
      <c r="AJ749" t="s">
        <v>2613</v>
      </c>
      <c r="AK749" t="s">
        <v>99</v>
      </c>
      <c r="AL749" t="s">
        <v>7835</v>
      </c>
      <c r="AM749" t="s">
        <v>4562</v>
      </c>
      <c r="AR749" t="s">
        <v>125</v>
      </c>
      <c r="AT749" t="s">
        <v>7836</v>
      </c>
      <c r="AV749" t="s">
        <v>128</v>
      </c>
      <c r="AZ749" t="s">
        <v>80</v>
      </c>
    </row>
    <row r="750" spans="1:52" hidden="1" x14ac:dyDescent="0.25">
      <c r="A750" t="s">
        <v>7837</v>
      </c>
      <c r="B750" t="s">
        <v>4565</v>
      </c>
      <c r="C750" t="s">
        <v>7830</v>
      </c>
      <c r="D750" t="s">
        <v>7493</v>
      </c>
      <c r="E750" t="s">
        <v>4567</v>
      </c>
      <c r="F750" t="s">
        <v>4567</v>
      </c>
      <c r="G750" t="s">
        <v>4568</v>
      </c>
      <c r="J750" t="s">
        <v>80</v>
      </c>
      <c r="K750" t="s">
        <v>538</v>
      </c>
      <c r="L750" t="s">
        <v>111</v>
      </c>
      <c r="M750" t="s">
        <v>4569</v>
      </c>
      <c r="P750" t="s">
        <v>134</v>
      </c>
      <c r="Q750" t="s">
        <v>1205</v>
      </c>
      <c r="R750" t="s">
        <v>914</v>
      </c>
      <c r="S750" t="s">
        <v>444</v>
      </c>
      <c r="T750" t="s">
        <v>4510</v>
      </c>
      <c r="U750" t="s">
        <v>4570</v>
      </c>
      <c r="V750" t="s">
        <v>4571</v>
      </c>
      <c r="W750" t="s">
        <v>7817</v>
      </c>
      <c r="X750" t="s">
        <v>7818</v>
      </c>
      <c r="Y750" t="s">
        <v>93</v>
      </c>
      <c r="Z750" t="s">
        <v>678</v>
      </c>
      <c r="AA750" t="s">
        <v>164</v>
      </c>
      <c r="AB750" t="s">
        <v>182</v>
      </c>
      <c r="AC750" t="s">
        <v>2715</v>
      </c>
      <c r="AD750" t="s">
        <v>678</v>
      </c>
      <c r="AE750" t="s">
        <v>164</v>
      </c>
      <c r="AF750" t="s">
        <v>182</v>
      </c>
      <c r="AG750" t="s">
        <v>2715</v>
      </c>
      <c r="AI750" t="s">
        <v>166</v>
      </c>
      <c r="AJ750" t="s">
        <v>678</v>
      </c>
      <c r="AK750" t="s">
        <v>99</v>
      </c>
      <c r="AL750" t="s">
        <v>7838</v>
      </c>
      <c r="AM750" t="s">
        <v>4562</v>
      </c>
      <c r="AR750" t="s">
        <v>125</v>
      </c>
      <c r="AT750" t="s">
        <v>7839</v>
      </c>
      <c r="AV750" t="s">
        <v>128</v>
      </c>
      <c r="AZ750" t="s">
        <v>80</v>
      </c>
    </row>
    <row r="751" spans="1:52" hidden="1" x14ac:dyDescent="0.25">
      <c r="A751" t="s">
        <v>7840</v>
      </c>
      <c r="B751" t="s">
        <v>4577</v>
      </c>
      <c r="C751" t="s">
        <v>7830</v>
      </c>
      <c r="D751" t="s">
        <v>7493</v>
      </c>
      <c r="E751" t="s">
        <v>4580</v>
      </c>
      <c r="F751" t="s">
        <v>4580</v>
      </c>
      <c r="G751" t="s">
        <v>4581</v>
      </c>
      <c r="J751" t="s">
        <v>80</v>
      </c>
      <c r="K751" t="s">
        <v>538</v>
      </c>
      <c r="L751" t="s">
        <v>111</v>
      </c>
      <c r="M751">
        <v>69805</v>
      </c>
      <c r="P751" t="s">
        <v>134</v>
      </c>
      <c r="Q751" t="s">
        <v>1205</v>
      </c>
      <c r="R751" t="s">
        <v>914</v>
      </c>
      <c r="S751" t="s">
        <v>444</v>
      </c>
      <c r="T751" t="s">
        <v>4497</v>
      </c>
      <c r="U751" t="s">
        <v>114</v>
      </c>
      <c r="V751" t="s">
        <v>4582</v>
      </c>
      <c r="W751" t="s">
        <v>2001</v>
      </c>
      <c r="X751" t="s">
        <v>7824</v>
      </c>
      <c r="Y751" t="s">
        <v>93</v>
      </c>
      <c r="Z751" t="s">
        <v>2613</v>
      </c>
      <c r="AA751" t="s">
        <v>4050</v>
      </c>
      <c r="AB751" t="s">
        <v>182</v>
      </c>
      <c r="AC751" t="s">
        <v>2715</v>
      </c>
      <c r="AD751" t="s">
        <v>2613</v>
      </c>
      <c r="AE751" t="s">
        <v>4050</v>
      </c>
      <c r="AF751" t="s">
        <v>182</v>
      </c>
      <c r="AG751" t="s">
        <v>2715</v>
      </c>
      <c r="AI751" t="s">
        <v>7841</v>
      </c>
      <c r="AJ751" t="s">
        <v>2613</v>
      </c>
      <c r="AK751" t="s">
        <v>99</v>
      </c>
      <c r="AL751" t="s">
        <v>7842</v>
      </c>
      <c r="AM751" t="s">
        <v>7843</v>
      </c>
      <c r="AR751" t="s">
        <v>125</v>
      </c>
      <c r="AT751" t="s">
        <v>7844</v>
      </c>
      <c r="AV751" t="s">
        <v>128</v>
      </c>
      <c r="AZ751" t="s">
        <v>80</v>
      </c>
    </row>
    <row r="752" spans="1:52" hidden="1" x14ac:dyDescent="0.25">
      <c r="A752" t="s">
        <v>7845</v>
      </c>
      <c r="B752" t="s">
        <v>7846</v>
      </c>
      <c r="C752" t="s">
        <v>7830</v>
      </c>
      <c r="D752" t="s">
        <v>7493</v>
      </c>
      <c r="E752" t="s">
        <v>7847</v>
      </c>
      <c r="F752" t="s">
        <v>7847</v>
      </c>
      <c r="G752" t="s">
        <v>7848</v>
      </c>
      <c r="J752" t="s">
        <v>80</v>
      </c>
      <c r="K752" t="s">
        <v>538</v>
      </c>
      <c r="L752" t="s">
        <v>111</v>
      </c>
      <c r="M752" t="s">
        <v>7849</v>
      </c>
      <c r="P752" t="s">
        <v>134</v>
      </c>
      <c r="Q752" t="s">
        <v>1205</v>
      </c>
      <c r="R752" t="s">
        <v>914</v>
      </c>
      <c r="S752" t="s">
        <v>444</v>
      </c>
      <c r="T752" t="s">
        <v>7850</v>
      </c>
      <c r="U752" t="s">
        <v>274</v>
      </c>
      <c r="V752" t="s">
        <v>2548</v>
      </c>
      <c r="W752" t="s">
        <v>797</v>
      </c>
      <c r="X752" t="s">
        <v>7851</v>
      </c>
      <c r="Y752" t="s">
        <v>93</v>
      </c>
      <c r="Z752" t="s">
        <v>699</v>
      </c>
      <c r="AA752" t="s">
        <v>1697</v>
      </c>
      <c r="AB752" t="s">
        <v>7852</v>
      </c>
      <c r="AC752" t="s">
        <v>718</v>
      </c>
      <c r="AD752" t="s">
        <v>699</v>
      </c>
      <c r="AE752" t="s">
        <v>1697</v>
      </c>
      <c r="AF752" t="s">
        <v>7852</v>
      </c>
      <c r="AG752" t="s">
        <v>718</v>
      </c>
      <c r="AI752" t="s">
        <v>1699</v>
      </c>
      <c r="AJ752" t="s">
        <v>699</v>
      </c>
      <c r="AK752" t="s">
        <v>99</v>
      </c>
      <c r="AL752" t="s">
        <v>7853</v>
      </c>
      <c r="AM752" t="s">
        <v>7854</v>
      </c>
      <c r="AR752" t="s">
        <v>125</v>
      </c>
      <c r="AT752" t="s">
        <v>7855</v>
      </c>
      <c r="AV752" t="s">
        <v>128</v>
      </c>
      <c r="AZ752" t="s">
        <v>80</v>
      </c>
    </row>
    <row r="753" spans="1:52" hidden="1" x14ac:dyDescent="0.25">
      <c r="A753" t="s">
        <v>7856</v>
      </c>
      <c r="B753" t="s">
        <v>4586</v>
      </c>
      <c r="C753" t="s">
        <v>7857</v>
      </c>
      <c r="D753" t="s">
        <v>7493</v>
      </c>
      <c r="E753" t="s">
        <v>4589</v>
      </c>
      <c r="F753" t="s">
        <v>4589</v>
      </c>
      <c r="G753" t="s">
        <v>4590</v>
      </c>
      <c r="J753" t="s">
        <v>80</v>
      </c>
      <c r="K753" t="s">
        <v>538</v>
      </c>
      <c r="L753" t="s">
        <v>111</v>
      </c>
      <c r="M753" t="s">
        <v>4591</v>
      </c>
      <c r="P753" t="s">
        <v>134</v>
      </c>
      <c r="Q753" t="s">
        <v>1205</v>
      </c>
      <c r="R753" t="s">
        <v>914</v>
      </c>
      <c r="S753" t="s">
        <v>444</v>
      </c>
      <c r="T753" t="s">
        <v>4510</v>
      </c>
      <c r="U753" t="s">
        <v>4570</v>
      </c>
      <c r="V753" t="s">
        <v>4592</v>
      </c>
      <c r="W753" t="s">
        <v>3972</v>
      </c>
      <c r="X753" t="s">
        <v>7807</v>
      </c>
      <c r="Y753" t="s">
        <v>93</v>
      </c>
      <c r="Z753" t="s">
        <v>182</v>
      </c>
      <c r="AA753" t="s">
        <v>603</v>
      </c>
      <c r="AB753" t="s">
        <v>678</v>
      </c>
      <c r="AC753" t="s">
        <v>4593</v>
      </c>
      <c r="AD753" t="s">
        <v>182</v>
      </c>
      <c r="AE753" t="s">
        <v>603</v>
      </c>
      <c r="AF753" t="s">
        <v>678</v>
      </c>
      <c r="AG753" t="s">
        <v>4593</v>
      </c>
      <c r="AI753" t="s">
        <v>605</v>
      </c>
      <c r="AJ753" t="s">
        <v>182</v>
      </c>
      <c r="AK753" t="s">
        <v>99</v>
      </c>
      <c r="AL753" t="s">
        <v>7858</v>
      </c>
      <c r="AM753" t="s">
        <v>4595</v>
      </c>
      <c r="AR753" t="s">
        <v>125</v>
      </c>
      <c r="AT753" t="s">
        <v>7859</v>
      </c>
      <c r="AV753" t="s">
        <v>128</v>
      </c>
      <c r="AZ753" t="s">
        <v>80</v>
      </c>
    </row>
    <row r="754" spans="1:52" hidden="1" x14ac:dyDescent="0.25">
      <c r="A754" t="s">
        <v>7860</v>
      </c>
      <c r="B754" t="s">
        <v>4598</v>
      </c>
      <c r="C754" t="s">
        <v>7857</v>
      </c>
      <c r="D754" t="s">
        <v>7493</v>
      </c>
      <c r="E754" t="s">
        <v>4601</v>
      </c>
      <c r="F754" t="s">
        <v>4601</v>
      </c>
      <c r="G754" t="s">
        <v>4602</v>
      </c>
      <c r="J754" t="s">
        <v>80</v>
      </c>
      <c r="K754" t="s">
        <v>538</v>
      </c>
      <c r="L754" t="s">
        <v>111</v>
      </c>
      <c r="M754">
        <v>69840</v>
      </c>
      <c r="P754" t="s">
        <v>134</v>
      </c>
      <c r="Q754" t="s">
        <v>1205</v>
      </c>
      <c r="R754" t="s">
        <v>914</v>
      </c>
      <c r="S754" t="s">
        <v>444</v>
      </c>
      <c r="T754" t="s">
        <v>4497</v>
      </c>
      <c r="U754" t="s">
        <v>2260</v>
      </c>
      <c r="V754" t="s">
        <v>3971</v>
      </c>
      <c r="W754" t="s">
        <v>3972</v>
      </c>
      <c r="X754" t="s">
        <v>7802</v>
      </c>
      <c r="Y754" t="s">
        <v>93</v>
      </c>
      <c r="Z754" t="s">
        <v>182</v>
      </c>
      <c r="AA754" t="s">
        <v>4354</v>
      </c>
      <c r="AB754" t="s">
        <v>2613</v>
      </c>
      <c r="AC754" t="s">
        <v>4603</v>
      </c>
      <c r="AD754" t="s">
        <v>182</v>
      </c>
      <c r="AE754" t="s">
        <v>4354</v>
      </c>
      <c r="AF754" t="s">
        <v>2613</v>
      </c>
      <c r="AG754" t="s">
        <v>4603</v>
      </c>
      <c r="AI754" t="s">
        <v>3680</v>
      </c>
      <c r="AJ754" t="s">
        <v>182</v>
      </c>
      <c r="AK754" t="s">
        <v>99</v>
      </c>
      <c r="AL754" t="s">
        <v>7861</v>
      </c>
      <c r="AM754" t="s">
        <v>4605</v>
      </c>
      <c r="AR754" t="s">
        <v>125</v>
      </c>
      <c r="AT754" t="s">
        <v>7862</v>
      </c>
      <c r="AV754" t="s">
        <v>128</v>
      </c>
      <c r="AZ754" t="s">
        <v>80</v>
      </c>
    </row>
    <row r="755" spans="1:52" hidden="1" x14ac:dyDescent="0.25">
      <c r="A755" t="s">
        <v>7863</v>
      </c>
      <c r="B755" t="s">
        <v>4608</v>
      </c>
      <c r="C755" t="s">
        <v>7857</v>
      </c>
      <c r="D755" t="s">
        <v>7493</v>
      </c>
      <c r="E755" t="s">
        <v>4610</v>
      </c>
      <c r="F755" t="s">
        <v>4610</v>
      </c>
      <c r="G755" t="s">
        <v>4611</v>
      </c>
      <c r="J755" t="s">
        <v>80</v>
      </c>
      <c r="K755" t="s">
        <v>538</v>
      </c>
      <c r="L755" t="s">
        <v>111</v>
      </c>
      <c r="M755" t="s">
        <v>4612</v>
      </c>
      <c r="P755" t="s">
        <v>134</v>
      </c>
      <c r="Q755" t="s">
        <v>1205</v>
      </c>
      <c r="R755" t="s">
        <v>914</v>
      </c>
      <c r="S755" t="s">
        <v>444</v>
      </c>
      <c r="T755" t="s">
        <v>3388</v>
      </c>
      <c r="U755" t="s">
        <v>4613</v>
      </c>
      <c r="V755" t="s">
        <v>4483</v>
      </c>
      <c r="W755" t="s">
        <v>2535</v>
      </c>
      <c r="X755" t="s">
        <v>7864</v>
      </c>
      <c r="Y755" t="s">
        <v>93</v>
      </c>
      <c r="Z755" t="s">
        <v>182</v>
      </c>
      <c r="AA755" t="s">
        <v>4615</v>
      </c>
      <c r="AB755" t="s">
        <v>2986</v>
      </c>
      <c r="AC755" t="s">
        <v>4603</v>
      </c>
      <c r="AD755" t="s">
        <v>182</v>
      </c>
      <c r="AE755" t="s">
        <v>4615</v>
      </c>
      <c r="AF755" t="s">
        <v>2986</v>
      </c>
      <c r="AG755" t="s">
        <v>4603</v>
      </c>
      <c r="AI755" t="s">
        <v>4616</v>
      </c>
      <c r="AJ755" t="s">
        <v>182</v>
      </c>
      <c r="AK755" t="s">
        <v>99</v>
      </c>
      <c r="AL755" t="s">
        <v>7865</v>
      </c>
      <c r="AM755" t="s">
        <v>4618</v>
      </c>
      <c r="AR755" t="s">
        <v>125</v>
      </c>
      <c r="AT755" t="s">
        <v>7866</v>
      </c>
      <c r="AV755" t="s">
        <v>128</v>
      </c>
      <c r="AZ755" t="s">
        <v>80</v>
      </c>
    </row>
    <row r="756" spans="1:52" hidden="1" x14ac:dyDescent="0.25">
      <c r="A756" t="s">
        <v>7867</v>
      </c>
      <c r="B756" t="s">
        <v>4621</v>
      </c>
      <c r="C756" t="s">
        <v>7857</v>
      </c>
      <c r="D756" t="s">
        <v>7493</v>
      </c>
      <c r="E756" t="s">
        <v>4623</v>
      </c>
      <c r="F756" t="s">
        <v>4623</v>
      </c>
      <c r="G756" t="s">
        <v>4624</v>
      </c>
      <c r="J756" t="s">
        <v>80</v>
      </c>
      <c r="K756" t="s">
        <v>538</v>
      </c>
      <c r="L756" t="s">
        <v>111</v>
      </c>
      <c r="M756" t="s">
        <v>4625</v>
      </c>
      <c r="P756" t="s">
        <v>134</v>
      </c>
      <c r="Q756" t="s">
        <v>1205</v>
      </c>
      <c r="R756" t="s">
        <v>914</v>
      </c>
      <c r="S756" t="s">
        <v>444</v>
      </c>
      <c r="T756" t="s">
        <v>4510</v>
      </c>
      <c r="U756" t="s">
        <v>4626</v>
      </c>
      <c r="V756" t="s">
        <v>2651</v>
      </c>
      <c r="W756" t="s">
        <v>2535</v>
      </c>
      <c r="X756" t="s">
        <v>7868</v>
      </c>
      <c r="Y756" t="s">
        <v>93</v>
      </c>
      <c r="Z756" t="s">
        <v>182</v>
      </c>
      <c r="AA756" t="s">
        <v>4628</v>
      </c>
      <c r="AB756" t="s">
        <v>678</v>
      </c>
      <c r="AC756" t="s">
        <v>4021</v>
      </c>
      <c r="AD756" t="s">
        <v>182</v>
      </c>
      <c r="AE756" t="s">
        <v>4628</v>
      </c>
      <c r="AF756" t="s">
        <v>678</v>
      </c>
      <c r="AG756" t="s">
        <v>4021</v>
      </c>
      <c r="AI756" t="s">
        <v>7869</v>
      </c>
      <c r="AJ756" t="s">
        <v>182</v>
      </c>
      <c r="AK756" t="s">
        <v>99</v>
      </c>
      <c r="AL756" t="s">
        <v>7870</v>
      </c>
      <c r="AM756" t="s">
        <v>4631</v>
      </c>
      <c r="AR756" t="s">
        <v>125</v>
      </c>
      <c r="AT756" t="s">
        <v>7871</v>
      </c>
      <c r="AV756" t="s">
        <v>128</v>
      </c>
      <c r="AZ756" t="s">
        <v>80</v>
      </c>
    </row>
    <row r="757" spans="1:52" hidden="1" x14ac:dyDescent="0.25">
      <c r="A757" t="s">
        <v>7872</v>
      </c>
      <c r="B757" t="s">
        <v>4634</v>
      </c>
      <c r="C757" t="s">
        <v>7873</v>
      </c>
      <c r="D757" t="s">
        <v>7493</v>
      </c>
      <c r="E757" t="s">
        <v>4636</v>
      </c>
      <c r="F757" t="s">
        <v>4636</v>
      </c>
      <c r="G757" t="s">
        <v>4637</v>
      </c>
      <c r="J757" t="s">
        <v>80</v>
      </c>
      <c r="K757" t="s">
        <v>538</v>
      </c>
      <c r="L757" t="s">
        <v>111</v>
      </c>
      <c r="M757">
        <v>69834</v>
      </c>
      <c r="P757" t="s">
        <v>134</v>
      </c>
      <c r="Q757" t="s">
        <v>1205</v>
      </c>
      <c r="R757" t="s">
        <v>914</v>
      </c>
      <c r="S757" t="s">
        <v>444</v>
      </c>
      <c r="T757" t="s">
        <v>4497</v>
      </c>
      <c r="U757" t="s">
        <v>2428</v>
      </c>
      <c r="V757" t="s">
        <v>4638</v>
      </c>
      <c r="W757" t="s">
        <v>2001</v>
      </c>
      <c r="X757" t="s">
        <v>7824</v>
      </c>
      <c r="Y757" t="s">
        <v>93</v>
      </c>
      <c r="Z757" t="s">
        <v>182</v>
      </c>
      <c r="AA757" t="s">
        <v>639</v>
      </c>
      <c r="AB757" t="s">
        <v>2613</v>
      </c>
      <c r="AC757" t="s">
        <v>2400</v>
      </c>
      <c r="AD757" t="s">
        <v>182</v>
      </c>
      <c r="AE757" t="s">
        <v>639</v>
      </c>
      <c r="AF757" t="s">
        <v>2613</v>
      </c>
      <c r="AG757" t="s">
        <v>2400</v>
      </c>
      <c r="AI757" t="s">
        <v>2856</v>
      </c>
      <c r="AJ757" t="s">
        <v>182</v>
      </c>
      <c r="AK757" t="s">
        <v>99</v>
      </c>
      <c r="AL757" t="s">
        <v>7874</v>
      </c>
      <c r="AM757" t="s">
        <v>7875</v>
      </c>
      <c r="AR757" t="s">
        <v>125</v>
      </c>
      <c r="AT757" t="s">
        <v>7876</v>
      </c>
      <c r="AV757" t="s">
        <v>128</v>
      </c>
      <c r="AZ757" t="s">
        <v>80</v>
      </c>
    </row>
    <row r="758" spans="1:52" hidden="1" x14ac:dyDescent="0.25">
      <c r="A758" t="s">
        <v>7877</v>
      </c>
      <c r="B758" t="s">
        <v>4643</v>
      </c>
      <c r="C758" t="s">
        <v>7873</v>
      </c>
      <c r="D758" t="s">
        <v>7493</v>
      </c>
      <c r="E758" t="s">
        <v>4645</v>
      </c>
      <c r="F758" t="s">
        <v>4645</v>
      </c>
      <c r="G758" t="s">
        <v>4646</v>
      </c>
      <c r="J758" t="s">
        <v>80</v>
      </c>
      <c r="K758" t="s">
        <v>538</v>
      </c>
      <c r="L758" t="s">
        <v>111</v>
      </c>
      <c r="M758" t="s">
        <v>4647</v>
      </c>
      <c r="O758" t="s">
        <v>4648</v>
      </c>
      <c r="P758" t="s">
        <v>134</v>
      </c>
      <c r="Q758" t="s">
        <v>1205</v>
      </c>
      <c r="R758" t="s">
        <v>914</v>
      </c>
      <c r="S758" t="s">
        <v>444</v>
      </c>
      <c r="T758" t="s">
        <v>3388</v>
      </c>
      <c r="U758" t="s">
        <v>4649</v>
      </c>
      <c r="V758" t="s">
        <v>4650</v>
      </c>
      <c r="W758" t="s">
        <v>7817</v>
      </c>
      <c r="X758" t="s">
        <v>7878</v>
      </c>
      <c r="Y758" t="s">
        <v>93</v>
      </c>
      <c r="Z758" t="s">
        <v>182</v>
      </c>
      <c r="AA758" t="s">
        <v>1500</v>
      </c>
      <c r="AB758" t="s">
        <v>2986</v>
      </c>
      <c r="AC758" t="s">
        <v>4651</v>
      </c>
      <c r="AD758" t="s">
        <v>182</v>
      </c>
      <c r="AE758" t="s">
        <v>1500</v>
      </c>
      <c r="AF758" t="s">
        <v>2986</v>
      </c>
      <c r="AG758" t="s">
        <v>4651</v>
      </c>
      <c r="AI758" t="s">
        <v>4217</v>
      </c>
      <c r="AJ758" t="s">
        <v>182</v>
      </c>
      <c r="AK758" t="s">
        <v>99</v>
      </c>
      <c r="AL758" t="s">
        <v>7879</v>
      </c>
      <c r="AM758" t="s">
        <v>4640</v>
      </c>
      <c r="AR758" t="s">
        <v>125</v>
      </c>
      <c r="AT758" t="s">
        <v>7880</v>
      </c>
      <c r="AV758" t="s">
        <v>190</v>
      </c>
      <c r="AZ758" t="s">
        <v>80</v>
      </c>
    </row>
    <row r="759" spans="1:52" hidden="1" x14ac:dyDescent="0.25">
      <c r="A759" t="s">
        <v>7881</v>
      </c>
      <c r="B759" t="s">
        <v>4655</v>
      </c>
      <c r="C759" t="s">
        <v>7873</v>
      </c>
      <c r="D759" t="s">
        <v>7493</v>
      </c>
      <c r="E759" t="s">
        <v>4658</v>
      </c>
      <c r="F759" t="s">
        <v>4658</v>
      </c>
      <c r="G759" t="s">
        <v>4659</v>
      </c>
      <c r="J759" t="s">
        <v>80</v>
      </c>
      <c r="K759" t="s">
        <v>538</v>
      </c>
      <c r="L759" t="s">
        <v>111</v>
      </c>
      <c r="M759">
        <v>69830</v>
      </c>
      <c r="P759" t="s">
        <v>134</v>
      </c>
      <c r="Q759" t="s">
        <v>1205</v>
      </c>
      <c r="R759" t="s">
        <v>914</v>
      </c>
      <c r="S759" t="s">
        <v>444</v>
      </c>
      <c r="T759" t="s">
        <v>4497</v>
      </c>
      <c r="U759" t="s">
        <v>401</v>
      </c>
      <c r="V759" t="s">
        <v>231</v>
      </c>
      <c r="W759" t="s">
        <v>7817</v>
      </c>
      <c r="X759" t="s">
        <v>7834</v>
      </c>
      <c r="Y759" t="s">
        <v>93</v>
      </c>
      <c r="Z759" t="s">
        <v>182</v>
      </c>
      <c r="AA759" t="s">
        <v>120</v>
      </c>
      <c r="AB759" t="s">
        <v>2613</v>
      </c>
      <c r="AC759" t="s">
        <v>3280</v>
      </c>
      <c r="AD759" t="s">
        <v>182</v>
      </c>
      <c r="AE759" t="s">
        <v>120</v>
      </c>
      <c r="AF759" t="s">
        <v>2613</v>
      </c>
      <c r="AG759" t="s">
        <v>3280</v>
      </c>
      <c r="AI759" t="s">
        <v>4660</v>
      </c>
      <c r="AJ759" t="s">
        <v>182</v>
      </c>
      <c r="AK759" t="s">
        <v>99</v>
      </c>
      <c r="AL759" t="s">
        <v>7882</v>
      </c>
      <c r="AM759" t="s">
        <v>7883</v>
      </c>
      <c r="AR759" t="s">
        <v>125</v>
      </c>
      <c r="AT759" t="s">
        <v>7884</v>
      </c>
      <c r="AV759" t="s">
        <v>128</v>
      </c>
      <c r="AZ759" t="s">
        <v>80</v>
      </c>
    </row>
    <row r="760" spans="1:52" hidden="1" x14ac:dyDescent="0.25">
      <c r="A760" t="s">
        <v>7885</v>
      </c>
      <c r="B760" t="s">
        <v>4665</v>
      </c>
      <c r="C760" t="s">
        <v>7873</v>
      </c>
      <c r="D760" t="s">
        <v>7493</v>
      </c>
      <c r="E760" t="s">
        <v>4667</v>
      </c>
      <c r="F760" t="s">
        <v>4667</v>
      </c>
      <c r="G760" t="s">
        <v>4668</v>
      </c>
      <c r="J760" t="s">
        <v>80</v>
      </c>
      <c r="K760" t="s">
        <v>538</v>
      </c>
      <c r="L760" t="s">
        <v>111</v>
      </c>
      <c r="M760">
        <v>69830</v>
      </c>
      <c r="P760" t="s">
        <v>134</v>
      </c>
      <c r="Q760" t="s">
        <v>1205</v>
      </c>
      <c r="R760" t="s">
        <v>914</v>
      </c>
      <c r="S760" t="s">
        <v>444</v>
      </c>
      <c r="T760" t="s">
        <v>4497</v>
      </c>
      <c r="U760" t="s">
        <v>401</v>
      </c>
      <c r="V760" t="s">
        <v>231</v>
      </c>
      <c r="W760" t="s">
        <v>2001</v>
      </c>
      <c r="X760" t="s">
        <v>7824</v>
      </c>
      <c r="Y760" t="s">
        <v>93</v>
      </c>
      <c r="Z760" t="s">
        <v>182</v>
      </c>
      <c r="AA760" t="s">
        <v>120</v>
      </c>
      <c r="AB760" t="s">
        <v>2613</v>
      </c>
      <c r="AC760" t="s">
        <v>3280</v>
      </c>
      <c r="AD760" t="s">
        <v>182</v>
      </c>
      <c r="AE760" t="s">
        <v>120</v>
      </c>
      <c r="AF760" t="s">
        <v>2613</v>
      </c>
      <c r="AG760" t="s">
        <v>3280</v>
      </c>
      <c r="AI760" t="s">
        <v>4660</v>
      </c>
      <c r="AJ760" t="s">
        <v>182</v>
      </c>
      <c r="AK760" t="s">
        <v>99</v>
      </c>
      <c r="AL760" t="s">
        <v>7886</v>
      </c>
      <c r="AM760" t="s">
        <v>4670</v>
      </c>
      <c r="AR760" t="s">
        <v>125</v>
      </c>
      <c r="AT760" t="s">
        <v>7887</v>
      </c>
      <c r="AV760" t="s">
        <v>128</v>
      </c>
      <c r="AZ760" t="s">
        <v>80</v>
      </c>
    </row>
    <row r="761" spans="1:52" hidden="1" x14ac:dyDescent="0.25">
      <c r="A761" t="s">
        <v>7888</v>
      </c>
      <c r="B761" t="s">
        <v>7889</v>
      </c>
      <c r="C761" t="s">
        <v>7873</v>
      </c>
      <c r="D761" t="s">
        <v>7493</v>
      </c>
      <c r="E761" t="s">
        <v>7890</v>
      </c>
      <c r="F761" t="s">
        <v>7890</v>
      </c>
      <c r="G761" t="s">
        <v>7891</v>
      </c>
      <c r="J761" t="s">
        <v>80</v>
      </c>
      <c r="K761" t="s">
        <v>538</v>
      </c>
      <c r="L761" t="s">
        <v>111</v>
      </c>
      <c r="M761">
        <v>69826</v>
      </c>
      <c r="P761" t="s">
        <v>134</v>
      </c>
      <c r="Q761" t="s">
        <v>1205</v>
      </c>
      <c r="R761" t="s">
        <v>914</v>
      </c>
      <c r="S761" t="s">
        <v>444</v>
      </c>
      <c r="T761" t="s">
        <v>7892</v>
      </c>
      <c r="U761" t="s">
        <v>7893</v>
      </c>
      <c r="V761" t="s">
        <v>2519</v>
      </c>
      <c r="W761" t="s">
        <v>797</v>
      </c>
      <c r="X761" t="s">
        <v>7894</v>
      </c>
      <c r="Y761" t="s">
        <v>93</v>
      </c>
      <c r="Z761" t="s">
        <v>7852</v>
      </c>
      <c r="AA761" t="s">
        <v>7895</v>
      </c>
      <c r="AB761" t="s">
        <v>2613</v>
      </c>
      <c r="AC761" t="s">
        <v>7075</v>
      </c>
      <c r="AD761" t="s">
        <v>7852</v>
      </c>
      <c r="AE761" t="s">
        <v>7895</v>
      </c>
      <c r="AF761" t="s">
        <v>2613</v>
      </c>
      <c r="AG761" t="s">
        <v>7075</v>
      </c>
      <c r="AI761" t="s">
        <v>7896</v>
      </c>
      <c r="AJ761" t="s">
        <v>7852</v>
      </c>
      <c r="AK761" t="s">
        <v>99</v>
      </c>
      <c r="AL761" t="s">
        <v>7897</v>
      </c>
      <c r="AM761" t="s">
        <v>7898</v>
      </c>
      <c r="AR761" t="s">
        <v>125</v>
      </c>
      <c r="AT761" t="s">
        <v>7899</v>
      </c>
      <c r="AV761" t="s">
        <v>128</v>
      </c>
      <c r="AZ761" t="s">
        <v>80</v>
      </c>
    </row>
    <row r="762" spans="1:52" x14ac:dyDescent="0.25">
      <c r="A762" t="s">
        <v>7900</v>
      </c>
      <c r="B762" t="s">
        <v>7901</v>
      </c>
      <c r="C762" t="s">
        <v>7902</v>
      </c>
      <c r="D762" t="s">
        <v>7493</v>
      </c>
      <c r="E762" t="s">
        <v>7903</v>
      </c>
      <c r="F762" t="s">
        <v>7903</v>
      </c>
      <c r="G762" t="s">
        <v>7904</v>
      </c>
      <c r="J762" t="s">
        <v>80</v>
      </c>
      <c r="K762" t="s">
        <v>538</v>
      </c>
      <c r="L762" t="s">
        <v>111</v>
      </c>
      <c r="M762" t="s">
        <v>7905</v>
      </c>
      <c r="O762" t="s">
        <v>7497</v>
      </c>
      <c r="P762" t="s">
        <v>134</v>
      </c>
      <c r="Q762" t="s">
        <v>1744</v>
      </c>
      <c r="R762" t="s">
        <v>1550</v>
      </c>
      <c r="S762" t="s">
        <v>774</v>
      </c>
      <c r="T762" t="s">
        <v>7498</v>
      </c>
      <c r="U762" t="s">
        <v>5336</v>
      </c>
      <c r="V762" t="s">
        <v>4049</v>
      </c>
      <c r="W762" t="s">
        <v>161</v>
      </c>
      <c r="X762" t="s">
        <v>7906</v>
      </c>
      <c r="Y762" t="s">
        <v>93</v>
      </c>
      <c r="Z762" t="s">
        <v>1748</v>
      </c>
      <c r="AA762" t="s">
        <v>3612</v>
      </c>
      <c r="AB762" t="s">
        <v>119</v>
      </c>
      <c r="AC762" t="s">
        <v>3083</v>
      </c>
      <c r="AD762" t="s">
        <v>1748</v>
      </c>
      <c r="AE762" t="s">
        <v>3612</v>
      </c>
      <c r="AF762" t="s">
        <v>119</v>
      </c>
      <c r="AG762" t="s">
        <v>3083</v>
      </c>
      <c r="AI762" t="s">
        <v>7907</v>
      </c>
      <c r="AJ762" t="s">
        <v>1748</v>
      </c>
      <c r="AK762" t="s">
        <v>99</v>
      </c>
      <c r="AL762" t="s">
        <v>7908</v>
      </c>
      <c r="AM762" t="s">
        <v>7909</v>
      </c>
      <c r="AR762" t="s">
        <v>125</v>
      </c>
      <c r="AT762" t="s">
        <v>7910</v>
      </c>
      <c r="AV762" t="s">
        <v>190</v>
      </c>
      <c r="AZ762" t="s">
        <v>80</v>
      </c>
    </row>
    <row r="763" spans="1:52" x14ac:dyDescent="0.25">
      <c r="A763" t="s">
        <v>7911</v>
      </c>
      <c r="B763" t="s">
        <v>7912</v>
      </c>
      <c r="C763" t="s">
        <v>7902</v>
      </c>
      <c r="D763" t="s">
        <v>7493</v>
      </c>
      <c r="E763" t="s">
        <v>7913</v>
      </c>
      <c r="F763" t="s">
        <v>7913</v>
      </c>
      <c r="G763" t="s">
        <v>7914</v>
      </c>
      <c r="J763" t="s">
        <v>80</v>
      </c>
      <c r="K763" t="s">
        <v>538</v>
      </c>
      <c r="L763" t="s">
        <v>111</v>
      </c>
      <c r="M763" t="s">
        <v>7915</v>
      </c>
      <c r="P763" t="s">
        <v>134</v>
      </c>
      <c r="Q763" t="s">
        <v>1744</v>
      </c>
      <c r="R763" t="s">
        <v>1550</v>
      </c>
      <c r="S763" t="s">
        <v>774</v>
      </c>
      <c r="T763" t="s">
        <v>7498</v>
      </c>
      <c r="U763" t="s">
        <v>4336</v>
      </c>
      <c r="V763" t="s">
        <v>2334</v>
      </c>
      <c r="W763" t="s">
        <v>161</v>
      </c>
      <c r="X763" t="s">
        <v>7906</v>
      </c>
      <c r="Y763" t="s">
        <v>93</v>
      </c>
      <c r="Z763" t="s">
        <v>1748</v>
      </c>
      <c r="AA763" t="s">
        <v>1941</v>
      </c>
      <c r="AB763" t="s">
        <v>119</v>
      </c>
      <c r="AC763" t="s">
        <v>7916</v>
      </c>
      <c r="AD763" t="s">
        <v>1748</v>
      </c>
      <c r="AE763" t="s">
        <v>1941</v>
      </c>
      <c r="AF763" t="s">
        <v>119</v>
      </c>
      <c r="AG763" t="s">
        <v>7916</v>
      </c>
      <c r="AI763" t="s">
        <v>6321</v>
      </c>
      <c r="AJ763" t="s">
        <v>1748</v>
      </c>
      <c r="AK763" t="s">
        <v>99</v>
      </c>
      <c r="AL763" t="s">
        <v>7917</v>
      </c>
      <c r="AM763" t="s">
        <v>7909</v>
      </c>
      <c r="AR763" t="s">
        <v>125</v>
      </c>
      <c r="AT763" t="s">
        <v>7918</v>
      </c>
      <c r="AV763" t="s">
        <v>128</v>
      </c>
      <c r="AZ763" t="s">
        <v>80</v>
      </c>
    </row>
    <row r="764" spans="1:52" x14ac:dyDescent="0.25">
      <c r="A764" t="s">
        <v>7919</v>
      </c>
      <c r="B764" t="s">
        <v>7920</v>
      </c>
      <c r="C764" t="s">
        <v>7921</v>
      </c>
      <c r="D764" t="s">
        <v>7493</v>
      </c>
      <c r="E764" t="s">
        <v>7922</v>
      </c>
      <c r="F764" t="s">
        <v>7922</v>
      </c>
      <c r="G764" t="s">
        <v>7923</v>
      </c>
      <c r="J764" t="s">
        <v>80</v>
      </c>
      <c r="K764" t="s">
        <v>538</v>
      </c>
      <c r="L764" t="s">
        <v>111</v>
      </c>
      <c r="M764">
        <v>66899</v>
      </c>
      <c r="P764" t="s">
        <v>134</v>
      </c>
      <c r="Q764" t="s">
        <v>1205</v>
      </c>
      <c r="R764" t="s">
        <v>914</v>
      </c>
      <c r="S764" t="s">
        <v>444</v>
      </c>
      <c r="T764" t="s">
        <v>7924</v>
      </c>
      <c r="U764" t="s">
        <v>3971</v>
      </c>
      <c r="V764" t="s">
        <v>7925</v>
      </c>
      <c r="W764" t="s">
        <v>161</v>
      </c>
      <c r="X764" t="s">
        <v>7926</v>
      </c>
      <c r="Y764" t="s">
        <v>93</v>
      </c>
      <c r="Z764" t="s">
        <v>1748</v>
      </c>
      <c r="AA764" t="s">
        <v>6096</v>
      </c>
      <c r="AB764" t="s">
        <v>7852</v>
      </c>
      <c r="AC764" t="s">
        <v>7927</v>
      </c>
      <c r="AD764" t="s">
        <v>1748</v>
      </c>
      <c r="AE764" t="s">
        <v>6096</v>
      </c>
      <c r="AF764" t="s">
        <v>7852</v>
      </c>
      <c r="AG764" t="s">
        <v>7927</v>
      </c>
      <c r="AI764" t="s">
        <v>5778</v>
      </c>
      <c r="AJ764" t="s">
        <v>1748</v>
      </c>
      <c r="AK764" t="s">
        <v>99</v>
      </c>
      <c r="AL764" t="s">
        <v>7928</v>
      </c>
      <c r="AM764" t="s">
        <v>7929</v>
      </c>
      <c r="AR764" t="s">
        <v>125</v>
      </c>
      <c r="AT764" t="s">
        <v>7930</v>
      </c>
      <c r="AV764" t="s">
        <v>128</v>
      </c>
      <c r="AZ764" t="s">
        <v>80</v>
      </c>
    </row>
    <row r="765" spans="1:52" x14ac:dyDescent="0.25">
      <c r="A765" t="s">
        <v>7931</v>
      </c>
      <c r="B765" t="s">
        <v>4729</v>
      </c>
      <c r="C765" t="s">
        <v>7921</v>
      </c>
      <c r="D765" t="s">
        <v>7493</v>
      </c>
      <c r="E765" t="s">
        <v>4732</v>
      </c>
      <c r="F765" t="s">
        <v>4732</v>
      </c>
      <c r="G765" t="s">
        <v>4733</v>
      </c>
      <c r="J765" t="s">
        <v>80</v>
      </c>
      <c r="K765" t="s">
        <v>538</v>
      </c>
      <c r="L765" t="s">
        <v>111</v>
      </c>
      <c r="M765">
        <v>69817</v>
      </c>
      <c r="P765" t="s">
        <v>134</v>
      </c>
      <c r="Q765" t="s">
        <v>1744</v>
      </c>
      <c r="R765" t="s">
        <v>1550</v>
      </c>
      <c r="S765" t="s">
        <v>774</v>
      </c>
      <c r="T765" t="s">
        <v>4734</v>
      </c>
      <c r="U765" t="s">
        <v>652</v>
      </c>
      <c r="V765" t="s">
        <v>3389</v>
      </c>
      <c r="W765" t="s">
        <v>7932</v>
      </c>
      <c r="X765" t="s">
        <v>7933</v>
      </c>
      <c r="Y765" t="s">
        <v>93</v>
      </c>
      <c r="Z765" t="s">
        <v>1748</v>
      </c>
      <c r="AA765" t="s">
        <v>907</v>
      </c>
      <c r="AB765" t="s">
        <v>182</v>
      </c>
      <c r="AC765" t="s">
        <v>4603</v>
      </c>
      <c r="AD765" t="s">
        <v>1748</v>
      </c>
      <c r="AE765" t="s">
        <v>907</v>
      </c>
      <c r="AF765" t="s">
        <v>182</v>
      </c>
      <c r="AG765" t="s">
        <v>4603</v>
      </c>
      <c r="AI765" t="s">
        <v>909</v>
      </c>
      <c r="AJ765" t="s">
        <v>1748</v>
      </c>
      <c r="AK765" t="s">
        <v>99</v>
      </c>
      <c r="AL765" t="s">
        <v>7934</v>
      </c>
      <c r="AM765" t="s">
        <v>4738</v>
      </c>
      <c r="AR765" t="s">
        <v>125</v>
      </c>
      <c r="AT765" t="s">
        <v>7935</v>
      </c>
      <c r="AV765" t="s">
        <v>128</v>
      </c>
      <c r="AZ765" t="s">
        <v>80</v>
      </c>
    </row>
    <row r="766" spans="1:52" x14ac:dyDescent="0.25">
      <c r="A766" t="s">
        <v>7936</v>
      </c>
      <c r="B766" t="s">
        <v>7937</v>
      </c>
      <c r="C766" t="s">
        <v>7921</v>
      </c>
      <c r="D766" t="s">
        <v>7493</v>
      </c>
      <c r="E766" t="s">
        <v>7938</v>
      </c>
      <c r="F766" t="s">
        <v>7938</v>
      </c>
      <c r="G766" t="s">
        <v>7939</v>
      </c>
      <c r="J766" t="s">
        <v>80</v>
      </c>
      <c r="K766" t="s">
        <v>538</v>
      </c>
      <c r="L766" t="s">
        <v>111</v>
      </c>
      <c r="M766">
        <v>66895</v>
      </c>
      <c r="P766" t="s">
        <v>134</v>
      </c>
      <c r="Q766" t="s">
        <v>1744</v>
      </c>
      <c r="R766" t="s">
        <v>1550</v>
      </c>
      <c r="S766" t="s">
        <v>774</v>
      </c>
      <c r="T766" t="s">
        <v>7924</v>
      </c>
      <c r="U766" t="s">
        <v>1483</v>
      </c>
      <c r="V766" t="s">
        <v>7925</v>
      </c>
      <c r="W766" t="s">
        <v>797</v>
      </c>
      <c r="X766" t="s">
        <v>7940</v>
      </c>
      <c r="Y766" t="s">
        <v>93</v>
      </c>
      <c r="Z766" t="s">
        <v>1748</v>
      </c>
      <c r="AA766" t="s">
        <v>5309</v>
      </c>
      <c r="AB766" t="s">
        <v>7852</v>
      </c>
      <c r="AC766" t="s">
        <v>3691</v>
      </c>
      <c r="AD766" t="s">
        <v>1748</v>
      </c>
      <c r="AE766" t="s">
        <v>5309</v>
      </c>
      <c r="AF766" t="s">
        <v>7852</v>
      </c>
      <c r="AG766" t="s">
        <v>3691</v>
      </c>
      <c r="AI766" t="s">
        <v>7941</v>
      </c>
      <c r="AJ766" t="s">
        <v>1748</v>
      </c>
      <c r="AK766" t="s">
        <v>99</v>
      </c>
      <c r="AL766" t="s">
        <v>7942</v>
      </c>
      <c r="AM766" t="s">
        <v>7929</v>
      </c>
      <c r="AR766" t="s">
        <v>125</v>
      </c>
      <c r="AT766" t="s">
        <v>7943</v>
      </c>
      <c r="AV766" t="s">
        <v>128</v>
      </c>
      <c r="AZ766" t="s">
        <v>80</v>
      </c>
    </row>
    <row r="767" spans="1:52" x14ac:dyDescent="0.25">
      <c r="A767" t="s">
        <v>7944</v>
      </c>
      <c r="B767" t="s">
        <v>7945</v>
      </c>
      <c r="C767" t="s">
        <v>7921</v>
      </c>
      <c r="D767" t="s">
        <v>7493</v>
      </c>
      <c r="E767" t="s">
        <v>7946</v>
      </c>
      <c r="F767" t="s">
        <v>7946</v>
      </c>
      <c r="G767" t="s">
        <v>7947</v>
      </c>
      <c r="J767" t="s">
        <v>80</v>
      </c>
      <c r="K767" t="s">
        <v>538</v>
      </c>
      <c r="L767" t="s">
        <v>111</v>
      </c>
      <c r="M767">
        <v>66893</v>
      </c>
      <c r="P767" t="s">
        <v>134</v>
      </c>
      <c r="Q767" t="s">
        <v>1744</v>
      </c>
      <c r="R767" t="s">
        <v>1550</v>
      </c>
      <c r="S767" t="s">
        <v>774</v>
      </c>
      <c r="T767" t="s">
        <v>7924</v>
      </c>
      <c r="U767" t="s">
        <v>1483</v>
      </c>
      <c r="V767" t="s">
        <v>7925</v>
      </c>
      <c r="W767" t="s">
        <v>161</v>
      </c>
      <c r="X767" t="s">
        <v>7926</v>
      </c>
      <c r="Y767" t="s">
        <v>93</v>
      </c>
      <c r="Z767" t="s">
        <v>1748</v>
      </c>
      <c r="AA767" t="s">
        <v>4249</v>
      </c>
      <c r="AB767" t="s">
        <v>7852</v>
      </c>
      <c r="AC767" t="s">
        <v>7948</v>
      </c>
      <c r="AD767" t="s">
        <v>1748</v>
      </c>
      <c r="AE767" t="s">
        <v>4249</v>
      </c>
      <c r="AF767" t="s">
        <v>7852</v>
      </c>
      <c r="AG767" t="s">
        <v>7948</v>
      </c>
      <c r="AI767" t="s">
        <v>4250</v>
      </c>
      <c r="AJ767" t="s">
        <v>1748</v>
      </c>
      <c r="AK767" t="s">
        <v>99</v>
      </c>
      <c r="AL767" t="s">
        <v>7949</v>
      </c>
      <c r="AM767" t="s">
        <v>7950</v>
      </c>
      <c r="AR767" t="s">
        <v>125</v>
      </c>
      <c r="AT767" t="s">
        <v>7951</v>
      </c>
      <c r="AV767" t="s">
        <v>128</v>
      </c>
      <c r="AZ767" t="s">
        <v>80</v>
      </c>
    </row>
    <row r="768" spans="1:52" x14ac:dyDescent="0.25">
      <c r="A768" t="s">
        <v>7952</v>
      </c>
      <c r="B768" t="s">
        <v>4741</v>
      </c>
      <c r="C768" t="s">
        <v>7921</v>
      </c>
      <c r="D768" t="s">
        <v>7493</v>
      </c>
      <c r="E768" t="s">
        <v>4743</v>
      </c>
      <c r="F768" t="s">
        <v>4743</v>
      </c>
      <c r="G768" t="s">
        <v>4744</v>
      </c>
      <c r="J768" t="s">
        <v>80</v>
      </c>
      <c r="K768" t="s">
        <v>538</v>
      </c>
      <c r="L768" t="s">
        <v>111</v>
      </c>
      <c r="M768">
        <v>69803</v>
      </c>
      <c r="P768" t="s">
        <v>134</v>
      </c>
      <c r="Q768" t="s">
        <v>1205</v>
      </c>
      <c r="R768" t="s">
        <v>914</v>
      </c>
      <c r="S768" t="s">
        <v>444</v>
      </c>
      <c r="T768" t="s">
        <v>4734</v>
      </c>
      <c r="U768" t="s">
        <v>2414</v>
      </c>
      <c r="V768" t="s">
        <v>4745</v>
      </c>
      <c r="W768" t="s">
        <v>2535</v>
      </c>
      <c r="X768" t="s">
        <v>7953</v>
      </c>
      <c r="Y768" t="s">
        <v>93</v>
      </c>
      <c r="Z768" t="s">
        <v>1748</v>
      </c>
      <c r="AA768" t="s">
        <v>2626</v>
      </c>
      <c r="AB768" t="s">
        <v>182</v>
      </c>
      <c r="AC768" t="s">
        <v>234</v>
      </c>
      <c r="AD768" t="s">
        <v>1748</v>
      </c>
      <c r="AE768" t="s">
        <v>2626</v>
      </c>
      <c r="AF768" t="s">
        <v>182</v>
      </c>
      <c r="AG768" t="s">
        <v>234</v>
      </c>
      <c r="AI768" t="s">
        <v>121</v>
      </c>
      <c r="AJ768" t="s">
        <v>1748</v>
      </c>
      <c r="AK768" t="s">
        <v>99</v>
      </c>
      <c r="AL768" t="s">
        <v>7954</v>
      </c>
      <c r="AM768" t="s">
        <v>4749</v>
      </c>
      <c r="AR768" t="s">
        <v>125</v>
      </c>
      <c r="AT768" t="s">
        <v>7955</v>
      </c>
      <c r="AV768" t="s">
        <v>128</v>
      </c>
      <c r="AZ768" t="s">
        <v>80</v>
      </c>
    </row>
    <row r="769" spans="1:52" x14ac:dyDescent="0.25">
      <c r="A769" t="s">
        <v>7956</v>
      </c>
      <c r="B769" t="s">
        <v>7957</v>
      </c>
      <c r="C769" t="s">
        <v>7921</v>
      </c>
      <c r="D769" t="s">
        <v>7493</v>
      </c>
      <c r="E769" t="s">
        <v>7958</v>
      </c>
      <c r="F769" t="s">
        <v>7958</v>
      </c>
      <c r="G769" t="s">
        <v>7959</v>
      </c>
      <c r="J769" t="s">
        <v>80</v>
      </c>
      <c r="K769" t="s">
        <v>538</v>
      </c>
      <c r="L769" t="s">
        <v>111</v>
      </c>
      <c r="M769">
        <v>66891</v>
      </c>
      <c r="P769" t="s">
        <v>134</v>
      </c>
      <c r="Q769" t="s">
        <v>2687</v>
      </c>
      <c r="R769" t="s">
        <v>1441</v>
      </c>
      <c r="S769" t="s">
        <v>748</v>
      </c>
      <c r="T769" t="s">
        <v>7924</v>
      </c>
      <c r="U769" t="s">
        <v>3971</v>
      </c>
      <c r="V769" t="s">
        <v>7925</v>
      </c>
      <c r="W769" t="s">
        <v>697</v>
      </c>
      <c r="X769" t="s">
        <v>7960</v>
      </c>
      <c r="Y769" t="s">
        <v>93</v>
      </c>
      <c r="Z769" t="s">
        <v>1748</v>
      </c>
      <c r="AA769" t="s">
        <v>3985</v>
      </c>
      <c r="AB769" t="s">
        <v>7852</v>
      </c>
      <c r="AC769" t="s">
        <v>6442</v>
      </c>
      <c r="AD769" t="s">
        <v>1748</v>
      </c>
      <c r="AE769" t="s">
        <v>3985</v>
      </c>
      <c r="AF769" t="s">
        <v>7852</v>
      </c>
      <c r="AG769" t="s">
        <v>6442</v>
      </c>
      <c r="AI769" t="s">
        <v>3987</v>
      </c>
      <c r="AJ769" t="s">
        <v>1748</v>
      </c>
      <c r="AK769" t="s">
        <v>99</v>
      </c>
      <c r="AL769" t="s">
        <v>7961</v>
      </c>
      <c r="AM769" t="s">
        <v>7950</v>
      </c>
      <c r="AR769" t="s">
        <v>125</v>
      </c>
      <c r="AT769" t="s">
        <v>7962</v>
      </c>
      <c r="AV769" t="s">
        <v>128</v>
      </c>
      <c r="AZ769" t="s">
        <v>80</v>
      </c>
    </row>
    <row r="770" spans="1:52" hidden="1" x14ac:dyDescent="0.25">
      <c r="A770" t="s">
        <v>7963</v>
      </c>
      <c r="B770" t="s">
        <v>7964</v>
      </c>
      <c r="C770" t="s">
        <v>7965</v>
      </c>
      <c r="D770" t="s">
        <v>7493</v>
      </c>
      <c r="E770" t="s">
        <v>7966</v>
      </c>
      <c r="F770" t="s">
        <v>7966</v>
      </c>
      <c r="G770" t="s">
        <v>7967</v>
      </c>
      <c r="J770" t="s">
        <v>80</v>
      </c>
      <c r="K770" t="s">
        <v>538</v>
      </c>
      <c r="L770" t="s">
        <v>111</v>
      </c>
      <c r="M770" t="s">
        <v>7968</v>
      </c>
      <c r="P770" t="s">
        <v>134</v>
      </c>
      <c r="Q770" t="s">
        <v>2687</v>
      </c>
      <c r="R770" t="s">
        <v>1441</v>
      </c>
      <c r="S770" t="s">
        <v>748</v>
      </c>
      <c r="T770" t="s">
        <v>7498</v>
      </c>
      <c r="U770" t="s">
        <v>7567</v>
      </c>
      <c r="V770" t="s">
        <v>2090</v>
      </c>
      <c r="W770" t="s">
        <v>161</v>
      </c>
      <c r="X770" t="s">
        <v>7906</v>
      </c>
      <c r="Y770" t="s">
        <v>93</v>
      </c>
      <c r="Z770" t="s">
        <v>119</v>
      </c>
      <c r="AA770" t="s">
        <v>6110</v>
      </c>
      <c r="AB770" t="s">
        <v>1748</v>
      </c>
      <c r="AC770" t="s">
        <v>7969</v>
      </c>
      <c r="AD770" t="s">
        <v>119</v>
      </c>
      <c r="AE770" t="s">
        <v>6110</v>
      </c>
      <c r="AF770" t="s">
        <v>1748</v>
      </c>
      <c r="AG770" t="s">
        <v>7969</v>
      </c>
      <c r="AI770" t="s">
        <v>7970</v>
      </c>
      <c r="AJ770" t="s">
        <v>119</v>
      </c>
      <c r="AK770" t="s">
        <v>99</v>
      </c>
      <c r="AL770" t="s">
        <v>7971</v>
      </c>
      <c r="AM770" t="s">
        <v>7950</v>
      </c>
      <c r="AR770" t="s">
        <v>125</v>
      </c>
      <c r="AT770" t="s">
        <v>7972</v>
      </c>
      <c r="AV770" t="s">
        <v>128</v>
      </c>
      <c r="AZ770" t="s">
        <v>80</v>
      </c>
    </row>
    <row r="771" spans="1:52" hidden="1" x14ac:dyDescent="0.25">
      <c r="A771" t="s">
        <v>7973</v>
      </c>
      <c r="B771" t="s">
        <v>7974</v>
      </c>
      <c r="C771" t="s">
        <v>7965</v>
      </c>
      <c r="D771" t="s">
        <v>7493</v>
      </c>
      <c r="E771" t="s">
        <v>7975</v>
      </c>
      <c r="F771" t="s">
        <v>7975</v>
      </c>
      <c r="G771" t="s">
        <v>7976</v>
      </c>
      <c r="J771" t="s">
        <v>80</v>
      </c>
      <c r="K771" t="s">
        <v>538</v>
      </c>
      <c r="L771" t="s">
        <v>111</v>
      </c>
      <c r="M771" t="s">
        <v>7496</v>
      </c>
      <c r="O771" t="s">
        <v>7497</v>
      </c>
      <c r="P771" t="s">
        <v>134</v>
      </c>
      <c r="Q771" t="s">
        <v>1744</v>
      </c>
      <c r="R771" t="s">
        <v>1550</v>
      </c>
      <c r="S771" t="s">
        <v>774</v>
      </c>
      <c r="T771" t="s">
        <v>7498</v>
      </c>
      <c r="U771" t="s">
        <v>5367</v>
      </c>
      <c r="V771" t="s">
        <v>7499</v>
      </c>
      <c r="W771" t="s">
        <v>797</v>
      </c>
      <c r="X771" t="s">
        <v>7977</v>
      </c>
      <c r="Y771" t="s">
        <v>93</v>
      </c>
      <c r="Z771" t="s">
        <v>119</v>
      </c>
      <c r="AA771" t="s">
        <v>6239</v>
      </c>
      <c r="AB771" t="s">
        <v>1748</v>
      </c>
      <c r="AC771" t="s">
        <v>767</v>
      </c>
      <c r="AD771" t="s">
        <v>119</v>
      </c>
      <c r="AE771" t="s">
        <v>6239</v>
      </c>
      <c r="AF771" t="s">
        <v>1748</v>
      </c>
      <c r="AG771" t="s">
        <v>767</v>
      </c>
      <c r="AI771" t="s">
        <v>7501</v>
      </c>
      <c r="AJ771" t="s">
        <v>119</v>
      </c>
      <c r="AK771" t="s">
        <v>99</v>
      </c>
      <c r="AL771" t="s">
        <v>7978</v>
      </c>
      <c r="AM771" t="s">
        <v>7979</v>
      </c>
      <c r="AR771" t="s">
        <v>125</v>
      </c>
      <c r="AT771" t="s">
        <v>7980</v>
      </c>
      <c r="AV771" t="s">
        <v>190</v>
      </c>
      <c r="AZ771" t="s">
        <v>80</v>
      </c>
    </row>
    <row r="772" spans="1:52" hidden="1" x14ac:dyDescent="0.25">
      <c r="A772" t="s">
        <v>7981</v>
      </c>
      <c r="B772" t="s">
        <v>7982</v>
      </c>
      <c r="C772" t="s">
        <v>7965</v>
      </c>
      <c r="D772" t="s">
        <v>7493</v>
      </c>
      <c r="E772" t="s">
        <v>7983</v>
      </c>
      <c r="F772" t="s">
        <v>7983</v>
      </c>
      <c r="G772" t="s">
        <v>7984</v>
      </c>
      <c r="J772" t="s">
        <v>80</v>
      </c>
      <c r="K772" t="s">
        <v>538</v>
      </c>
      <c r="L772" t="s">
        <v>111</v>
      </c>
      <c r="M772" t="s">
        <v>7985</v>
      </c>
      <c r="P772" t="s">
        <v>134</v>
      </c>
      <c r="Q772" t="s">
        <v>1744</v>
      </c>
      <c r="R772" t="s">
        <v>1550</v>
      </c>
      <c r="S772" t="s">
        <v>774</v>
      </c>
      <c r="T772" t="s">
        <v>7498</v>
      </c>
      <c r="U772" t="s">
        <v>372</v>
      </c>
      <c r="V772" t="s">
        <v>7986</v>
      </c>
      <c r="W772" t="s">
        <v>161</v>
      </c>
      <c r="X772" t="s">
        <v>7906</v>
      </c>
      <c r="Y772" t="s">
        <v>93</v>
      </c>
      <c r="Z772" t="s">
        <v>119</v>
      </c>
      <c r="AA772" t="s">
        <v>305</v>
      </c>
      <c r="AB772" t="s">
        <v>1748</v>
      </c>
      <c r="AC772" t="s">
        <v>2705</v>
      </c>
      <c r="AD772" t="s">
        <v>119</v>
      </c>
      <c r="AE772" t="s">
        <v>305</v>
      </c>
      <c r="AF772" t="s">
        <v>1748</v>
      </c>
      <c r="AG772" t="s">
        <v>2705</v>
      </c>
      <c r="AI772" t="s">
        <v>6738</v>
      </c>
      <c r="AJ772" t="s">
        <v>119</v>
      </c>
      <c r="AK772" t="s">
        <v>99</v>
      </c>
      <c r="AL772" t="s">
        <v>7987</v>
      </c>
      <c r="AM772" t="s">
        <v>7979</v>
      </c>
      <c r="AR772" t="s">
        <v>125</v>
      </c>
      <c r="AT772" t="s">
        <v>7988</v>
      </c>
      <c r="AV772" t="s">
        <v>128</v>
      </c>
      <c r="AZ772" t="s">
        <v>80</v>
      </c>
    </row>
    <row r="773" spans="1:52" hidden="1" x14ac:dyDescent="0.25">
      <c r="A773" t="s">
        <v>7989</v>
      </c>
      <c r="B773" t="s">
        <v>4782</v>
      </c>
      <c r="C773" t="s">
        <v>7990</v>
      </c>
      <c r="D773" t="s">
        <v>7493</v>
      </c>
      <c r="E773" t="s">
        <v>4785</v>
      </c>
      <c r="F773" t="s">
        <v>4785</v>
      </c>
      <c r="G773" t="s">
        <v>4786</v>
      </c>
      <c r="J773" t="s">
        <v>80</v>
      </c>
      <c r="K773" t="s">
        <v>538</v>
      </c>
      <c r="L773" t="s">
        <v>111</v>
      </c>
      <c r="M773">
        <v>69848</v>
      </c>
      <c r="P773" t="s">
        <v>134</v>
      </c>
      <c r="Q773" t="s">
        <v>1205</v>
      </c>
      <c r="R773" t="s">
        <v>914</v>
      </c>
      <c r="S773" t="s">
        <v>444</v>
      </c>
      <c r="T773" t="s">
        <v>4734</v>
      </c>
      <c r="U773" t="s">
        <v>4787</v>
      </c>
      <c r="V773" t="s">
        <v>4788</v>
      </c>
      <c r="W773" t="s">
        <v>3972</v>
      </c>
      <c r="X773" t="s">
        <v>7991</v>
      </c>
      <c r="Y773" t="s">
        <v>93</v>
      </c>
      <c r="Z773" t="s">
        <v>182</v>
      </c>
      <c r="AA773" t="s">
        <v>4790</v>
      </c>
      <c r="AB773" t="s">
        <v>1748</v>
      </c>
      <c r="AC773" t="s">
        <v>4791</v>
      </c>
      <c r="AD773" t="s">
        <v>182</v>
      </c>
      <c r="AE773" t="s">
        <v>4790</v>
      </c>
      <c r="AF773" t="s">
        <v>1748</v>
      </c>
      <c r="AG773" t="s">
        <v>4791</v>
      </c>
      <c r="AI773" t="s">
        <v>4792</v>
      </c>
      <c r="AJ773" t="s">
        <v>182</v>
      </c>
      <c r="AK773" t="s">
        <v>99</v>
      </c>
      <c r="AL773" t="s">
        <v>7992</v>
      </c>
      <c r="AM773" t="s">
        <v>4779</v>
      </c>
      <c r="AR773" t="s">
        <v>125</v>
      </c>
      <c r="AT773" t="s">
        <v>7993</v>
      </c>
      <c r="AV773" t="s">
        <v>128</v>
      </c>
      <c r="AZ773" t="s">
        <v>80</v>
      </c>
    </row>
    <row r="774" spans="1:52" x14ac:dyDescent="0.25">
      <c r="A774" t="s">
        <v>7994</v>
      </c>
      <c r="B774" t="s">
        <v>2606</v>
      </c>
      <c r="C774" t="s">
        <v>7990</v>
      </c>
      <c r="D774" t="s">
        <v>7493</v>
      </c>
      <c r="E774" t="s">
        <v>7995</v>
      </c>
      <c r="F774" t="s">
        <v>7995</v>
      </c>
      <c r="G774" t="s">
        <v>7996</v>
      </c>
      <c r="J774" t="s">
        <v>80</v>
      </c>
      <c r="K774" t="s">
        <v>538</v>
      </c>
      <c r="L774" t="s">
        <v>111</v>
      </c>
      <c r="M774" t="s">
        <v>7997</v>
      </c>
      <c r="P774" t="s">
        <v>134</v>
      </c>
      <c r="Q774" t="s">
        <v>1205</v>
      </c>
      <c r="R774" t="s">
        <v>914</v>
      </c>
      <c r="S774" t="s">
        <v>444</v>
      </c>
      <c r="T774" t="s">
        <v>7998</v>
      </c>
      <c r="U774" t="s">
        <v>6798</v>
      </c>
      <c r="V774" t="s">
        <v>7999</v>
      </c>
      <c r="W774" t="s">
        <v>161</v>
      </c>
      <c r="X774" t="s">
        <v>8000</v>
      </c>
      <c r="Y774" t="s">
        <v>93</v>
      </c>
      <c r="Z774" t="s">
        <v>1748</v>
      </c>
      <c r="AA774" t="s">
        <v>2290</v>
      </c>
      <c r="AB774" t="s">
        <v>2613</v>
      </c>
      <c r="AC774" t="s">
        <v>5171</v>
      </c>
      <c r="AD774" t="s">
        <v>1748</v>
      </c>
      <c r="AE774" t="s">
        <v>2290</v>
      </c>
      <c r="AF774" t="s">
        <v>2613</v>
      </c>
      <c r="AG774" t="s">
        <v>5171</v>
      </c>
      <c r="AI774" t="s">
        <v>2292</v>
      </c>
      <c r="AJ774" t="s">
        <v>1748</v>
      </c>
      <c r="AK774" t="s">
        <v>99</v>
      </c>
      <c r="AL774" t="s">
        <v>8001</v>
      </c>
      <c r="AM774" t="s">
        <v>8002</v>
      </c>
      <c r="AR774" t="s">
        <v>125</v>
      </c>
      <c r="AT774" t="s">
        <v>8003</v>
      </c>
      <c r="AV774" t="s">
        <v>128</v>
      </c>
      <c r="AZ774" t="s">
        <v>80</v>
      </c>
    </row>
    <row r="775" spans="1:52" hidden="1" x14ac:dyDescent="0.25">
      <c r="A775" t="s">
        <v>8004</v>
      </c>
      <c r="B775" t="s">
        <v>4796</v>
      </c>
      <c r="C775" t="s">
        <v>7990</v>
      </c>
      <c r="D775" t="s">
        <v>7493</v>
      </c>
      <c r="E775" t="s">
        <v>4798</v>
      </c>
      <c r="F775" t="s">
        <v>4798</v>
      </c>
      <c r="G775" t="s">
        <v>4799</v>
      </c>
      <c r="J775" t="s">
        <v>80</v>
      </c>
      <c r="K775" t="s">
        <v>538</v>
      </c>
      <c r="L775" t="s">
        <v>111</v>
      </c>
      <c r="M775">
        <v>69842</v>
      </c>
      <c r="P775" t="s">
        <v>134</v>
      </c>
      <c r="Q775" t="s">
        <v>1205</v>
      </c>
      <c r="R775" t="s">
        <v>914</v>
      </c>
      <c r="S775" t="s">
        <v>444</v>
      </c>
      <c r="T775" t="s">
        <v>4734</v>
      </c>
      <c r="U775" t="s">
        <v>246</v>
      </c>
      <c r="V775" t="s">
        <v>3921</v>
      </c>
      <c r="W775" t="s">
        <v>3972</v>
      </c>
      <c r="X775" t="s">
        <v>7991</v>
      </c>
      <c r="Y775" t="s">
        <v>93</v>
      </c>
      <c r="Z775" t="s">
        <v>182</v>
      </c>
      <c r="AA775" t="s">
        <v>3252</v>
      </c>
      <c r="AB775" t="s">
        <v>1748</v>
      </c>
      <c r="AC775" t="s">
        <v>4800</v>
      </c>
      <c r="AD775" t="s">
        <v>182</v>
      </c>
      <c r="AE775" t="s">
        <v>3252</v>
      </c>
      <c r="AF775" t="s">
        <v>1748</v>
      </c>
      <c r="AG775" t="s">
        <v>4800</v>
      </c>
      <c r="AI775" t="s">
        <v>4801</v>
      </c>
      <c r="AJ775" t="s">
        <v>182</v>
      </c>
      <c r="AK775" t="s">
        <v>99</v>
      </c>
      <c r="AL775" t="s">
        <v>8005</v>
      </c>
      <c r="AM775" t="s">
        <v>4779</v>
      </c>
      <c r="AR775" t="s">
        <v>125</v>
      </c>
      <c r="AT775" t="s">
        <v>8006</v>
      </c>
      <c r="AV775" t="s">
        <v>128</v>
      </c>
      <c r="AZ775" t="s">
        <v>80</v>
      </c>
    </row>
    <row r="776" spans="1:52" hidden="1" x14ac:dyDescent="0.25">
      <c r="A776" t="s">
        <v>8007</v>
      </c>
      <c r="B776" t="s">
        <v>8008</v>
      </c>
      <c r="C776" t="s">
        <v>7990</v>
      </c>
      <c r="D776" t="s">
        <v>7493</v>
      </c>
      <c r="E776" t="s">
        <v>8009</v>
      </c>
      <c r="F776" t="s">
        <v>8009</v>
      </c>
      <c r="G776" t="s">
        <v>8010</v>
      </c>
      <c r="J776" t="s">
        <v>80</v>
      </c>
      <c r="K776" t="s">
        <v>538</v>
      </c>
      <c r="L776" t="s">
        <v>111</v>
      </c>
      <c r="M776">
        <v>69896</v>
      </c>
      <c r="P776" t="s">
        <v>134</v>
      </c>
      <c r="Q776" t="s">
        <v>1744</v>
      </c>
      <c r="R776" t="s">
        <v>1550</v>
      </c>
      <c r="S776" t="s">
        <v>774</v>
      </c>
      <c r="T776" t="s">
        <v>7924</v>
      </c>
      <c r="U776" t="s">
        <v>1483</v>
      </c>
      <c r="V776" t="s">
        <v>7925</v>
      </c>
      <c r="W776" t="s">
        <v>797</v>
      </c>
      <c r="X776" t="s">
        <v>7940</v>
      </c>
      <c r="Y776" t="s">
        <v>93</v>
      </c>
      <c r="Z776" t="s">
        <v>7852</v>
      </c>
      <c r="AA776" t="s">
        <v>2363</v>
      </c>
      <c r="AB776" t="s">
        <v>1748</v>
      </c>
      <c r="AC776" t="s">
        <v>8011</v>
      </c>
      <c r="AD776" t="s">
        <v>7852</v>
      </c>
      <c r="AE776" t="s">
        <v>2363</v>
      </c>
      <c r="AF776" t="s">
        <v>1748</v>
      </c>
      <c r="AG776" t="s">
        <v>8011</v>
      </c>
      <c r="AI776" t="s">
        <v>8012</v>
      </c>
      <c r="AJ776" t="s">
        <v>7852</v>
      </c>
      <c r="AK776" t="s">
        <v>99</v>
      </c>
      <c r="AL776" t="s">
        <v>8013</v>
      </c>
      <c r="AM776" t="s">
        <v>8014</v>
      </c>
      <c r="AR776" t="s">
        <v>125</v>
      </c>
      <c r="AT776" t="s">
        <v>8015</v>
      </c>
      <c r="AV776" t="s">
        <v>128</v>
      </c>
      <c r="AZ776" t="s">
        <v>80</v>
      </c>
    </row>
    <row r="777" spans="1:52" hidden="1" x14ac:dyDescent="0.25">
      <c r="A777" t="s">
        <v>8016</v>
      </c>
      <c r="B777" t="s">
        <v>8017</v>
      </c>
      <c r="C777" t="s">
        <v>8018</v>
      </c>
      <c r="D777" t="s">
        <v>7493</v>
      </c>
      <c r="E777" t="s">
        <v>8019</v>
      </c>
      <c r="F777" t="s">
        <v>8019</v>
      </c>
      <c r="G777" t="s">
        <v>8020</v>
      </c>
      <c r="J777" t="s">
        <v>80</v>
      </c>
      <c r="K777" t="s">
        <v>538</v>
      </c>
      <c r="L777" t="s">
        <v>111</v>
      </c>
      <c r="M777">
        <v>69894</v>
      </c>
      <c r="P777" t="s">
        <v>134</v>
      </c>
      <c r="Q777" t="s">
        <v>1744</v>
      </c>
      <c r="R777" t="s">
        <v>1550</v>
      </c>
      <c r="S777" t="s">
        <v>774</v>
      </c>
      <c r="T777" t="s">
        <v>7924</v>
      </c>
      <c r="U777" t="s">
        <v>1483</v>
      </c>
      <c r="V777" t="s">
        <v>7925</v>
      </c>
      <c r="W777" t="s">
        <v>161</v>
      </c>
      <c r="X777" t="s">
        <v>7926</v>
      </c>
      <c r="Y777" t="s">
        <v>93</v>
      </c>
      <c r="Z777" t="s">
        <v>7852</v>
      </c>
      <c r="AA777" t="s">
        <v>8021</v>
      </c>
      <c r="AB777" t="s">
        <v>1748</v>
      </c>
      <c r="AC777" t="s">
        <v>2228</v>
      </c>
      <c r="AD777" t="s">
        <v>7852</v>
      </c>
      <c r="AE777" t="s">
        <v>8021</v>
      </c>
      <c r="AF777" t="s">
        <v>1748</v>
      </c>
      <c r="AG777" t="s">
        <v>2228</v>
      </c>
      <c r="AI777" t="s">
        <v>8022</v>
      </c>
      <c r="AJ777" t="s">
        <v>7852</v>
      </c>
      <c r="AK777" t="s">
        <v>99</v>
      </c>
      <c r="AL777" t="s">
        <v>8023</v>
      </c>
      <c r="AM777" t="s">
        <v>8024</v>
      </c>
      <c r="AR777" t="s">
        <v>125</v>
      </c>
      <c r="AT777" t="s">
        <v>8025</v>
      </c>
      <c r="AV777" t="s">
        <v>128</v>
      </c>
      <c r="AZ777" t="s">
        <v>80</v>
      </c>
    </row>
    <row r="778" spans="1:52" hidden="1" x14ac:dyDescent="0.25">
      <c r="A778" t="s">
        <v>8026</v>
      </c>
      <c r="B778" t="s">
        <v>8027</v>
      </c>
      <c r="C778" t="s">
        <v>8018</v>
      </c>
      <c r="D778" t="s">
        <v>7493</v>
      </c>
      <c r="E778" t="s">
        <v>8028</v>
      </c>
      <c r="F778" t="s">
        <v>8028</v>
      </c>
      <c r="G778" t="s">
        <v>8029</v>
      </c>
      <c r="J778" t="s">
        <v>80</v>
      </c>
      <c r="K778" t="s">
        <v>538</v>
      </c>
      <c r="L778" t="s">
        <v>111</v>
      </c>
      <c r="M778">
        <v>69892</v>
      </c>
      <c r="P778" t="s">
        <v>134</v>
      </c>
      <c r="Q778" t="s">
        <v>2687</v>
      </c>
      <c r="R778" t="s">
        <v>1441</v>
      </c>
      <c r="S778" t="s">
        <v>748</v>
      </c>
      <c r="T778" t="s">
        <v>7924</v>
      </c>
      <c r="U778" t="s">
        <v>1483</v>
      </c>
      <c r="V778" t="s">
        <v>7925</v>
      </c>
      <c r="W778" t="s">
        <v>697</v>
      </c>
      <c r="X778" t="s">
        <v>7960</v>
      </c>
      <c r="Y778" t="s">
        <v>93</v>
      </c>
      <c r="Z778" t="s">
        <v>7852</v>
      </c>
      <c r="AA778" t="s">
        <v>8030</v>
      </c>
      <c r="AB778" t="s">
        <v>1748</v>
      </c>
      <c r="AC778" t="s">
        <v>878</v>
      </c>
      <c r="AD778" t="s">
        <v>7852</v>
      </c>
      <c r="AE778" t="s">
        <v>8030</v>
      </c>
      <c r="AF778" t="s">
        <v>1748</v>
      </c>
      <c r="AG778" t="s">
        <v>878</v>
      </c>
      <c r="AI778" t="s">
        <v>8031</v>
      </c>
      <c r="AJ778" t="s">
        <v>7852</v>
      </c>
      <c r="AK778" t="s">
        <v>99</v>
      </c>
      <c r="AL778" t="s">
        <v>8032</v>
      </c>
      <c r="AM778" t="s">
        <v>8024</v>
      </c>
      <c r="AR778" t="s">
        <v>125</v>
      </c>
      <c r="AT778" t="s">
        <v>8033</v>
      </c>
      <c r="AV778" t="s">
        <v>128</v>
      </c>
      <c r="AZ778" t="s">
        <v>80</v>
      </c>
    </row>
    <row r="779" spans="1:52" hidden="1" x14ac:dyDescent="0.25">
      <c r="A779" t="s">
        <v>8034</v>
      </c>
      <c r="B779" t="s">
        <v>4806</v>
      </c>
      <c r="C779" t="s">
        <v>8018</v>
      </c>
      <c r="D779" t="s">
        <v>7493</v>
      </c>
      <c r="E779" t="s">
        <v>4809</v>
      </c>
      <c r="F779" t="s">
        <v>4809</v>
      </c>
      <c r="G779" t="s">
        <v>4810</v>
      </c>
      <c r="J779" t="s">
        <v>80</v>
      </c>
      <c r="K779" t="s">
        <v>538</v>
      </c>
      <c r="L779" t="s">
        <v>111</v>
      </c>
      <c r="M779">
        <v>69828</v>
      </c>
      <c r="P779" t="s">
        <v>134</v>
      </c>
      <c r="Q779" t="s">
        <v>1744</v>
      </c>
      <c r="R779" t="s">
        <v>1550</v>
      </c>
      <c r="S779" t="s">
        <v>774</v>
      </c>
      <c r="T779" t="s">
        <v>4734</v>
      </c>
      <c r="U779" t="s">
        <v>4811</v>
      </c>
      <c r="V779" t="s">
        <v>4812</v>
      </c>
      <c r="W779" t="s">
        <v>2001</v>
      </c>
      <c r="X779" t="s">
        <v>8035</v>
      </c>
      <c r="Y779" t="s">
        <v>93</v>
      </c>
      <c r="Z779" t="s">
        <v>182</v>
      </c>
      <c r="AA779" t="s">
        <v>4813</v>
      </c>
      <c r="AB779" t="s">
        <v>1748</v>
      </c>
      <c r="AC779" t="s">
        <v>878</v>
      </c>
      <c r="AD779" t="s">
        <v>182</v>
      </c>
      <c r="AE779" t="s">
        <v>4813</v>
      </c>
      <c r="AF779" t="s">
        <v>1748</v>
      </c>
      <c r="AG779" t="s">
        <v>878</v>
      </c>
      <c r="AI779" t="s">
        <v>4814</v>
      </c>
      <c r="AJ779" t="s">
        <v>182</v>
      </c>
      <c r="AK779" t="s">
        <v>99</v>
      </c>
      <c r="AL779" t="s">
        <v>8036</v>
      </c>
      <c r="AM779" t="s">
        <v>4803</v>
      </c>
      <c r="AR779" t="s">
        <v>125</v>
      </c>
      <c r="AT779" t="s">
        <v>8037</v>
      </c>
      <c r="AV779" t="s">
        <v>128</v>
      </c>
      <c r="AZ779" t="s">
        <v>80</v>
      </c>
    </row>
    <row r="780" spans="1:52" hidden="1" x14ac:dyDescent="0.25">
      <c r="A780" t="s">
        <v>8038</v>
      </c>
      <c r="B780" t="s">
        <v>8039</v>
      </c>
      <c r="C780" t="s">
        <v>8018</v>
      </c>
      <c r="D780" t="s">
        <v>7493</v>
      </c>
      <c r="E780" t="s">
        <v>8040</v>
      </c>
      <c r="F780" t="s">
        <v>8040</v>
      </c>
      <c r="G780" t="s">
        <v>8041</v>
      </c>
      <c r="J780" t="s">
        <v>80</v>
      </c>
      <c r="K780" t="s">
        <v>538</v>
      </c>
      <c r="L780" t="s">
        <v>111</v>
      </c>
      <c r="M780">
        <v>69890</v>
      </c>
      <c r="P780" t="s">
        <v>134</v>
      </c>
      <c r="Q780" t="s">
        <v>1205</v>
      </c>
      <c r="R780" t="s">
        <v>914</v>
      </c>
      <c r="S780" t="s">
        <v>444</v>
      </c>
      <c r="T780" t="s">
        <v>7924</v>
      </c>
      <c r="U780" t="s">
        <v>3971</v>
      </c>
      <c r="V780" t="s">
        <v>7925</v>
      </c>
      <c r="W780" t="s">
        <v>161</v>
      </c>
      <c r="X780" t="s">
        <v>7926</v>
      </c>
      <c r="Y780" t="s">
        <v>93</v>
      </c>
      <c r="Z780" t="s">
        <v>7852</v>
      </c>
      <c r="AA780" t="s">
        <v>8042</v>
      </c>
      <c r="AB780" t="s">
        <v>1748</v>
      </c>
      <c r="AC780" t="s">
        <v>8043</v>
      </c>
      <c r="AD780" t="s">
        <v>7852</v>
      </c>
      <c r="AE780" t="s">
        <v>8042</v>
      </c>
      <c r="AF780" t="s">
        <v>1748</v>
      </c>
      <c r="AG780" t="s">
        <v>8043</v>
      </c>
      <c r="AI780" t="s">
        <v>2928</v>
      </c>
      <c r="AJ780" t="s">
        <v>7852</v>
      </c>
      <c r="AK780" t="s">
        <v>99</v>
      </c>
      <c r="AL780" t="s">
        <v>8044</v>
      </c>
      <c r="AM780" t="s">
        <v>8024</v>
      </c>
      <c r="AR780" t="s">
        <v>125</v>
      </c>
      <c r="AT780" t="s">
        <v>8045</v>
      </c>
      <c r="AV780" t="s">
        <v>128</v>
      </c>
      <c r="AZ780" t="s">
        <v>80</v>
      </c>
    </row>
    <row r="781" spans="1:52" hidden="1" x14ac:dyDescent="0.25">
      <c r="A781" t="s">
        <v>8046</v>
      </c>
      <c r="B781" t="s">
        <v>8047</v>
      </c>
      <c r="C781" t="s">
        <v>8048</v>
      </c>
      <c r="D781" t="s">
        <v>78</v>
      </c>
      <c r="E781" t="s">
        <v>8049</v>
      </c>
      <c r="F781" t="s">
        <v>8049</v>
      </c>
      <c r="G781" t="s">
        <v>8049</v>
      </c>
      <c r="J781" t="s">
        <v>80</v>
      </c>
      <c r="K781" t="s">
        <v>81</v>
      </c>
      <c r="L781" t="s">
        <v>80</v>
      </c>
      <c r="M781">
        <v>2658</v>
      </c>
      <c r="N781" t="s">
        <v>8050</v>
      </c>
      <c r="P781" t="s">
        <v>2905</v>
      </c>
      <c r="Q781" t="s">
        <v>8051</v>
      </c>
      <c r="R781" t="s">
        <v>927</v>
      </c>
      <c r="S781" t="s">
        <v>480</v>
      </c>
      <c r="T781" t="s">
        <v>8052</v>
      </c>
      <c r="U781" t="s">
        <v>7014</v>
      </c>
      <c r="V781" t="s">
        <v>8053</v>
      </c>
      <c r="W781" t="s">
        <v>8054</v>
      </c>
      <c r="X781" t="s">
        <v>8055</v>
      </c>
      <c r="Y781" t="s">
        <v>93</v>
      </c>
      <c r="Z781" t="s">
        <v>8056</v>
      </c>
      <c r="AA781" t="s">
        <v>2706</v>
      </c>
      <c r="AB781" t="s">
        <v>739</v>
      </c>
      <c r="AC781" t="s">
        <v>8021</v>
      </c>
      <c r="AD781" t="s">
        <v>8056</v>
      </c>
      <c r="AE781" t="s">
        <v>2706</v>
      </c>
      <c r="AF781" t="s">
        <v>739</v>
      </c>
      <c r="AG781" t="s">
        <v>8021</v>
      </c>
      <c r="AH781" t="s">
        <v>8057</v>
      </c>
      <c r="AI781" t="s">
        <v>8058</v>
      </c>
      <c r="AJ781" t="s">
        <v>739</v>
      </c>
      <c r="AK781" t="s">
        <v>8059</v>
      </c>
      <c r="AL781" t="s">
        <v>8060</v>
      </c>
      <c r="AM781" t="s">
        <v>8061</v>
      </c>
      <c r="AN781" t="s">
        <v>8062</v>
      </c>
      <c r="AT781" t="s">
        <v>8063</v>
      </c>
      <c r="AV781" t="s">
        <v>128</v>
      </c>
      <c r="AW781" t="s">
        <v>8064</v>
      </c>
      <c r="AZ781" t="s">
        <v>80</v>
      </c>
    </row>
    <row r="782" spans="1:52" hidden="1" x14ac:dyDescent="0.25">
      <c r="A782" t="s">
        <v>8065</v>
      </c>
      <c r="B782" t="s">
        <v>8066</v>
      </c>
      <c r="C782" t="s">
        <v>8067</v>
      </c>
      <c r="D782" t="s">
        <v>78</v>
      </c>
      <c r="E782" t="s">
        <v>8068</v>
      </c>
      <c r="F782" t="s">
        <v>8068</v>
      </c>
      <c r="G782" t="s">
        <v>8068</v>
      </c>
      <c r="J782" t="s">
        <v>80</v>
      </c>
      <c r="K782" t="s">
        <v>110</v>
      </c>
      <c r="L782" t="s">
        <v>80</v>
      </c>
      <c r="M782">
        <v>666021</v>
      </c>
      <c r="P782" t="s">
        <v>693</v>
      </c>
      <c r="Q782" t="s">
        <v>3469</v>
      </c>
      <c r="R782" t="s">
        <v>1948</v>
      </c>
      <c r="S782" t="s">
        <v>1016</v>
      </c>
      <c r="T782" t="s">
        <v>695</v>
      </c>
      <c r="U782" t="s">
        <v>696</v>
      </c>
      <c r="W782" t="s">
        <v>2675</v>
      </c>
      <c r="X782" t="s">
        <v>8069</v>
      </c>
      <c r="Y782" t="s">
        <v>93</v>
      </c>
      <c r="Z782" t="s">
        <v>699</v>
      </c>
      <c r="AA782" t="s">
        <v>8070</v>
      </c>
      <c r="AB782" t="s">
        <v>678</v>
      </c>
      <c r="AC782" t="s">
        <v>8071</v>
      </c>
      <c r="AD782" t="s">
        <v>699</v>
      </c>
      <c r="AE782" t="s">
        <v>8070</v>
      </c>
      <c r="AF782" t="s">
        <v>678</v>
      </c>
      <c r="AG782" t="s">
        <v>8071</v>
      </c>
      <c r="AI782" t="s">
        <v>1273</v>
      </c>
      <c r="AJ782" t="s">
        <v>699</v>
      </c>
      <c r="AK782" t="s">
        <v>99</v>
      </c>
      <c r="AL782" t="s">
        <v>8072</v>
      </c>
      <c r="AM782" t="s">
        <v>8073</v>
      </c>
      <c r="AN782" t="s">
        <v>2578</v>
      </c>
      <c r="AT782" t="s">
        <v>8074</v>
      </c>
      <c r="AW782" t="s">
        <v>8075</v>
      </c>
      <c r="AZ782" t="s">
        <v>80</v>
      </c>
    </row>
    <row r="783" spans="1:52" hidden="1" x14ac:dyDescent="0.25">
      <c r="A783" t="s">
        <v>8076</v>
      </c>
      <c r="B783" t="s">
        <v>8077</v>
      </c>
      <c r="C783" t="s">
        <v>8078</v>
      </c>
      <c r="D783" t="s">
        <v>78</v>
      </c>
      <c r="E783" t="s">
        <v>8079</v>
      </c>
      <c r="F783" t="s">
        <v>8079</v>
      </c>
      <c r="G783" t="s">
        <v>8079</v>
      </c>
      <c r="J783" t="s">
        <v>80</v>
      </c>
      <c r="K783" t="s">
        <v>110</v>
      </c>
      <c r="L783" t="s">
        <v>80</v>
      </c>
      <c r="M783">
        <v>666018</v>
      </c>
      <c r="P783" t="s">
        <v>693</v>
      </c>
      <c r="Q783" t="s">
        <v>3469</v>
      </c>
      <c r="R783" t="s">
        <v>1948</v>
      </c>
      <c r="S783" t="s">
        <v>1016</v>
      </c>
      <c r="T783" t="s">
        <v>695</v>
      </c>
      <c r="U783" t="s">
        <v>696</v>
      </c>
      <c r="W783" t="s">
        <v>2788</v>
      </c>
      <c r="X783" t="s">
        <v>8080</v>
      </c>
      <c r="Y783" t="s">
        <v>93</v>
      </c>
      <c r="Z783" t="s">
        <v>678</v>
      </c>
      <c r="AA783" t="s">
        <v>1399</v>
      </c>
      <c r="AB783" t="s">
        <v>699</v>
      </c>
      <c r="AC783" t="s">
        <v>6951</v>
      </c>
      <c r="AD783" t="s">
        <v>678</v>
      </c>
      <c r="AE783" t="s">
        <v>1399</v>
      </c>
      <c r="AF783" t="s">
        <v>699</v>
      </c>
      <c r="AG783" t="s">
        <v>6951</v>
      </c>
      <c r="AI783" t="s">
        <v>8081</v>
      </c>
      <c r="AJ783" t="s">
        <v>678</v>
      </c>
      <c r="AK783" t="s">
        <v>99</v>
      </c>
      <c r="AL783" t="s">
        <v>8082</v>
      </c>
      <c r="AM783" t="s">
        <v>8073</v>
      </c>
      <c r="AN783" t="s">
        <v>2578</v>
      </c>
      <c r="AT783" t="s">
        <v>8083</v>
      </c>
      <c r="AW783" t="s">
        <v>8084</v>
      </c>
      <c r="AZ783" t="s">
        <v>80</v>
      </c>
    </row>
    <row r="784" spans="1:52" hidden="1" x14ac:dyDescent="0.25">
      <c r="A784" t="s">
        <v>8085</v>
      </c>
      <c r="B784" t="s">
        <v>8086</v>
      </c>
      <c r="C784" t="s">
        <v>8087</v>
      </c>
      <c r="D784" t="s">
        <v>78</v>
      </c>
      <c r="E784" t="s">
        <v>8088</v>
      </c>
      <c r="F784" t="s">
        <v>8088</v>
      </c>
      <c r="G784" t="s">
        <v>8088</v>
      </c>
      <c r="J784" t="s">
        <v>80</v>
      </c>
      <c r="K784" t="s">
        <v>110</v>
      </c>
      <c r="L784" t="s">
        <v>80</v>
      </c>
      <c r="M784">
        <v>666001</v>
      </c>
      <c r="P784" t="s">
        <v>693</v>
      </c>
      <c r="Q784" t="s">
        <v>539</v>
      </c>
      <c r="R784" t="s">
        <v>694</v>
      </c>
      <c r="S784" t="s">
        <v>541</v>
      </c>
      <c r="T784" t="s">
        <v>695</v>
      </c>
      <c r="U784" t="s">
        <v>696</v>
      </c>
      <c r="W784" t="s">
        <v>8089</v>
      </c>
      <c r="X784" t="s">
        <v>8090</v>
      </c>
      <c r="Y784" t="s">
        <v>93</v>
      </c>
      <c r="Z784" t="s">
        <v>699</v>
      </c>
      <c r="AA784" t="s">
        <v>8091</v>
      </c>
      <c r="AB784" t="s">
        <v>678</v>
      </c>
      <c r="AC784" t="s">
        <v>4383</v>
      </c>
      <c r="AD784" t="s">
        <v>699</v>
      </c>
      <c r="AE784" t="s">
        <v>8091</v>
      </c>
      <c r="AF784" t="s">
        <v>678</v>
      </c>
      <c r="AG784" t="s">
        <v>4383</v>
      </c>
      <c r="AI784" t="s">
        <v>8092</v>
      </c>
      <c r="AJ784" t="s">
        <v>699</v>
      </c>
      <c r="AK784" t="s">
        <v>99</v>
      </c>
      <c r="AL784" t="s">
        <v>8093</v>
      </c>
      <c r="AM784" t="s">
        <v>8094</v>
      </c>
      <c r="AN784" t="s">
        <v>2578</v>
      </c>
      <c r="AT784" t="s">
        <v>8095</v>
      </c>
      <c r="AW784" t="s">
        <v>8096</v>
      </c>
      <c r="AZ784" t="s">
        <v>80</v>
      </c>
    </row>
    <row r="785" spans="1:52" hidden="1" x14ac:dyDescent="0.25">
      <c r="A785" t="s">
        <v>8097</v>
      </c>
      <c r="B785" t="s">
        <v>8098</v>
      </c>
      <c r="C785" t="s">
        <v>8099</v>
      </c>
      <c r="D785" t="s">
        <v>78</v>
      </c>
      <c r="E785" t="s">
        <v>8100</v>
      </c>
      <c r="F785" t="s">
        <v>8100</v>
      </c>
      <c r="G785" t="s">
        <v>8100</v>
      </c>
      <c r="J785" t="s">
        <v>80</v>
      </c>
      <c r="K785" t="s">
        <v>110</v>
      </c>
      <c r="L785" t="s">
        <v>80</v>
      </c>
      <c r="M785">
        <v>666016</v>
      </c>
      <c r="P785" t="s">
        <v>693</v>
      </c>
      <c r="Q785" t="s">
        <v>539</v>
      </c>
      <c r="R785" t="s">
        <v>694</v>
      </c>
      <c r="S785" t="s">
        <v>541</v>
      </c>
      <c r="T785" t="s">
        <v>695</v>
      </c>
      <c r="U785" t="s">
        <v>696</v>
      </c>
      <c r="W785" t="s">
        <v>2788</v>
      </c>
      <c r="X785" t="s">
        <v>8080</v>
      </c>
      <c r="Y785" t="s">
        <v>93</v>
      </c>
      <c r="Z785" t="s">
        <v>678</v>
      </c>
      <c r="AA785" t="s">
        <v>5119</v>
      </c>
      <c r="AB785" t="s">
        <v>699</v>
      </c>
      <c r="AC785" t="s">
        <v>8101</v>
      </c>
      <c r="AD785" t="s">
        <v>678</v>
      </c>
      <c r="AE785" t="s">
        <v>5119</v>
      </c>
      <c r="AF785" t="s">
        <v>699</v>
      </c>
      <c r="AG785" t="s">
        <v>8101</v>
      </c>
      <c r="AI785" t="s">
        <v>8102</v>
      </c>
      <c r="AJ785" t="s">
        <v>678</v>
      </c>
      <c r="AK785" t="s">
        <v>99</v>
      </c>
      <c r="AL785" t="s">
        <v>8103</v>
      </c>
      <c r="AM785" t="s">
        <v>8104</v>
      </c>
      <c r="AN785" t="s">
        <v>2578</v>
      </c>
      <c r="AT785" t="s">
        <v>8105</v>
      </c>
      <c r="AW785" t="s">
        <v>8106</v>
      </c>
      <c r="AZ785" t="s">
        <v>80</v>
      </c>
    </row>
    <row r="786" spans="1:52" hidden="1" x14ac:dyDescent="0.25">
      <c r="A786" t="s">
        <v>8107</v>
      </c>
      <c r="B786" t="s">
        <v>8108</v>
      </c>
      <c r="C786" t="s">
        <v>8109</v>
      </c>
      <c r="D786" t="s">
        <v>78</v>
      </c>
      <c r="E786" t="s">
        <v>8110</v>
      </c>
      <c r="F786" t="s">
        <v>8110</v>
      </c>
      <c r="G786" t="s">
        <v>8110</v>
      </c>
      <c r="J786" t="s">
        <v>80</v>
      </c>
      <c r="K786" t="s">
        <v>110</v>
      </c>
      <c r="L786" t="s">
        <v>80</v>
      </c>
      <c r="M786">
        <v>666013</v>
      </c>
      <c r="P786" t="s">
        <v>3288</v>
      </c>
      <c r="Q786" t="s">
        <v>1205</v>
      </c>
      <c r="R786" t="s">
        <v>774</v>
      </c>
      <c r="S786" t="s">
        <v>444</v>
      </c>
      <c r="T786" t="s">
        <v>695</v>
      </c>
      <c r="U786" t="s">
        <v>8111</v>
      </c>
      <c r="W786" t="s">
        <v>2788</v>
      </c>
      <c r="X786" t="s">
        <v>8080</v>
      </c>
      <c r="Y786" t="s">
        <v>93</v>
      </c>
      <c r="Z786" t="s">
        <v>699</v>
      </c>
      <c r="AA786" t="s">
        <v>3986</v>
      </c>
      <c r="AB786" t="s">
        <v>678</v>
      </c>
      <c r="AC786" t="s">
        <v>2626</v>
      </c>
      <c r="AD786" t="s">
        <v>699</v>
      </c>
      <c r="AE786" t="s">
        <v>3986</v>
      </c>
      <c r="AF786" t="s">
        <v>678</v>
      </c>
      <c r="AG786" t="s">
        <v>2626</v>
      </c>
      <c r="AI786" t="s">
        <v>8112</v>
      </c>
      <c r="AJ786" t="s">
        <v>699</v>
      </c>
      <c r="AK786" t="s">
        <v>99</v>
      </c>
      <c r="AL786" t="s">
        <v>8113</v>
      </c>
      <c r="AM786" t="s">
        <v>8114</v>
      </c>
      <c r="AN786" t="s">
        <v>2578</v>
      </c>
      <c r="AT786" t="s">
        <v>8115</v>
      </c>
      <c r="AW786" t="s">
        <v>8116</v>
      </c>
      <c r="AZ786" t="s">
        <v>80</v>
      </c>
    </row>
    <row r="787" spans="1:52" hidden="1" x14ac:dyDescent="0.25">
      <c r="A787" t="s">
        <v>8117</v>
      </c>
      <c r="B787" t="s">
        <v>8118</v>
      </c>
      <c r="C787" t="s">
        <v>8119</v>
      </c>
      <c r="D787" t="s">
        <v>78</v>
      </c>
      <c r="E787" t="s">
        <v>8120</v>
      </c>
      <c r="F787" t="s">
        <v>8120</v>
      </c>
      <c r="G787" t="s">
        <v>8120</v>
      </c>
      <c r="J787" t="s">
        <v>80</v>
      </c>
      <c r="K787" t="s">
        <v>110</v>
      </c>
      <c r="L787" t="s">
        <v>80</v>
      </c>
      <c r="M787">
        <v>666010</v>
      </c>
      <c r="P787" t="s">
        <v>3288</v>
      </c>
      <c r="Q787" t="s">
        <v>1205</v>
      </c>
      <c r="R787" t="s">
        <v>774</v>
      </c>
      <c r="S787" t="s">
        <v>444</v>
      </c>
      <c r="T787" t="s">
        <v>695</v>
      </c>
      <c r="U787" t="s">
        <v>696</v>
      </c>
      <c r="W787" t="s">
        <v>2788</v>
      </c>
      <c r="X787" t="s">
        <v>8080</v>
      </c>
      <c r="Y787" t="s">
        <v>93</v>
      </c>
      <c r="Z787" t="s">
        <v>678</v>
      </c>
      <c r="AA787" t="s">
        <v>8121</v>
      </c>
      <c r="AB787" t="s">
        <v>699</v>
      </c>
      <c r="AC787" t="s">
        <v>1570</v>
      </c>
      <c r="AD787" t="s">
        <v>678</v>
      </c>
      <c r="AE787" t="s">
        <v>8121</v>
      </c>
      <c r="AF787" t="s">
        <v>699</v>
      </c>
      <c r="AG787" t="s">
        <v>1570</v>
      </c>
      <c r="AI787" t="s">
        <v>6258</v>
      </c>
      <c r="AJ787" t="s">
        <v>678</v>
      </c>
      <c r="AK787" t="s">
        <v>99</v>
      </c>
      <c r="AL787" t="s">
        <v>8122</v>
      </c>
      <c r="AM787" t="s">
        <v>8114</v>
      </c>
      <c r="AN787" t="s">
        <v>2578</v>
      </c>
      <c r="AT787" t="s">
        <v>8123</v>
      </c>
      <c r="AW787" t="s">
        <v>8124</v>
      </c>
      <c r="AZ787" t="s">
        <v>80</v>
      </c>
    </row>
    <row r="788" spans="1:52" hidden="1" x14ac:dyDescent="0.25">
      <c r="A788" t="s">
        <v>8125</v>
      </c>
      <c r="B788" t="s">
        <v>8126</v>
      </c>
      <c r="C788" t="s">
        <v>8127</v>
      </c>
      <c r="D788" t="s">
        <v>78</v>
      </c>
      <c r="E788" t="s">
        <v>8128</v>
      </c>
      <c r="F788" t="s">
        <v>8128</v>
      </c>
      <c r="G788" t="s">
        <v>8128</v>
      </c>
      <c r="J788" t="s">
        <v>80</v>
      </c>
      <c r="K788" t="s">
        <v>110</v>
      </c>
      <c r="L788" t="s">
        <v>80</v>
      </c>
      <c r="M788">
        <v>666009</v>
      </c>
      <c r="P788" t="s">
        <v>3288</v>
      </c>
      <c r="Q788" t="s">
        <v>1205</v>
      </c>
      <c r="R788" t="s">
        <v>774</v>
      </c>
      <c r="S788" t="s">
        <v>444</v>
      </c>
      <c r="T788" t="s">
        <v>695</v>
      </c>
      <c r="U788" t="s">
        <v>8111</v>
      </c>
      <c r="W788" t="s">
        <v>3080</v>
      </c>
      <c r="X788" t="s">
        <v>8129</v>
      </c>
      <c r="Y788" t="s">
        <v>93</v>
      </c>
      <c r="Z788" t="s">
        <v>699</v>
      </c>
      <c r="AA788" t="s">
        <v>2760</v>
      </c>
      <c r="AB788" t="s">
        <v>678</v>
      </c>
      <c r="AC788" t="s">
        <v>3960</v>
      </c>
      <c r="AD788" t="s">
        <v>699</v>
      </c>
      <c r="AE788" t="s">
        <v>2760</v>
      </c>
      <c r="AF788" t="s">
        <v>678</v>
      </c>
      <c r="AG788" t="s">
        <v>3960</v>
      </c>
      <c r="AI788" t="s">
        <v>7339</v>
      </c>
      <c r="AJ788" t="s">
        <v>699</v>
      </c>
      <c r="AK788" t="s">
        <v>99</v>
      </c>
      <c r="AL788" t="s">
        <v>8130</v>
      </c>
      <c r="AM788" t="s">
        <v>8131</v>
      </c>
      <c r="AN788" t="s">
        <v>2578</v>
      </c>
      <c r="AT788" t="s">
        <v>8132</v>
      </c>
      <c r="AW788" t="s">
        <v>8133</v>
      </c>
      <c r="AZ788" t="s">
        <v>80</v>
      </c>
    </row>
    <row r="789" spans="1:52" hidden="1" x14ac:dyDescent="0.25">
      <c r="A789" t="s">
        <v>8134</v>
      </c>
      <c r="B789" t="s">
        <v>1299</v>
      </c>
      <c r="C789" t="s">
        <v>8135</v>
      </c>
      <c r="D789" t="s">
        <v>78</v>
      </c>
      <c r="E789" t="s">
        <v>1302</v>
      </c>
      <c r="F789" t="s">
        <v>1302</v>
      </c>
      <c r="G789" t="s">
        <v>1302</v>
      </c>
      <c r="J789" t="s">
        <v>80</v>
      </c>
      <c r="K789" t="s">
        <v>110</v>
      </c>
      <c r="L789" t="s">
        <v>80</v>
      </c>
      <c r="M789">
        <v>69678</v>
      </c>
      <c r="N789" t="s">
        <v>1304</v>
      </c>
      <c r="O789" t="s">
        <v>1305</v>
      </c>
      <c r="P789" t="s">
        <v>1306</v>
      </c>
      <c r="Q789" t="s">
        <v>731</v>
      </c>
      <c r="R789" t="s">
        <v>732</v>
      </c>
      <c r="S789" t="s">
        <v>733</v>
      </c>
      <c r="T789" t="s">
        <v>1307</v>
      </c>
      <c r="U789" t="s">
        <v>1308</v>
      </c>
      <c r="V789" t="s">
        <v>1309</v>
      </c>
      <c r="W789" t="s">
        <v>8136</v>
      </c>
      <c r="X789" t="s">
        <v>8137</v>
      </c>
      <c r="Y789" t="s">
        <v>93</v>
      </c>
      <c r="Z789" t="s">
        <v>1312</v>
      </c>
      <c r="AA789" t="s">
        <v>1313</v>
      </c>
      <c r="AB789" t="s">
        <v>119</v>
      </c>
      <c r="AC789" t="s">
        <v>1314</v>
      </c>
      <c r="AD789" t="s">
        <v>1312</v>
      </c>
      <c r="AE789" t="s">
        <v>1313</v>
      </c>
      <c r="AF789" t="s">
        <v>119</v>
      </c>
      <c r="AG789" t="s">
        <v>1314</v>
      </c>
      <c r="AH789" t="s">
        <v>2958</v>
      </c>
      <c r="AI789" t="s">
        <v>8138</v>
      </c>
      <c r="AJ789" t="s">
        <v>119</v>
      </c>
      <c r="AK789" t="s">
        <v>99</v>
      </c>
      <c r="AL789" t="s">
        <v>8139</v>
      </c>
      <c r="AM789" t="s">
        <v>8140</v>
      </c>
      <c r="AN789" t="s">
        <v>2555</v>
      </c>
      <c r="AT789" t="s">
        <v>8141</v>
      </c>
      <c r="AV789" t="s">
        <v>190</v>
      </c>
      <c r="AZ789" t="s">
        <v>80</v>
      </c>
    </row>
    <row r="790" spans="1:52" hidden="1" x14ac:dyDescent="0.25">
      <c r="A790" t="s">
        <v>8142</v>
      </c>
      <c r="B790" t="s">
        <v>8143</v>
      </c>
      <c r="C790" t="s">
        <v>8144</v>
      </c>
      <c r="D790" t="s">
        <v>78</v>
      </c>
      <c r="E790" t="s">
        <v>8145</v>
      </c>
      <c r="F790" t="s">
        <v>8145</v>
      </c>
      <c r="G790" t="s">
        <v>8145</v>
      </c>
      <c r="J790" t="s">
        <v>80</v>
      </c>
      <c r="K790" t="s">
        <v>110</v>
      </c>
      <c r="L790" t="s">
        <v>80</v>
      </c>
      <c r="M790">
        <v>60126</v>
      </c>
      <c r="O790" t="s">
        <v>7777</v>
      </c>
      <c r="P790" t="s">
        <v>1819</v>
      </c>
      <c r="Q790" t="s">
        <v>2687</v>
      </c>
      <c r="R790" t="s">
        <v>1441</v>
      </c>
      <c r="S790" t="s">
        <v>748</v>
      </c>
      <c r="T790" t="s">
        <v>8146</v>
      </c>
      <c r="U790" t="s">
        <v>2892</v>
      </c>
      <c r="V790" t="s">
        <v>5152</v>
      </c>
      <c r="W790" t="s">
        <v>2788</v>
      </c>
      <c r="X790" t="s">
        <v>8147</v>
      </c>
      <c r="Y790" t="s">
        <v>93</v>
      </c>
      <c r="Z790" t="s">
        <v>2986</v>
      </c>
      <c r="AA790" t="s">
        <v>4826</v>
      </c>
      <c r="AB790" t="s">
        <v>119</v>
      </c>
      <c r="AC790" t="s">
        <v>8148</v>
      </c>
      <c r="AD790" t="s">
        <v>2986</v>
      </c>
      <c r="AE790" t="s">
        <v>4826</v>
      </c>
      <c r="AF790" t="s">
        <v>119</v>
      </c>
      <c r="AG790" t="s">
        <v>8148</v>
      </c>
      <c r="AI790" t="s">
        <v>8149</v>
      </c>
      <c r="AJ790" t="s">
        <v>2986</v>
      </c>
      <c r="AK790" t="s">
        <v>99</v>
      </c>
      <c r="AL790" t="s">
        <v>8150</v>
      </c>
      <c r="AM790" t="s">
        <v>8151</v>
      </c>
      <c r="AN790" t="s">
        <v>2578</v>
      </c>
      <c r="AT790" t="s">
        <v>8152</v>
      </c>
      <c r="AV790" t="s">
        <v>190</v>
      </c>
      <c r="AZ790" t="s">
        <v>80</v>
      </c>
    </row>
    <row r="791" spans="1:52" hidden="1" x14ac:dyDescent="0.25">
      <c r="A791" t="s">
        <v>8153</v>
      </c>
      <c r="B791" t="s">
        <v>8154</v>
      </c>
      <c r="C791" t="s">
        <v>8155</v>
      </c>
      <c r="D791" t="s">
        <v>78</v>
      </c>
      <c r="E791" t="s">
        <v>8156</v>
      </c>
      <c r="F791" t="s">
        <v>8156</v>
      </c>
      <c r="G791" t="s">
        <v>8156</v>
      </c>
      <c r="J791" t="s">
        <v>80</v>
      </c>
      <c r="K791" t="s">
        <v>110</v>
      </c>
      <c r="L791" t="s">
        <v>80</v>
      </c>
      <c r="M791">
        <v>60124</v>
      </c>
      <c r="O791" t="s">
        <v>7788</v>
      </c>
      <c r="P791" t="s">
        <v>1819</v>
      </c>
      <c r="Q791" t="s">
        <v>2687</v>
      </c>
      <c r="R791" t="s">
        <v>1441</v>
      </c>
      <c r="S791" t="s">
        <v>748</v>
      </c>
      <c r="T791" t="s">
        <v>8146</v>
      </c>
      <c r="U791" t="s">
        <v>8157</v>
      </c>
      <c r="V791" t="s">
        <v>3527</v>
      </c>
      <c r="W791" t="s">
        <v>3080</v>
      </c>
      <c r="X791" t="s">
        <v>8158</v>
      </c>
      <c r="Y791" t="s">
        <v>93</v>
      </c>
      <c r="Z791" t="s">
        <v>2986</v>
      </c>
      <c r="AA791" t="s">
        <v>8159</v>
      </c>
      <c r="AB791" t="s">
        <v>119</v>
      </c>
      <c r="AC791" t="s">
        <v>8160</v>
      </c>
      <c r="AD791" t="s">
        <v>2986</v>
      </c>
      <c r="AE791" t="s">
        <v>8159</v>
      </c>
      <c r="AF791" t="s">
        <v>119</v>
      </c>
      <c r="AG791" t="s">
        <v>8160</v>
      </c>
      <c r="AI791" t="s">
        <v>4736</v>
      </c>
      <c r="AJ791" t="s">
        <v>2986</v>
      </c>
      <c r="AK791" t="s">
        <v>99</v>
      </c>
      <c r="AL791" t="s">
        <v>8161</v>
      </c>
      <c r="AM791" t="s">
        <v>8151</v>
      </c>
      <c r="AN791" t="s">
        <v>2578</v>
      </c>
      <c r="AT791" t="s">
        <v>8162</v>
      </c>
      <c r="AV791" t="s">
        <v>190</v>
      </c>
      <c r="AZ791" t="s">
        <v>80</v>
      </c>
    </row>
    <row r="792" spans="1:52" hidden="1" x14ac:dyDescent="0.25">
      <c r="A792" t="s">
        <v>8163</v>
      </c>
      <c r="B792" t="s">
        <v>8164</v>
      </c>
      <c r="C792" t="s">
        <v>8165</v>
      </c>
      <c r="D792" t="s">
        <v>78</v>
      </c>
      <c r="E792" t="s">
        <v>8166</v>
      </c>
      <c r="F792" t="s">
        <v>8166</v>
      </c>
      <c r="G792" t="s">
        <v>8166</v>
      </c>
      <c r="J792" t="s">
        <v>80</v>
      </c>
      <c r="K792" t="s">
        <v>110</v>
      </c>
      <c r="L792" t="s">
        <v>80</v>
      </c>
      <c r="M792">
        <v>69401</v>
      </c>
      <c r="P792" t="s">
        <v>134</v>
      </c>
      <c r="Q792" t="s">
        <v>1205</v>
      </c>
      <c r="R792" t="s">
        <v>914</v>
      </c>
      <c r="S792" t="s">
        <v>444</v>
      </c>
      <c r="T792" t="s">
        <v>8167</v>
      </c>
      <c r="U792" t="s">
        <v>8168</v>
      </c>
      <c r="V792" t="s">
        <v>8169</v>
      </c>
      <c r="W792" t="s">
        <v>2788</v>
      </c>
      <c r="X792" t="s">
        <v>8170</v>
      </c>
      <c r="Y792" t="s">
        <v>93</v>
      </c>
      <c r="Z792" t="s">
        <v>699</v>
      </c>
      <c r="AA792" t="s">
        <v>1698</v>
      </c>
      <c r="AB792" t="s">
        <v>2986</v>
      </c>
      <c r="AC792" t="s">
        <v>8171</v>
      </c>
      <c r="AD792" t="s">
        <v>699</v>
      </c>
      <c r="AE792" t="s">
        <v>1698</v>
      </c>
      <c r="AF792" t="s">
        <v>2986</v>
      </c>
      <c r="AG792" t="s">
        <v>8171</v>
      </c>
      <c r="AI792" t="s">
        <v>8172</v>
      </c>
      <c r="AJ792" t="s">
        <v>699</v>
      </c>
      <c r="AK792" t="s">
        <v>99</v>
      </c>
      <c r="AL792" t="s">
        <v>8173</v>
      </c>
      <c r="AM792" t="s">
        <v>8174</v>
      </c>
      <c r="AN792" t="s">
        <v>2578</v>
      </c>
      <c r="AT792" t="s">
        <v>8175</v>
      </c>
      <c r="AV792" t="s">
        <v>128</v>
      </c>
      <c r="AZ792" t="s">
        <v>80</v>
      </c>
    </row>
    <row r="793" spans="1:52" hidden="1" x14ac:dyDescent="0.25">
      <c r="A793" t="s">
        <v>8176</v>
      </c>
      <c r="B793" t="s">
        <v>4130</v>
      </c>
      <c r="C793" t="s">
        <v>8177</v>
      </c>
      <c r="D793" t="s">
        <v>78</v>
      </c>
      <c r="E793" t="s">
        <v>4133</v>
      </c>
      <c r="F793" t="s">
        <v>4133</v>
      </c>
      <c r="G793" t="s">
        <v>4133</v>
      </c>
      <c r="J793" t="s">
        <v>80</v>
      </c>
      <c r="K793" t="s">
        <v>110</v>
      </c>
      <c r="L793" t="s">
        <v>80</v>
      </c>
      <c r="M793">
        <v>69530</v>
      </c>
      <c r="N793" t="s">
        <v>4134</v>
      </c>
      <c r="P793" t="s">
        <v>2905</v>
      </c>
      <c r="Q793" t="s">
        <v>1205</v>
      </c>
      <c r="R793" t="s">
        <v>914</v>
      </c>
      <c r="S793" t="s">
        <v>444</v>
      </c>
      <c r="T793" t="s">
        <v>4135</v>
      </c>
      <c r="U793" t="s">
        <v>4136</v>
      </c>
      <c r="V793" t="s">
        <v>198</v>
      </c>
      <c r="W793" t="s">
        <v>8178</v>
      </c>
      <c r="X793" t="s">
        <v>8179</v>
      </c>
      <c r="Y793" t="s">
        <v>93</v>
      </c>
      <c r="Z793" t="s">
        <v>2911</v>
      </c>
      <c r="AA793" t="s">
        <v>4139</v>
      </c>
      <c r="AB793" t="s">
        <v>182</v>
      </c>
      <c r="AC793" t="s">
        <v>4140</v>
      </c>
      <c r="AD793" t="s">
        <v>2911</v>
      </c>
      <c r="AE793" t="s">
        <v>4139</v>
      </c>
      <c r="AF793" t="s">
        <v>182</v>
      </c>
      <c r="AG793" t="s">
        <v>4140</v>
      </c>
      <c r="AH793" t="s">
        <v>4141</v>
      </c>
      <c r="AI793" t="s">
        <v>6128</v>
      </c>
      <c r="AJ793" t="s">
        <v>2911</v>
      </c>
      <c r="AK793" t="s">
        <v>99</v>
      </c>
      <c r="AL793" t="s">
        <v>8180</v>
      </c>
      <c r="AM793" t="s">
        <v>8181</v>
      </c>
      <c r="AN793" t="s">
        <v>2555</v>
      </c>
      <c r="AT793" t="s">
        <v>8182</v>
      </c>
      <c r="AV793" t="s">
        <v>128</v>
      </c>
      <c r="AZ793" t="s">
        <v>80</v>
      </c>
    </row>
    <row r="794" spans="1:52" hidden="1" x14ac:dyDescent="0.25">
      <c r="A794" t="s">
        <v>8183</v>
      </c>
      <c r="B794" t="s">
        <v>8184</v>
      </c>
      <c r="C794" t="s">
        <v>8185</v>
      </c>
      <c r="D794" t="s">
        <v>78</v>
      </c>
      <c r="E794" t="s">
        <v>8186</v>
      </c>
      <c r="F794" t="s">
        <v>8186</v>
      </c>
      <c r="G794" t="s">
        <v>8186</v>
      </c>
      <c r="J794" t="s">
        <v>80</v>
      </c>
      <c r="K794" t="s">
        <v>110</v>
      </c>
      <c r="L794" t="s">
        <v>80</v>
      </c>
      <c r="M794">
        <v>69863</v>
      </c>
      <c r="N794" t="s">
        <v>8187</v>
      </c>
      <c r="P794" t="s">
        <v>2905</v>
      </c>
      <c r="Q794" t="s">
        <v>1205</v>
      </c>
      <c r="R794" t="s">
        <v>914</v>
      </c>
      <c r="S794" t="s">
        <v>444</v>
      </c>
      <c r="T794" t="s">
        <v>3484</v>
      </c>
      <c r="U794" t="s">
        <v>3500</v>
      </c>
      <c r="V794" t="s">
        <v>3321</v>
      </c>
      <c r="W794" t="s">
        <v>2788</v>
      </c>
      <c r="X794" t="s">
        <v>8188</v>
      </c>
      <c r="Y794" t="s">
        <v>93</v>
      </c>
      <c r="Z794" t="s">
        <v>829</v>
      </c>
      <c r="AA794" t="s">
        <v>6647</v>
      </c>
      <c r="AB794" t="s">
        <v>2911</v>
      </c>
      <c r="AC794" t="s">
        <v>3069</v>
      </c>
      <c r="AD794" t="s">
        <v>829</v>
      </c>
      <c r="AE794" t="s">
        <v>6647</v>
      </c>
      <c r="AF794" t="s">
        <v>2911</v>
      </c>
      <c r="AG794" t="s">
        <v>3069</v>
      </c>
      <c r="AH794" t="s">
        <v>3489</v>
      </c>
      <c r="AI794" t="s">
        <v>4965</v>
      </c>
      <c r="AJ794" t="s">
        <v>829</v>
      </c>
      <c r="AK794" t="s">
        <v>99</v>
      </c>
      <c r="AL794" t="s">
        <v>8189</v>
      </c>
      <c r="AM794" t="s">
        <v>8181</v>
      </c>
      <c r="AN794" t="s">
        <v>2555</v>
      </c>
      <c r="AT794" t="s">
        <v>8190</v>
      </c>
      <c r="AV794" t="s">
        <v>128</v>
      </c>
      <c r="AZ794" t="s">
        <v>80</v>
      </c>
    </row>
    <row r="795" spans="1:52" hidden="1" x14ac:dyDescent="0.25">
      <c r="A795" t="s">
        <v>8191</v>
      </c>
      <c r="B795" t="s">
        <v>8192</v>
      </c>
      <c r="C795" t="s">
        <v>8193</v>
      </c>
      <c r="D795" t="s">
        <v>78</v>
      </c>
      <c r="E795" t="s">
        <v>8194</v>
      </c>
      <c r="F795" t="s">
        <v>8194</v>
      </c>
      <c r="G795" t="s">
        <v>8194</v>
      </c>
      <c r="J795" t="s">
        <v>80</v>
      </c>
      <c r="K795" t="s">
        <v>110</v>
      </c>
      <c r="L795" t="s">
        <v>80</v>
      </c>
      <c r="M795">
        <v>2671</v>
      </c>
      <c r="N795" t="s">
        <v>8195</v>
      </c>
      <c r="P795" t="s">
        <v>2905</v>
      </c>
      <c r="Q795" t="s">
        <v>8051</v>
      </c>
      <c r="R795" t="s">
        <v>927</v>
      </c>
      <c r="S795" t="s">
        <v>480</v>
      </c>
      <c r="T795" t="s">
        <v>8052</v>
      </c>
      <c r="U795" t="s">
        <v>4582</v>
      </c>
      <c r="V795" t="s">
        <v>8196</v>
      </c>
      <c r="W795" t="s">
        <v>8197</v>
      </c>
      <c r="X795" t="s">
        <v>8198</v>
      </c>
      <c r="Y795" t="s">
        <v>93</v>
      </c>
      <c r="Z795" t="s">
        <v>739</v>
      </c>
      <c r="AA795" t="s">
        <v>1592</v>
      </c>
      <c r="AB795" t="s">
        <v>8056</v>
      </c>
      <c r="AC795" t="s">
        <v>6825</v>
      </c>
      <c r="AD795" t="s">
        <v>739</v>
      </c>
      <c r="AE795" t="s">
        <v>1592</v>
      </c>
      <c r="AF795" t="s">
        <v>8056</v>
      </c>
      <c r="AG795" t="s">
        <v>6825</v>
      </c>
      <c r="AH795" t="s">
        <v>8199</v>
      </c>
      <c r="AI795" t="s">
        <v>8149</v>
      </c>
      <c r="AJ795" t="s">
        <v>739</v>
      </c>
      <c r="AK795" t="s">
        <v>8059</v>
      </c>
      <c r="AL795" t="s">
        <v>8200</v>
      </c>
      <c r="AM795" t="s">
        <v>8201</v>
      </c>
      <c r="AN795" t="s">
        <v>2555</v>
      </c>
      <c r="AT795" t="s">
        <v>8202</v>
      </c>
      <c r="AV795" t="s">
        <v>128</v>
      </c>
      <c r="AZ795" t="s">
        <v>80</v>
      </c>
    </row>
    <row r="796" spans="1:52" hidden="1" x14ac:dyDescent="0.25">
      <c r="A796" t="s">
        <v>8203</v>
      </c>
      <c r="B796" t="s">
        <v>8204</v>
      </c>
      <c r="C796" t="s">
        <v>8205</v>
      </c>
      <c r="D796" t="s">
        <v>78</v>
      </c>
      <c r="E796" t="s">
        <v>8206</v>
      </c>
      <c r="F796" t="s">
        <v>8206</v>
      </c>
      <c r="G796" t="s">
        <v>8206</v>
      </c>
      <c r="J796" t="s">
        <v>80</v>
      </c>
      <c r="K796" t="s">
        <v>110</v>
      </c>
      <c r="L796" t="s">
        <v>80</v>
      </c>
      <c r="M796">
        <v>2669</v>
      </c>
      <c r="N796" t="s">
        <v>8207</v>
      </c>
      <c r="P796" t="s">
        <v>2905</v>
      </c>
      <c r="Q796" t="s">
        <v>8051</v>
      </c>
      <c r="R796" t="s">
        <v>927</v>
      </c>
      <c r="S796" t="s">
        <v>480</v>
      </c>
      <c r="T796" t="s">
        <v>8052</v>
      </c>
      <c r="U796" t="s">
        <v>4582</v>
      </c>
      <c r="V796" t="s">
        <v>8196</v>
      </c>
      <c r="W796" t="s">
        <v>2788</v>
      </c>
      <c r="X796" t="s">
        <v>8208</v>
      </c>
      <c r="Y796" t="s">
        <v>93</v>
      </c>
      <c r="Z796" t="s">
        <v>739</v>
      </c>
      <c r="AA796" t="s">
        <v>8209</v>
      </c>
      <c r="AB796" t="s">
        <v>8056</v>
      </c>
      <c r="AC796" t="s">
        <v>6679</v>
      </c>
      <c r="AD796" t="s">
        <v>739</v>
      </c>
      <c r="AE796" t="s">
        <v>8209</v>
      </c>
      <c r="AF796" t="s">
        <v>8056</v>
      </c>
      <c r="AG796" t="s">
        <v>6679</v>
      </c>
      <c r="AH796" t="s">
        <v>8199</v>
      </c>
      <c r="AI796" t="s">
        <v>8210</v>
      </c>
      <c r="AJ796" t="s">
        <v>739</v>
      </c>
      <c r="AK796" t="s">
        <v>8059</v>
      </c>
      <c r="AL796" t="s">
        <v>8211</v>
      </c>
      <c r="AM796" t="s">
        <v>8201</v>
      </c>
      <c r="AN796" t="s">
        <v>2555</v>
      </c>
      <c r="AT796" t="s">
        <v>8212</v>
      </c>
      <c r="AV796" t="s">
        <v>128</v>
      </c>
      <c r="AZ796" t="s">
        <v>80</v>
      </c>
    </row>
    <row r="797" spans="1:52" hidden="1" x14ac:dyDescent="0.25">
      <c r="A797" t="s">
        <v>8213</v>
      </c>
      <c r="B797" t="s">
        <v>8214</v>
      </c>
      <c r="C797" t="s">
        <v>8215</v>
      </c>
      <c r="D797" t="s">
        <v>78</v>
      </c>
      <c r="E797" t="s">
        <v>8216</v>
      </c>
      <c r="F797" t="s">
        <v>8216</v>
      </c>
      <c r="G797" t="s">
        <v>8216</v>
      </c>
      <c r="J797" t="s">
        <v>80</v>
      </c>
      <c r="K797" t="s">
        <v>110</v>
      </c>
      <c r="L797" t="s">
        <v>80</v>
      </c>
      <c r="M797">
        <v>2667</v>
      </c>
      <c r="N797" t="s">
        <v>8217</v>
      </c>
      <c r="P797" t="s">
        <v>2905</v>
      </c>
      <c r="Q797" t="s">
        <v>8051</v>
      </c>
      <c r="R797" t="s">
        <v>927</v>
      </c>
      <c r="S797" t="s">
        <v>480</v>
      </c>
      <c r="T797" t="s">
        <v>8052</v>
      </c>
      <c r="U797" t="s">
        <v>4582</v>
      </c>
      <c r="V797" t="s">
        <v>8196</v>
      </c>
      <c r="W797" t="s">
        <v>8218</v>
      </c>
      <c r="X797" t="s">
        <v>8219</v>
      </c>
      <c r="Y797" t="s">
        <v>93</v>
      </c>
      <c r="Z797" t="s">
        <v>739</v>
      </c>
      <c r="AA797" t="s">
        <v>6962</v>
      </c>
      <c r="AB797" t="s">
        <v>8056</v>
      </c>
      <c r="AC797" t="s">
        <v>8220</v>
      </c>
      <c r="AD797" t="s">
        <v>739</v>
      </c>
      <c r="AE797" t="s">
        <v>6962</v>
      </c>
      <c r="AF797" t="s">
        <v>8056</v>
      </c>
      <c r="AG797" t="s">
        <v>8220</v>
      </c>
      <c r="AH797" t="s">
        <v>8199</v>
      </c>
      <c r="AI797" t="s">
        <v>2654</v>
      </c>
      <c r="AJ797" t="s">
        <v>739</v>
      </c>
      <c r="AK797" t="s">
        <v>8059</v>
      </c>
      <c r="AL797" t="s">
        <v>8221</v>
      </c>
      <c r="AM797" t="s">
        <v>8222</v>
      </c>
      <c r="AN797" t="s">
        <v>2555</v>
      </c>
      <c r="AT797" t="s">
        <v>8223</v>
      </c>
      <c r="AV797" t="s">
        <v>128</v>
      </c>
      <c r="AZ797" t="s">
        <v>80</v>
      </c>
    </row>
    <row r="798" spans="1:52" hidden="1" x14ac:dyDescent="0.25">
      <c r="A798" t="s">
        <v>8224</v>
      </c>
      <c r="B798" t="s">
        <v>8225</v>
      </c>
      <c r="C798" t="s">
        <v>8226</v>
      </c>
      <c r="D798" t="s">
        <v>78</v>
      </c>
      <c r="E798" t="s">
        <v>8227</v>
      </c>
      <c r="F798" t="s">
        <v>8227</v>
      </c>
      <c r="G798" t="s">
        <v>8227</v>
      </c>
      <c r="J798" t="s">
        <v>80</v>
      </c>
      <c r="K798" t="s">
        <v>110</v>
      </c>
      <c r="L798" t="s">
        <v>80</v>
      </c>
      <c r="M798">
        <v>2665</v>
      </c>
      <c r="N798" t="s">
        <v>8228</v>
      </c>
      <c r="P798" t="s">
        <v>2905</v>
      </c>
      <c r="Q798" t="s">
        <v>8051</v>
      </c>
      <c r="R798" t="s">
        <v>927</v>
      </c>
      <c r="S798" t="s">
        <v>480</v>
      </c>
      <c r="T798" t="s">
        <v>8052</v>
      </c>
      <c r="U798" t="s">
        <v>4582</v>
      </c>
      <c r="V798" t="s">
        <v>8196</v>
      </c>
      <c r="W798" t="s">
        <v>8229</v>
      </c>
      <c r="X798" t="s">
        <v>8230</v>
      </c>
      <c r="Y798" t="s">
        <v>93</v>
      </c>
      <c r="Z798" t="s">
        <v>739</v>
      </c>
      <c r="AA798" t="s">
        <v>8231</v>
      </c>
      <c r="AB798" t="s">
        <v>8056</v>
      </c>
      <c r="AC798" t="s">
        <v>491</v>
      </c>
      <c r="AD798" t="s">
        <v>739</v>
      </c>
      <c r="AE798" t="s">
        <v>8231</v>
      </c>
      <c r="AF798" t="s">
        <v>8056</v>
      </c>
      <c r="AG798" t="s">
        <v>491</v>
      </c>
      <c r="AH798" t="s">
        <v>8199</v>
      </c>
      <c r="AI798" t="s">
        <v>8232</v>
      </c>
      <c r="AJ798" t="s">
        <v>739</v>
      </c>
      <c r="AK798" t="s">
        <v>8059</v>
      </c>
      <c r="AL798" t="s">
        <v>8233</v>
      </c>
      <c r="AM798" t="s">
        <v>8222</v>
      </c>
      <c r="AN798" t="s">
        <v>2555</v>
      </c>
      <c r="AT798" t="s">
        <v>8234</v>
      </c>
      <c r="AV798" t="s">
        <v>128</v>
      </c>
      <c r="AZ798" t="s">
        <v>80</v>
      </c>
    </row>
    <row r="799" spans="1:52" hidden="1" x14ac:dyDescent="0.25">
      <c r="A799" t="s">
        <v>8235</v>
      </c>
      <c r="B799" t="s">
        <v>8236</v>
      </c>
      <c r="C799" t="s">
        <v>8237</v>
      </c>
      <c r="D799" t="s">
        <v>78</v>
      </c>
      <c r="E799" t="s">
        <v>8238</v>
      </c>
      <c r="F799" t="s">
        <v>8238</v>
      </c>
      <c r="G799" t="s">
        <v>8238</v>
      </c>
      <c r="J799" t="s">
        <v>80</v>
      </c>
      <c r="K799" t="s">
        <v>110</v>
      </c>
      <c r="L799" t="s">
        <v>80</v>
      </c>
      <c r="M799">
        <v>2663</v>
      </c>
      <c r="N799" t="s">
        <v>8239</v>
      </c>
      <c r="P799" t="s">
        <v>2905</v>
      </c>
      <c r="Q799" t="s">
        <v>8051</v>
      </c>
      <c r="R799" t="s">
        <v>927</v>
      </c>
      <c r="S799" t="s">
        <v>480</v>
      </c>
      <c r="T799" t="s">
        <v>8052</v>
      </c>
      <c r="U799" t="s">
        <v>4582</v>
      </c>
      <c r="V799" t="s">
        <v>8196</v>
      </c>
      <c r="W799" t="s">
        <v>8218</v>
      </c>
      <c r="X799" t="s">
        <v>8219</v>
      </c>
      <c r="Y799" t="s">
        <v>93</v>
      </c>
      <c r="Z799" t="s">
        <v>739</v>
      </c>
      <c r="AA799" t="s">
        <v>7916</v>
      </c>
      <c r="AB799" t="s">
        <v>8056</v>
      </c>
      <c r="AC799" t="s">
        <v>2664</v>
      </c>
      <c r="AD799" t="s">
        <v>739</v>
      </c>
      <c r="AE799" t="s">
        <v>7916</v>
      </c>
      <c r="AF799" t="s">
        <v>8056</v>
      </c>
      <c r="AG799" t="s">
        <v>2664</v>
      </c>
      <c r="AH799" t="s">
        <v>8199</v>
      </c>
      <c r="AI799" t="s">
        <v>8240</v>
      </c>
      <c r="AJ799" t="s">
        <v>739</v>
      </c>
      <c r="AK799" t="s">
        <v>8059</v>
      </c>
      <c r="AL799" t="s">
        <v>8241</v>
      </c>
      <c r="AM799" t="s">
        <v>8242</v>
      </c>
      <c r="AN799" t="s">
        <v>2555</v>
      </c>
      <c r="AT799" t="s">
        <v>8243</v>
      </c>
      <c r="AV799" t="s">
        <v>128</v>
      </c>
      <c r="AZ799" t="s">
        <v>80</v>
      </c>
    </row>
    <row r="800" spans="1:52" hidden="1" x14ac:dyDescent="0.25">
      <c r="A800" t="s">
        <v>8244</v>
      </c>
      <c r="B800" t="s">
        <v>8245</v>
      </c>
      <c r="C800" t="s">
        <v>8246</v>
      </c>
      <c r="D800" t="s">
        <v>78</v>
      </c>
      <c r="E800" t="s">
        <v>8247</v>
      </c>
      <c r="F800" t="s">
        <v>8247</v>
      </c>
      <c r="G800" t="s">
        <v>8247</v>
      </c>
      <c r="J800" t="s">
        <v>80</v>
      </c>
      <c r="K800" t="s">
        <v>110</v>
      </c>
      <c r="L800" t="s">
        <v>80</v>
      </c>
      <c r="M800">
        <v>2661</v>
      </c>
      <c r="N800" t="s">
        <v>8248</v>
      </c>
      <c r="P800" t="s">
        <v>2905</v>
      </c>
      <c r="Q800" t="s">
        <v>8051</v>
      </c>
      <c r="R800" t="s">
        <v>927</v>
      </c>
      <c r="S800" t="s">
        <v>480</v>
      </c>
      <c r="T800" t="s">
        <v>8052</v>
      </c>
      <c r="U800" t="s">
        <v>4582</v>
      </c>
      <c r="V800" t="s">
        <v>8196</v>
      </c>
      <c r="W800" t="s">
        <v>2788</v>
      </c>
      <c r="X800" t="s">
        <v>8208</v>
      </c>
      <c r="Y800" t="s">
        <v>93</v>
      </c>
      <c r="Z800" t="s">
        <v>739</v>
      </c>
      <c r="AA800" t="s">
        <v>8249</v>
      </c>
      <c r="AB800" t="s">
        <v>8056</v>
      </c>
      <c r="AC800" t="s">
        <v>2245</v>
      </c>
      <c r="AD800" t="s">
        <v>739</v>
      </c>
      <c r="AE800" t="s">
        <v>8249</v>
      </c>
      <c r="AF800" t="s">
        <v>8056</v>
      </c>
      <c r="AG800" t="s">
        <v>2245</v>
      </c>
      <c r="AH800" t="s">
        <v>8199</v>
      </c>
      <c r="AI800" t="s">
        <v>1215</v>
      </c>
      <c r="AJ800" t="s">
        <v>739</v>
      </c>
      <c r="AK800" t="s">
        <v>8059</v>
      </c>
      <c r="AL800" t="s">
        <v>8250</v>
      </c>
      <c r="AM800" t="s">
        <v>8251</v>
      </c>
      <c r="AN800" t="s">
        <v>2555</v>
      </c>
      <c r="AT800" t="s">
        <v>8252</v>
      </c>
      <c r="AV800" t="s">
        <v>128</v>
      </c>
      <c r="AZ800" t="s">
        <v>80</v>
      </c>
    </row>
    <row r="801" spans="1:52" hidden="1" x14ac:dyDescent="0.25">
      <c r="A801" t="s">
        <v>8253</v>
      </c>
      <c r="B801" t="s">
        <v>8254</v>
      </c>
      <c r="C801" t="s">
        <v>8255</v>
      </c>
      <c r="D801" t="s">
        <v>78</v>
      </c>
      <c r="E801" t="s">
        <v>8256</v>
      </c>
      <c r="F801" t="s">
        <v>8256</v>
      </c>
      <c r="G801" t="s">
        <v>8256</v>
      </c>
      <c r="J801" t="s">
        <v>80</v>
      </c>
      <c r="K801" t="s">
        <v>110</v>
      </c>
      <c r="L801" t="s">
        <v>80</v>
      </c>
      <c r="M801">
        <v>2659</v>
      </c>
      <c r="N801" t="s">
        <v>8257</v>
      </c>
      <c r="P801" t="s">
        <v>2905</v>
      </c>
      <c r="Q801" t="s">
        <v>8051</v>
      </c>
      <c r="R801" t="s">
        <v>927</v>
      </c>
      <c r="S801" t="s">
        <v>480</v>
      </c>
      <c r="T801" t="s">
        <v>8052</v>
      </c>
      <c r="U801" t="s">
        <v>4582</v>
      </c>
      <c r="V801" t="s">
        <v>8196</v>
      </c>
      <c r="W801" t="s">
        <v>8229</v>
      </c>
      <c r="X801" t="s">
        <v>8230</v>
      </c>
      <c r="Y801" t="s">
        <v>93</v>
      </c>
      <c r="Z801" t="s">
        <v>739</v>
      </c>
      <c r="AA801" t="s">
        <v>7174</v>
      </c>
      <c r="AB801" t="s">
        <v>8056</v>
      </c>
      <c r="AC801" t="s">
        <v>3053</v>
      </c>
      <c r="AD801" t="s">
        <v>739</v>
      </c>
      <c r="AE801" t="s">
        <v>7174</v>
      </c>
      <c r="AF801" t="s">
        <v>8056</v>
      </c>
      <c r="AG801" t="s">
        <v>3053</v>
      </c>
      <c r="AH801" t="s">
        <v>8199</v>
      </c>
      <c r="AI801" t="s">
        <v>2230</v>
      </c>
      <c r="AJ801" t="s">
        <v>739</v>
      </c>
      <c r="AK801" t="s">
        <v>8059</v>
      </c>
      <c r="AL801" t="s">
        <v>8258</v>
      </c>
      <c r="AM801" t="s">
        <v>8259</v>
      </c>
      <c r="AN801" t="s">
        <v>2555</v>
      </c>
      <c r="AT801" t="s">
        <v>8260</v>
      </c>
      <c r="AV801" t="s">
        <v>128</v>
      </c>
      <c r="AZ801" t="s">
        <v>80</v>
      </c>
    </row>
    <row r="802" spans="1:52" hidden="1" x14ac:dyDescent="0.25">
      <c r="A802" t="s">
        <v>8261</v>
      </c>
      <c r="B802" t="s">
        <v>8262</v>
      </c>
      <c r="C802" t="s">
        <v>8263</v>
      </c>
      <c r="D802" t="s">
        <v>78</v>
      </c>
      <c r="E802" t="s">
        <v>8264</v>
      </c>
      <c r="F802" t="s">
        <v>8264</v>
      </c>
      <c r="G802" t="s">
        <v>8264</v>
      </c>
      <c r="J802" t="s">
        <v>80</v>
      </c>
      <c r="K802" t="s">
        <v>110</v>
      </c>
      <c r="L802" t="s">
        <v>80</v>
      </c>
      <c r="M802">
        <v>2657</v>
      </c>
      <c r="N802" t="s">
        <v>8265</v>
      </c>
      <c r="P802" t="s">
        <v>2905</v>
      </c>
      <c r="Q802" t="s">
        <v>8051</v>
      </c>
      <c r="R802" t="s">
        <v>927</v>
      </c>
      <c r="S802" t="s">
        <v>480</v>
      </c>
      <c r="T802" t="s">
        <v>8052</v>
      </c>
      <c r="U802" t="s">
        <v>4582</v>
      </c>
      <c r="V802" t="s">
        <v>8196</v>
      </c>
      <c r="W802" t="s">
        <v>8229</v>
      </c>
      <c r="X802" t="s">
        <v>8230</v>
      </c>
      <c r="Y802" t="s">
        <v>93</v>
      </c>
      <c r="Z802" t="s">
        <v>739</v>
      </c>
      <c r="AA802" t="s">
        <v>2705</v>
      </c>
      <c r="AB802" t="s">
        <v>8056</v>
      </c>
      <c r="AC802" t="s">
        <v>8266</v>
      </c>
      <c r="AD802" t="s">
        <v>739</v>
      </c>
      <c r="AE802" t="s">
        <v>2705</v>
      </c>
      <c r="AF802" t="s">
        <v>8056</v>
      </c>
      <c r="AG802" t="s">
        <v>8266</v>
      </c>
      <c r="AH802" t="s">
        <v>8199</v>
      </c>
      <c r="AI802" t="s">
        <v>4345</v>
      </c>
      <c r="AJ802" t="s">
        <v>739</v>
      </c>
      <c r="AK802" t="s">
        <v>8059</v>
      </c>
      <c r="AL802" t="s">
        <v>8267</v>
      </c>
      <c r="AM802" t="s">
        <v>8268</v>
      </c>
      <c r="AN802" t="s">
        <v>2555</v>
      </c>
      <c r="AT802" t="s">
        <v>8269</v>
      </c>
      <c r="AV802" t="s">
        <v>128</v>
      </c>
      <c r="AZ802" t="s">
        <v>80</v>
      </c>
    </row>
    <row r="803" spans="1:52" hidden="1" x14ac:dyDescent="0.25">
      <c r="A803" t="s">
        <v>8270</v>
      </c>
      <c r="B803" t="s">
        <v>8271</v>
      </c>
      <c r="C803" t="s">
        <v>8272</v>
      </c>
      <c r="D803" t="s">
        <v>78</v>
      </c>
      <c r="E803" t="s">
        <v>8273</v>
      </c>
      <c r="F803" t="s">
        <v>8273</v>
      </c>
      <c r="G803" t="s">
        <v>8273</v>
      </c>
      <c r="J803" t="s">
        <v>80</v>
      </c>
      <c r="K803" t="s">
        <v>110</v>
      </c>
      <c r="L803" t="s">
        <v>80</v>
      </c>
      <c r="M803">
        <v>2655</v>
      </c>
      <c r="N803" t="s">
        <v>8274</v>
      </c>
      <c r="P803" t="s">
        <v>2905</v>
      </c>
      <c r="Q803" t="s">
        <v>8051</v>
      </c>
      <c r="R803" t="s">
        <v>927</v>
      </c>
      <c r="S803" t="s">
        <v>480</v>
      </c>
      <c r="T803" t="s">
        <v>8052</v>
      </c>
      <c r="U803" t="s">
        <v>4582</v>
      </c>
      <c r="V803" t="s">
        <v>8196</v>
      </c>
      <c r="W803" t="s">
        <v>2788</v>
      </c>
      <c r="X803" t="s">
        <v>8208</v>
      </c>
      <c r="Y803" t="s">
        <v>93</v>
      </c>
      <c r="Z803" t="s">
        <v>739</v>
      </c>
      <c r="AA803" t="s">
        <v>623</v>
      </c>
      <c r="AB803" t="s">
        <v>8056</v>
      </c>
      <c r="AC803" t="s">
        <v>679</v>
      </c>
      <c r="AD803" t="s">
        <v>739</v>
      </c>
      <c r="AE803" t="s">
        <v>623</v>
      </c>
      <c r="AF803" t="s">
        <v>8056</v>
      </c>
      <c r="AG803" t="s">
        <v>679</v>
      </c>
      <c r="AH803" t="s">
        <v>8199</v>
      </c>
      <c r="AI803" t="s">
        <v>8275</v>
      </c>
      <c r="AJ803" t="s">
        <v>739</v>
      </c>
      <c r="AK803" t="s">
        <v>8059</v>
      </c>
      <c r="AL803" t="s">
        <v>8276</v>
      </c>
      <c r="AM803" t="s">
        <v>8277</v>
      </c>
      <c r="AN803" t="s">
        <v>2555</v>
      </c>
      <c r="AT803" t="s">
        <v>8278</v>
      </c>
      <c r="AV803" t="s">
        <v>128</v>
      </c>
      <c r="AZ803" t="s">
        <v>80</v>
      </c>
    </row>
    <row r="804" spans="1:52" hidden="1" x14ac:dyDescent="0.25">
      <c r="A804" t="s">
        <v>8279</v>
      </c>
      <c r="B804" t="s">
        <v>8280</v>
      </c>
      <c r="C804" t="s">
        <v>8281</v>
      </c>
      <c r="D804" t="s">
        <v>78</v>
      </c>
      <c r="E804" t="s">
        <v>8282</v>
      </c>
      <c r="F804" t="s">
        <v>8282</v>
      </c>
      <c r="G804" t="s">
        <v>8282</v>
      </c>
      <c r="J804" t="s">
        <v>80</v>
      </c>
      <c r="K804" t="s">
        <v>110</v>
      </c>
      <c r="L804" t="s">
        <v>80</v>
      </c>
      <c r="M804">
        <v>2653</v>
      </c>
      <c r="N804" t="s">
        <v>8283</v>
      </c>
      <c r="P804" t="s">
        <v>2905</v>
      </c>
      <c r="Q804" t="s">
        <v>8051</v>
      </c>
      <c r="R804" t="s">
        <v>927</v>
      </c>
      <c r="S804" t="s">
        <v>480</v>
      </c>
      <c r="T804" t="s">
        <v>8052</v>
      </c>
      <c r="U804" t="s">
        <v>4582</v>
      </c>
      <c r="V804" t="s">
        <v>8196</v>
      </c>
      <c r="W804" t="s">
        <v>8229</v>
      </c>
      <c r="X804" t="s">
        <v>8230</v>
      </c>
      <c r="Y804" t="s">
        <v>93</v>
      </c>
      <c r="Z804" t="s">
        <v>739</v>
      </c>
      <c r="AA804" t="s">
        <v>2716</v>
      </c>
      <c r="AB804" t="s">
        <v>8056</v>
      </c>
      <c r="AC804" t="s">
        <v>8284</v>
      </c>
      <c r="AD804" t="s">
        <v>739</v>
      </c>
      <c r="AE804" t="s">
        <v>2716</v>
      </c>
      <c r="AF804" t="s">
        <v>8056</v>
      </c>
      <c r="AG804" t="s">
        <v>8284</v>
      </c>
      <c r="AH804" t="s">
        <v>8199</v>
      </c>
      <c r="AI804" t="s">
        <v>6886</v>
      </c>
      <c r="AJ804" t="s">
        <v>739</v>
      </c>
      <c r="AK804" t="s">
        <v>8059</v>
      </c>
      <c r="AL804" t="s">
        <v>8285</v>
      </c>
      <c r="AM804" t="s">
        <v>8277</v>
      </c>
      <c r="AN804" t="s">
        <v>2555</v>
      </c>
      <c r="AT804" t="s">
        <v>8286</v>
      </c>
      <c r="AV804" t="s">
        <v>128</v>
      </c>
      <c r="AZ804" t="s">
        <v>80</v>
      </c>
    </row>
    <row r="805" spans="1:52" hidden="1" x14ac:dyDescent="0.25">
      <c r="A805" t="s">
        <v>8287</v>
      </c>
      <c r="B805" t="s">
        <v>8288</v>
      </c>
      <c r="C805" t="s">
        <v>8289</v>
      </c>
      <c r="D805" t="s">
        <v>78</v>
      </c>
      <c r="E805" t="s">
        <v>8290</v>
      </c>
      <c r="F805" t="s">
        <v>8290</v>
      </c>
      <c r="G805" t="s">
        <v>8290</v>
      </c>
      <c r="J805" t="s">
        <v>80</v>
      </c>
      <c r="K805" t="s">
        <v>110</v>
      </c>
      <c r="L805" t="s">
        <v>80</v>
      </c>
      <c r="M805">
        <v>2651</v>
      </c>
      <c r="N805" t="s">
        <v>8291</v>
      </c>
      <c r="P805" t="s">
        <v>2905</v>
      </c>
      <c r="Q805" t="s">
        <v>8051</v>
      </c>
      <c r="R805" t="s">
        <v>927</v>
      </c>
      <c r="S805" t="s">
        <v>480</v>
      </c>
      <c r="T805" t="s">
        <v>8052</v>
      </c>
      <c r="U805" t="s">
        <v>4582</v>
      </c>
      <c r="V805" t="s">
        <v>8196</v>
      </c>
      <c r="W805" t="s">
        <v>2788</v>
      </c>
      <c r="X805" t="s">
        <v>8208</v>
      </c>
      <c r="Y805" t="s">
        <v>93</v>
      </c>
      <c r="Z805" t="s">
        <v>739</v>
      </c>
      <c r="AA805" t="s">
        <v>639</v>
      </c>
      <c r="AB805" t="s">
        <v>8056</v>
      </c>
      <c r="AC805" t="s">
        <v>1971</v>
      </c>
      <c r="AD805" t="s">
        <v>739</v>
      </c>
      <c r="AE805" t="s">
        <v>639</v>
      </c>
      <c r="AF805" t="s">
        <v>8056</v>
      </c>
      <c r="AG805" t="s">
        <v>1971</v>
      </c>
      <c r="AH805" t="s">
        <v>8199</v>
      </c>
      <c r="AI805" t="s">
        <v>2856</v>
      </c>
      <c r="AJ805" t="s">
        <v>739</v>
      </c>
      <c r="AK805" t="s">
        <v>8059</v>
      </c>
      <c r="AL805" t="s">
        <v>8292</v>
      </c>
      <c r="AM805" t="s">
        <v>8277</v>
      </c>
      <c r="AN805" t="s">
        <v>2555</v>
      </c>
      <c r="AT805" t="s">
        <v>8293</v>
      </c>
      <c r="AV805" t="s">
        <v>128</v>
      </c>
      <c r="AZ805" t="s">
        <v>80</v>
      </c>
    </row>
    <row r="806" spans="1:52" hidden="1" x14ac:dyDescent="0.25">
      <c r="A806" t="s">
        <v>8294</v>
      </c>
      <c r="B806" t="s">
        <v>8295</v>
      </c>
      <c r="C806" t="s">
        <v>8296</v>
      </c>
      <c r="D806" t="s">
        <v>78</v>
      </c>
      <c r="E806" t="s">
        <v>8297</v>
      </c>
      <c r="F806" t="s">
        <v>8297</v>
      </c>
      <c r="G806" t="s">
        <v>8297</v>
      </c>
      <c r="J806" t="s">
        <v>80</v>
      </c>
      <c r="K806" t="s">
        <v>110</v>
      </c>
      <c r="L806" t="s">
        <v>80</v>
      </c>
      <c r="M806">
        <v>2670</v>
      </c>
      <c r="N806" t="s">
        <v>8298</v>
      </c>
      <c r="P806" t="s">
        <v>2905</v>
      </c>
      <c r="Q806" t="s">
        <v>8051</v>
      </c>
      <c r="R806" t="s">
        <v>927</v>
      </c>
      <c r="S806" t="s">
        <v>480</v>
      </c>
      <c r="T806" t="s">
        <v>8052</v>
      </c>
      <c r="U806" t="s">
        <v>7014</v>
      </c>
      <c r="V806" t="s">
        <v>8053</v>
      </c>
      <c r="W806" t="s">
        <v>8197</v>
      </c>
      <c r="X806" t="s">
        <v>8198</v>
      </c>
      <c r="Y806" t="s">
        <v>93</v>
      </c>
      <c r="Z806" t="s">
        <v>8056</v>
      </c>
      <c r="AA806" t="s">
        <v>8299</v>
      </c>
      <c r="AB806" t="s">
        <v>739</v>
      </c>
      <c r="AC806" t="s">
        <v>8300</v>
      </c>
      <c r="AD806" t="s">
        <v>8056</v>
      </c>
      <c r="AE806" t="s">
        <v>8299</v>
      </c>
      <c r="AF806" t="s">
        <v>739</v>
      </c>
      <c r="AG806" t="s">
        <v>8300</v>
      </c>
      <c r="AH806" t="s">
        <v>8057</v>
      </c>
      <c r="AI806" t="s">
        <v>8301</v>
      </c>
      <c r="AJ806" t="s">
        <v>739</v>
      </c>
      <c r="AK806" t="s">
        <v>8059</v>
      </c>
      <c r="AL806" t="s">
        <v>8302</v>
      </c>
      <c r="AM806" t="s">
        <v>8303</v>
      </c>
      <c r="AN806" t="s">
        <v>2555</v>
      </c>
      <c r="AT806" t="s">
        <v>8304</v>
      </c>
      <c r="AV806" t="s">
        <v>128</v>
      </c>
      <c r="AZ806" t="s">
        <v>80</v>
      </c>
    </row>
    <row r="807" spans="1:52" hidden="1" x14ac:dyDescent="0.25">
      <c r="A807" t="s">
        <v>8305</v>
      </c>
      <c r="B807" t="s">
        <v>8306</v>
      </c>
      <c r="C807" t="s">
        <v>8307</v>
      </c>
      <c r="D807" t="s">
        <v>78</v>
      </c>
      <c r="E807" t="s">
        <v>8308</v>
      </c>
      <c r="F807" t="s">
        <v>8308</v>
      </c>
      <c r="G807" t="s">
        <v>8308</v>
      </c>
      <c r="J807" t="s">
        <v>80</v>
      </c>
      <c r="K807" t="s">
        <v>110</v>
      </c>
      <c r="L807" t="s">
        <v>80</v>
      </c>
      <c r="M807">
        <v>2668</v>
      </c>
      <c r="N807" t="s">
        <v>8309</v>
      </c>
      <c r="P807" t="s">
        <v>2905</v>
      </c>
      <c r="Q807" t="s">
        <v>8051</v>
      </c>
      <c r="R807" t="s">
        <v>927</v>
      </c>
      <c r="S807" t="s">
        <v>480</v>
      </c>
      <c r="T807" t="s">
        <v>8052</v>
      </c>
      <c r="U807" t="s">
        <v>7014</v>
      </c>
      <c r="V807" t="s">
        <v>8053</v>
      </c>
      <c r="W807" t="s">
        <v>2788</v>
      </c>
      <c r="X807" t="s">
        <v>8208</v>
      </c>
      <c r="Y807" t="s">
        <v>93</v>
      </c>
      <c r="Z807" t="s">
        <v>8056</v>
      </c>
      <c r="AA807" t="s">
        <v>8310</v>
      </c>
      <c r="AB807" t="s">
        <v>739</v>
      </c>
      <c r="AC807" t="s">
        <v>8311</v>
      </c>
      <c r="AD807" t="s">
        <v>8056</v>
      </c>
      <c r="AE807" t="s">
        <v>8310</v>
      </c>
      <c r="AF807" t="s">
        <v>739</v>
      </c>
      <c r="AG807" t="s">
        <v>8311</v>
      </c>
      <c r="AH807" t="s">
        <v>8057</v>
      </c>
      <c r="AI807" t="s">
        <v>8312</v>
      </c>
      <c r="AJ807" t="s">
        <v>739</v>
      </c>
      <c r="AK807" t="s">
        <v>8059</v>
      </c>
      <c r="AL807" t="s">
        <v>8313</v>
      </c>
      <c r="AM807" t="s">
        <v>8131</v>
      </c>
      <c r="AN807" t="s">
        <v>2555</v>
      </c>
      <c r="AT807" t="s">
        <v>8314</v>
      </c>
      <c r="AV807" t="s">
        <v>128</v>
      </c>
      <c r="AZ807" t="s">
        <v>80</v>
      </c>
    </row>
    <row r="808" spans="1:52" hidden="1" x14ac:dyDescent="0.25">
      <c r="A808" t="s">
        <v>8315</v>
      </c>
      <c r="B808" t="s">
        <v>8316</v>
      </c>
      <c r="C808" t="s">
        <v>8317</v>
      </c>
      <c r="D808" t="s">
        <v>78</v>
      </c>
      <c r="E808" t="s">
        <v>8318</v>
      </c>
      <c r="F808" t="s">
        <v>8318</v>
      </c>
      <c r="G808" t="s">
        <v>8318</v>
      </c>
      <c r="J808" t="s">
        <v>80</v>
      </c>
      <c r="K808" t="s">
        <v>110</v>
      </c>
      <c r="L808" t="s">
        <v>80</v>
      </c>
      <c r="M808">
        <v>2666</v>
      </c>
      <c r="N808" t="s">
        <v>8319</v>
      </c>
      <c r="P808" t="s">
        <v>2905</v>
      </c>
      <c r="Q808" t="s">
        <v>8051</v>
      </c>
      <c r="R808" t="s">
        <v>927</v>
      </c>
      <c r="S808" t="s">
        <v>480</v>
      </c>
      <c r="T808" t="s">
        <v>8052</v>
      </c>
      <c r="U808" t="s">
        <v>7014</v>
      </c>
      <c r="V808" t="s">
        <v>8053</v>
      </c>
      <c r="W808" t="s">
        <v>8218</v>
      </c>
      <c r="X808" t="s">
        <v>8219</v>
      </c>
      <c r="Y808" t="s">
        <v>93</v>
      </c>
      <c r="Z808" t="s">
        <v>8056</v>
      </c>
      <c r="AA808" t="s">
        <v>4315</v>
      </c>
      <c r="AB808" t="s">
        <v>739</v>
      </c>
      <c r="AC808" t="s">
        <v>8320</v>
      </c>
      <c r="AD808" t="s">
        <v>8056</v>
      </c>
      <c r="AE808" t="s">
        <v>4315</v>
      </c>
      <c r="AF808" t="s">
        <v>739</v>
      </c>
      <c r="AG808" t="s">
        <v>8320</v>
      </c>
      <c r="AH808" t="s">
        <v>8057</v>
      </c>
      <c r="AI808" t="s">
        <v>8321</v>
      </c>
      <c r="AJ808" t="s">
        <v>739</v>
      </c>
      <c r="AK808" t="s">
        <v>8059</v>
      </c>
      <c r="AL808" t="s">
        <v>8322</v>
      </c>
      <c r="AM808" t="s">
        <v>8323</v>
      </c>
      <c r="AN808" t="s">
        <v>2555</v>
      </c>
      <c r="AT808" t="s">
        <v>8324</v>
      </c>
      <c r="AV808" t="s">
        <v>128</v>
      </c>
      <c r="AZ808" t="s">
        <v>80</v>
      </c>
    </row>
    <row r="809" spans="1:52" hidden="1" x14ac:dyDescent="0.25">
      <c r="A809" t="s">
        <v>8325</v>
      </c>
      <c r="B809" t="s">
        <v>8326</v>
      </c>
      <c r="C809" t="s">
        <v>8327</v>
      </c>
      <c r="D809" t="s">
        <v>78</v>
      </c>
      <c r="E809" t="s">
        <v>8328</v>
      </c>
      <c r="F809" t="s">
        <v>8328</v>
      </c>
      <c r="G809" t="s">
        <v>8328</v>
      </c>
      <c r="J809" t="s">
        <v>80</v>
      </c>
      <c r="K809" t="s">
        <v>110</v>
      </c>
      <c r="L809" t="s">
        <v>80</v>
      </c>
      <c r="M809">
        <v>2664</v>
      </c>
      <c r="N809" t="s">
        <v>8329</v>
      </c>
      <c r="P809" t="s">
        <v>2905</v>
      </c>
      <c r="Q809" t="s">
        <v>8051</v>
      </c>
      <c r="R809" t="s">
        <v>927</v>
      </c>
      <c r="S809" t="s">
        <v>480</v>
      </c>
      <c r="T809" t="s">
        <v>8052</v>
      </c>
      <c r="U809" t="s">
        <v>7014</v>
      </c>
      <c r="V809" t="s">
        <v>8053</v>
      </c>
      <c r="W809" t="s">
        <v>8229</v>
      </c>
      <c r="X809" t="s">
        <v>8230</v>
      </c>
      <c r="Y809" t="s">
        <v>93</v>
      </c>
      <c r="Z809" t="s">
        <v>8056</v>
      </c>
      <c r="AA809" t="s">
        <v>8330</v>
      </c>
      <c r="AB809" t="s">
        <v>739</v>
      </c>
      <c r="AC809" t="s">
        <v>5016</v>
      </c>
      <c r="AD809" t="s">
        <v>8056</v>
      </c>
      <c r="AE809" t="s">
        <v>8330</v>
      </c>
      <c r="AF809" t="s">
        <v>739</v>
      </c>
      <c r="AG809" t="s">
        <v>5016</v>
      </c>
      <c r="AH809" t="s">
        <v>8057</v>
      </c>
      <c r="AI809" t="s">
        <v>8331</v>
      </c>
      <c r="AJ809" t="s">
        <v>739</v>
      </c>
      <c r="AK809" t="s">
        <v>8059</v>
      </c>
      <c r="AL809" t="s">
        <v>8332</v>
      </c>
      <c r="AM809" t="s">
        <v>8104</v>
      </c>
      <c r="AN809" t="s">
        <v>2555</v>
      </c>
      <c r="AT809" t="s">
        <v>8333</v>
      </c>
      <c r="AV809" t="s">
        <v>128</v>
      </c>
      <c r="AZ809" t="s">
        <v>80</v>
      </c>
    </row>
    <row r="810" spans="1:52" hidden="1" x14ac:dyDescent="0.25">
      <c r="A810" t="s">
        <v>8334</v>
      </c>
      <c r="B810" t="s">
        <v>8335</v>
      </c>
      <c r="C810" t="s">
        <v>8336</v>
      </c>
      <c r="D810" t="s">
        <v>78</v>
      </c>
      <c r="E810" t="s">
        <v>8337</v>
      </c>
      <c r="F810" t="s">
        <v>8337</v>
      </c>
      <c r="G810" t="s">
        <v>8337</v>
      </c>
      <c r="J810" t="s">
        <v>80</v>
      </c>
      <c r="K810" t="s">
        <v>110</v>
      </c>
      <c r="L810" t="s">
        <v>80</v>
      </c>
      <c r="M810">
        <v>2662</v>
      </c>
      <c r="N810" t="s">
        <v>8338</v>
      </c>
      <c r="P810" t="s">
        <v>2905</v>
      </c>
      <c r="Q810" t="s">
        <v>8051</v>
      </c>
      <c r="R810" t="s">
        <v>927</v>
      </c>
      <c r="S810" t="s">
        <v>480</v>
      </c>
      <c r="T810" t="s">
        <v>8052</v>
      </c>
      <c r="U810" t="s">
        <v>7014</v>
      </c>
      <c r="V810" t="s">
        <v>8053</v>
      </c>
      <c r="W810" t="s">
        <v>8218</v>
      </c>
      <c r="X810" t="s">
        <v>8219</v>
      </c>
      <c r="Y810" t="s">
        <v>93</v>
      </c>
      <c r="Z810" t="s">
        <v>8056</v>
      </c>
      <c r="AA810" t="s">
        <v>8339</v>
      </c>
      <c r="AB810" t="s">
        <v>739</v>
      </c>
      <c r="AC810" t="s">
        <v>8340</v>
      </c>
      <c r="AD810" t="s">
        <v>8056</v>
      </c>
      <c r="AE810" t="s">
        <v>8339</v>
      </c>
      <c r="AF810" t="s">
        <v>739</v>
      </c>
      <c r="AG810" t="s">
        <v>8340</v>
      </c>
      <c r="AH810" t="s">
        <v>8057</v>
      </c>
      <c r="AI810" t="s">
        <v>8341</v>
      </c>
      <c r="AJ810" t="s">
        <v>739</v>
      </c>
      <c r="AK810" t="s">
        <v>8059</v>
      </c>
      <c r="AL810" t="s">
        <v>8342</v>
      </c>
      <c r="AM810" t="s">
        <v>8104</v>
      </c>
      <c r="AN810" t="s">
        <v>2555</v>
      </c>
      <c r="AT810" t="s">
        <v>8343</v>
      </c>
      <c r="AV810" t="s">
        <v>128</v>
      </c>
      <c r="AZ810" t="s">
        <v>80</v>
      </c>
    </row>
    <row r="811" spans="1:52" hidden="1" x14ac:dyDescent="0.25">
      <c r="A811" t="s">
        <v>3044</v>
      </c>
      <c r="B811" t="s">
        <v>8344</v>
      </c>
      <c r="C811" t="s">
        <v>8345</v>
      </c>
      <c r="D811" t="s">
        <v>78</v>
      </c>
      <c r="E811" t="s">
        <v>8346</v>
      </c>
      <c r="F811" t="s">
        <v>8346</v>
      </c>
      <c r="G811" t="s">
        <v>8346</v>
      </c>
      <c r="J811" t="s">
        <v>80</v>
      </c>
      <c r="K811" t="s">
        <v>110</v>
      </c>
      <c r="L811" t="s">
        <v>80</v>
      </c>
      <c r="M811">
        <v>2660</v>
      </c>
      <c r="N811" t="s">
        <v>8347</v>
      </c>
      <c r="P811" t="s">
        <v>2905</v>
      </c>
      <c r="Q811" t="s">
        <v>8051</v>
      </c>
      <c r="R811" t="s">
        <v>927</v>
      </c>
      <c r="S811" t="s">
        <v>480</v>
      </c>
      <c r="T811" t="s">
        <v>8052</v>
      </c>
      <c r="U811" t="s">
        <v>7014</v>
      </c>
      <c r="V811" t="s">
        <v>8053</v>
      </c>
      <c r="W811" t="s">
        <v>2788</v>
      </c>
      <c r="X811" t="s">
        <v>8208</v>
      </c>
      <c r="Y811" t="s">
        <v>93</v>
      </c>
      <c r="Z811" t="s">
        <v>8056</v>
      </c>
      <c r="AA811" t="s">
        <v>8348</v>
      </c>
      <c r="AB811" t="s">
        <v>739</v>
      </c>
      <c r="AC811" t="s">
        <v>8349</v>
      </c>
      <c r="AD811" t="s">
        <v>8056</v>
      </c>
      <c r="AE811" t="s">
        <v>8348</v>
      </c>
      <c r="AF811" t="s">
        <v>739</v>
      </c>
      <c r="AG811" t="s">
        <v>8349</v>
      </c>
      <c r="AH811" t="s">
        <v>8057</v>
      </c>
      <c r="AI811" t="s">
        <v>8350</v>
      </c>
      <c r="AJ811" t="s">
        <v>739</v>
      </c>
      <c r="AK811" t="s">
        <v>8059</v>
      </c>
      <c r="AL811" t="s">
        <v>8351</v>
      </c>
      <c r="AM811" t="s">
        <v>8114</v>
      </c>
      <c r="AN811" t="s">
        <v>2555</v>
      </c>
      <c r="AT811" t="s">
        <v>8352</v>
      </c>
      <c r="AV811" t="s">
        <v>128</v>
      </c>
      <c r="AZ811" t="s">
        <v>80</v>
      </c>
    </row>
    <row r="812" spans="1:52" hidden="1" x14ac:dyDescent="0.25">
      <c r="A812" t="s">
        <v>8353</v>
      </c>
      <c r="B812" t="s">
        <v>8354</v>
      </c>
      <c r="C812" t="s">
        <v>8355</v>
      </c>
      <c r="D812" t="s">
        <v>78</v>
      </c>
      <c r="E812" t="s">
        <v>8356</v>
      </c>
      <c r="F812" t="s">
        <v>8356</v>
      </c>
      <c r="G812" t="s">
        <v>8356</v>
      </c>
      <c r="J812" t="s">
        <v>80</v>
      </c>
      <c r="K812" t="s">
        <v>110</v>
      </c>
      <c r="L812" t="s">
        <v>80</v>
      </c>
      <c r="M812">
        <v>2658</v>
      </c>
      <c r="N812" t="s">
        <v>8050</v>
      </c>
      <c r="P812" t="s">
        <v>2905</v>
      </c>
      <c r="Q812" t="s">
        <v>8051</v>
      </c>
      <c r="R812" t="s">
        <v>927</v>
      </c>
      <c r="S812" t="s">
        <v>480</v>
      </c>
      <c r="T812" t="s">
        <v>8052</v>
      </c>
      <c r="U812" t="s">
        <v>7014</v>
      </c>
      <c r="V812" t="s">
        <v>8053</v>
      </c>
      <c r="W812" t="s">
        <v>8357</v>
      </c>
      <c r="X812" t="s">
        <v>8358</v>
      </c>
      <c r="Y812" t="s">
        <v>93</v>
      </c>
      <c r="Z812" t="s">
        <v>8056</v>
      </c>
      <c r="AA812" t="s">
        <v>2706</v>
      </c>
      <c r="AB812" t="s">
        <v>739</v>
      </c>
      <c r="AC812" t="s">
        <v>8021</v>
      </c>
      <c r="AD812" t="s">
        <v>8056</v>
      </c>
      <c r="AE812" t="s">
        <v>2706</v>
      </c>
      <c r="AF812" t="s">
        <v>739</v>
      </c>
      <c r="AG812" t="s">
        <v>8021</v>
      </c>
      <c r="AH812" t="s">
        <v>8057</v>
      </c>
      <c r="AI812" t="s">
        <v>8359</v>
      </c>
      <c r="AJ812" t="s">
        <v>739</v>
      </c>
      <c r="AK812" t="s">
        <v>8059</v>
      </c>
      <c r="AL812" t="s">
        <v>8360</v>
      </c>
      <c r="AM812" t="s">
        <v>8361</v>
      </c>
      <c r="AN812" t="s">
        <v>2555</v>
      </c>
      <c r="AT812" t="s">
        <v>8362</v>
      </c>
      <c r="AV812" t="s">
        <v>128</v>
      </c>
      <c r="AZ812" t="s">
        <v>80</v>
      </c>
    </row>
    <row r="813" spans="1:52" hidden="1" x14ac:dyDescent="0.25">
      <c r="A813" t="s">
        <v>8363</v>
      </c>
      <c r="B813" t="s">
        <v>8364</v>
      </c>
      <c r="C813" t="s">
        <v>8365</v>
      </c>
      <c r="D813" t="s">
        <v>78</v>
      </c>
      <c r="E813" t="s">
        <v>8366</v>
      </c>
      <c r="F813" t="s">
        <v>8366</v>
      </c>
      <c r="G813" t="s">
        <v>8366</v>
      </c>
      <c r="J813" t="s">
        <v>80</v>
      </c>
      <c r="K813" t="s">
        <v>110</v>
      </c>
      <c r="L813" t="s">
        <v>80</v>
      </c>
      <c r="M813">
        <v>2656</v>
      </c>
      <c r="N813" t="s">
        <v>8367</v>
      </c>
      <c r="P813" t="s">
        <v>2905</v>
      </c>
      <c r="Q813" t="s">
        <v>8051</v>
      </c>
      <c r="R813" t="s">
        <v>927</v>
      </c>
      <c r="S813" t="s">
        <v>480</v>
      </c>
      <c r="T813" t="s">
        <v>8052</v>
      </c>
      <c r="U813" t="s">
        <v>7014</v>
      </c>
      <c r="V813" t="s">
        <v>8053</v>
      </c>
      <c r="W813" t="s">
        <v>8229</v>
      </c>
      <c r="X813" t="s">
        <v>8230</v>
      </c>
      <c r="Y813" t="s">
        <v>93</v>
      </c>
      <c r="Z813" t="s">
        <v>8056</v>
      </c>
      <c r="AA813" t="s">
        <v>8368</v>
      </c>
      <c r="AB813" t="s">
        <v>739</v>
      </c>
      <c r="AC813" t="s">
        <v>7185</v>
      </c>
      <c r="AD813" t="s">
        <v>8056</v>
      </c>
      <c r="AE813" t="s">
        <v>8368</v>
      </c>
      <c r="AF813" t="s">
        <v>739</v>
      </c>
      <c r="AG813" t="s">
        <v>7185</v>
      </c>
      <c r="AH813" t="s">
        <v>8057</v>
      </c>
      <c r="AI813" t="s">
        <v>8369</v>
      </c>
      <c r="AJ813" t="s">
        <v>739</v>
      </c>
      <c r="AK813" t="s">
        <v>8059</v>
      </c>
      <c r="AL813" t="s">
        <v>8370</v>
      </c>
      <c r="AM813" t="s">
        <v>8361</v>
      </c>
      <c r="AN813" t="s">
        <v>2555</v>
      </c>
      <c r="AT813" t="s">
        <v>8371</v>
      </c>
      <c r="AV813" t="s">
        <v>128</v>
      </c>
      <c r="AZ813" t="s">
        <v>80</v>
      </c>
    </row>
    <row r="814" spans="1:52" hidden="1" x14ac:dyDescent="0.25">
      <c r="A814" t="s">
        <v>8372</v>
      </c>
      <c r="B814" t="s">
        <v>8373</v>
      </c>
      <c r="C814" t="s">
        <v>8374</v>
      </c>
      <c r="D814" t="s">
        <v>78</v>
      </c>
      <c r="E814" t="s">
        <v>8375</v>
      </c>
      <c r="F814" t="s">
        <v>8375</v>
      </c>
      <c r="G814" t="s">
        <v>8375</v>
      </c>
      <c r="J814" t="s">
        <v>80</v>
      </c>
      <c r="K814" t="s">
        <v>110</v>
      </c>
      <c r="L814" t="s">
        <v>80</v>
      </c>
      <c r="M814">
        <v>2654</v>
      </c>
      <c r="N814" t="s">
        <v>8376</v>
      </c>
      <c r="P814" t="s">
        <v>2905</v>
      </c>
      <c r="Q814" t="s">
        <v>8051</v>
      </c>
      <c r="R814" t="s">
        <v>927</v>
      </c>
      <c r="S814" t="s">
        <v>480</v>
      </c>
      <c r="T814" t="s">
        <v>8052</v>
      </c>
      <c r="U814" t="s">
        <v>7014</v>
      </c>
      <c r="V814" t="s">
        <v>8053</v>
      </c>
      <c r="W814" t="s">
        <v>2788</v>
      </c>
      <c r="X814" t="s">
        <v>8208</v>
      </c>
      <c r="Y814" t="s">
        <v>93</v>
      </c>
      <c r="Z814" t="s">
        <v>8056</v>
      </c>
      <c r="AA814" t="s">
        <v>8377</v>
      </c>
      <c r="AB814" t="s">
        <v>739</v>
      </c>
      <c r="AC814" t="s">
        <v>4628</v>
      </c>
      <c r="AD814" t="s">
        <v>8056</v>
      </c>
      <c r="AE814" t="s">
        <v>8377</v>
      </c>
      <c r="AF814" t="s">
        <v>739</v>
      </c>
      <c r="AG814" t="s">
        <v>4628</v>
      </c>
      <c r="AH814" t="s">
        <v>8057</v>
      </c>
      <c r="AI814" t="s">
        <v>8378</v>
      </c>
      <c r="AJ814" t="s">
        <v>739</v>
      </c>
      <c r="AK814" t="s">
        <v>8059</v>
      </c>
      <c r="AL814" t="s">
        <v>8379</v>
      </c>
      <c r="AM814" t="s">
        <v>8361</v>
      </c>
      <c r="AN814" t="s">
        <v>2555</v>
      </c>
      <c r="AT814" t="s">
        <v>8380</v>
      </c>
      <c r="AV814" t="s">
        <v>128</v>
      </c>
      <c r="AZ814" t="s">
        <v>80</v>
      </c>
    </row>
    <row r="815" spans="1:52" hidden="1" x14ac:dyDescent="0.25">
      <c r="A815" t="s">
        <v>8381</v>
      </c>
      <c r="B815" t="s">
        <v>8382</v>
      </c>
      <c r="C815" t="s">
        <v>8383</v>
      </c>
      <c r="D815" t="s">
        <v>78</v>
      </c>
      <c r="E815" t="s">
        <v>8384</v>
      </c>
      <c r="F815" t="s">
        <v>8384</v>
      </c>
      <c r="G815" t="s">
        <v>8384</v>
      </c>
      <c r="J815" t="s">
        <v>80</v>
      </c>
      <c r="K815" t="s">
        <v>110</v>
      </c>
      <c r="L815" t="s">
        <v>80</v>
      </c>
      <c r="M815">
        <v>2652</v>
      </c>
      <c r="N815" t="s">
        <v>8385</v>
      </c>
      <c r="P815" t="s">
        <v>2905</v>
      </c>
      <c r="Q815" t="s">
        <v>8051</v>
      </c>
      <c r="R815" t="s">
        <v>927</v>
      </c>
      <c r="S815" t="s">
        <v>480</v>
      </c>
      <c r="T815" t="s">
        <v>8052</v>
      </c>
      <c r="U815" t="s">
        <v>7014</v>
      </c>
      <c r="V815" t="s">
        <v>8053</v>
      </c>
      <c r="W815" t="s">
        <v>8229</v>
      </c>
      <c r="X815" t="s">
        <v>8230</v>
      </c>
      <c r="Y815" t="s">
        <v>93</v>
      </c>
      <c r="Z815" t="s">
        <v>8056</v>
      </c>
      <c r="AA815" t="s">
        <v>8386</v>
      </c>
      <c r="AB815" t="s">
        <v>739</v>
      </c>
      <c r="AC815" t="s">
        <v>800</v>
      </c>
      <c r="AD815" t="s">
        <v>8056</v>
      </c>
      <c r="AE815" t="s">
        <v>8386</v>
      </c>
      <c r="AF815" t="s">
        <v>739</v>
      </c>
      <c r="AG815" t="s">
        <v>800</v>
      </c>
      <c r="AH815" t="s">
        <v>8057</v>
      </c>
      <c r="AI815" t="s">
        <v>8387</v>
      </c>
      <c r="AJ815" t="s">
        <v>739</v>
      </c>
      <c r="AK815" t="s">
        <v>8059</v>
      </c>
      <c r="AL815" t="s">
        <v>8388</v>
      </c>
      <c r="AM815" t="s">
        <v>8361</v>
      </c>
      <c r="AN815" t="s">
        <v>2555</v>
      </c>
      <c r="AT815" t="s">
        <v>8389</v>
      </c>
      <c r="AV815" t="s">
        <v>128</v>
      </c>
      <c r="AZ815" t="s">
        <v>80</v>
      </c>
    </row>
    <row r="816" spans="1:52" hidden="1" x14ac:dyDescent="0.25">
      <c r="A816" t="s">
        <v>8390</v>
      </c>
      <c r="B816" t="s">
        <v>8391</v>
      </c>
      <c r="C816" t="s">
        <v>8392</v>
      </c>
      <c r="D816" t="s">
        <v>78</v>
      </c>
      <c r="E816" t="s">
        <v>8393</v>
      </c>
      <c r="F816" t="s">
        <v>8393</v>
      </c>
      <c r="G816" t="s">
        <v>8393</v>
      </c>
      <c r="J816" t="s">
        <v>80</v>
      </c>
      <c r="K816" t="s">
        <v>110</v>
      </c>
      <c r="L816" t="s">
        <v>80</v>
      </c>
      <c r="M816">
        <v>2650</v>
      </c>
      <c r="N816" t="s">
        <v>8394</v>
      </c>
      <c r="P816" t="s">
        <v>2905</v>
      </c>
      <c r="Q816" t="s">
        <v>8051</v>
      </c>
      <c r="R816" t="s">
        <v>927</v>
      </c>
      <c r="S816" t="s">
        <v>480</v>
      </c>
      <c r="T816" t="s">
        <v>8052</v>
      </c>
      <c r="U816" t="s">
        <v>7014</v>
      </c>
      <c r="V816" t="s">
        <v>8053</v>
      </c>
      <c r="W816" t="s">
        <v>2788</v>
      </c>
      <c r="X816" t="s">
        <v>8208</v>
      </c>
      <c r="Y816" t="s">
        <v>93</v>
      </c>
      <c r="Z816" t="s">
        <v>8056</v>
      </c>
      <c r="AA816" t="s">
        <v>8395</v>
      </c>
      <c r="AB816" t="s">
        <v>739</v>
      </c>
      <c r="AC816" t="s">
        <v>8396</v>
      </c>
      <c r="AD816" t="s">
        <v>8056</v>
      </c>
      <c r="AE816" t="s">
        <v>8395</v>
      </c>
      <c r="AF816" t="s">
        <v>739</v>
      </c>
      <c r="AG816" t="s">
        <v>8396</v>
      </c>
      <c r="AH816" t="s">
        <v>8057</v>
      </c>
      <c r="AI816" t="s">
        <v>8397</v>
      </c>
      <c r="AJ816" t="s">
        <v>739</v>
      </c>
      <c r="AK816" t="s">
        <v>8059</v>
      </c>
      <c r="AL816" t="s">
        <v>8398</v>
      </c>
      <c r="AM816" t="s">
        <v>8073</v>
      </c>
      <c r="AN816" t="s">
        <v>2555</v>
      </c>
      <c r="AT816" t="s">
        <v>8399</v>
      </c>
      <c r="AV816" t="s">
        <v>128</v>
      </c>
      <c r="AZ816" t="s">
        <v>80</v>
      </c>
    </row>
  </sheetData>
  <autoFilter ref="A1:AZ816" xr:uid="{44EB3BFA-17F9-4F2E-BE7E-E82A40083FC8}">
    <filterColumn colId="25">
      <filters>
        <filter val="Bielawa Zachodnia"/>
      </filters>
    </filterColumn>
    <sortState xmlns:xlrd2="http://schemas.microsoft.com/office/spreadsheetml/2017/richdata2" ref="A12:AZ665">
      <sortCondition ref="AA1:AA81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pot</vt:lpstr>
      <vt:lpstr>wnioski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Kaspi</cp:lastModifiedBy>
  <dcterms:created xsi:type="dcterms:W3CDTF">2022-09-07T07:30:01Z</dcterms:created>
  <dcterms:modified xsi:type="dcterms:W3CDTF">2022-11-05T07:35:05Z</dcterms:modified>
</cp:coreProperties>
</file>